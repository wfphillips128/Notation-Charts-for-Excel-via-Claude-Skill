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omments2.xml" ContentType="application/vnd.openxmlformats-officedocument.spreadsheetml.comment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5.xml" ContentType="application/vnd.openxmlformats-officedocument.drawing+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omments4.xml" ContentType="application/vnd.openxmlformats-officedocument.spreadsheetml.comment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7.xml" ContentType="application/vnd.openxmlformats-officedocument.drawing+xml"/>
  <Override PartName="/xl/charts/chart16.xml" ContentType="application/vnd.openxmlformats-officedocument.drawingml.chart+xml"/>
  <Override PartName="/xl/drawings/drawing8.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9.xml" ContentType="application/vnd.openxmlformats-officedocument.drawing+xml"/>
  <Override PartName="/xl/charts/chart20.xml" ContentType="application/vnd.openxmlformats-officedocument.drawingml.chart+xml"/>
  <Override PartName="/xl/drawings/drawing10.xml" ContentType="application/vnd.openxmlformats-officedocument.drawing+xml"/>
  <Override PartName="/xl/charts/chart21.xml" ContentType="application/vnd.openxmlformats-officedocument.drawingml.chart+xml"/>
  <Override PartName="/xl/drawings/drawing11.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12.xml" ContentType="application/vnd.openxmlformats-officedocument.drawing+xml"/>
  <Override PartName="/xl/comments5.xml" ContentType="application/vnd.openxmlformats-officedocument.spreadsheetml.comments+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drawings/drawing13.xml" ContentType="application/vnd.openxmlformats-officedocument.drawing+xml"/>
  <Override PartName="/xl/charts/chart32.xml" ContentType="application/vnd.openxmlformats-officedocument.drawingml.chart+xml"/>
  <Override PartName="/xl/charts/chart33.xml" ContentType="application/vnd.openxmlformats-officedocument.drawingml.chart+xml"/>
  <Override PartName="/xl/drawings/drawing14.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15.xml" ContentType="application/vnd.openxmlformats-officedocument.drawing+xml"/>
  <Override PartName="/xl/charts/chart38.xml" ContentType="application/vnd.openxmlformats-officedocument.drawingml.chart+xml"/>
  <Override PartName="/xl/charts/chart3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wfphi\AppData\Local\Temp\tmpsm11p3q2\"/>
    </mc:Choice>
  </mc:AlternateContent>
  <xr:revisionPtr revIDLastSave="0" documentId="8_{968320E0-D185-466D-977F-66C106C39B76}" xr6:coauthVersionLast="47" xr6:coauthVersionMax="47" xr10:uidLastSave="{00000000-0000-0000-0000-000000000000}"/>
  <bookViews>
    <workbookView xWindow="-110" yWindow="-110" windowWidth="38620" windowHeight="21100" xr2:uid="{97609A61-9CE6-4927-9338-EA64472F199D}"/>
  </bookViews>
  <sheets>
    <sheet name="Read me" sheetId="1" r:id="rId1"/>
    <sheet name="Sources" sheetId="2" r:id="rId2"/>
    <sheet name="C01A" sheetId="3" r:id="rId3"/>
    <sheet name="C02A" sheetId="4" r:id="rId4"/>
    <sheet name="C03A" sheetId="5" r:id="rId5"/>
    <sheet name="C04A" sheetId="6" r:id="rId6"/>
    <sheet name="C05X" sheetId="7" r:id="rId7"/>
    <sheet name="C06F" sheetId="8" r:id="rId8"/>
    <sheet name="C07C" sheetId="9" r:id="rId9"/>
    <sheet name="C08H" sheetId="10" r:id="rId10"/>
    <sheet name="C09C" sheetId="11" r:id="rId11"/>
    <sheet name="C10D" sheetId="12" r:id="rId12"/>
    <sheet name="C11A" sheetId="13" r:id="rId13"/>
    <sheet name="C12A" sheetId="14" r:id="rId14"/>
    <sheet name="C13D" sheetId="15" r:id="rId15"/>
    <sheet name="T01B" sheetId="16" r:id="rId16"/>
    <sheet name="T02A" sheetId="17" r:id="rId17"/>
    <sheet name="T03A" sheetId="18" r:id="rId18"/>
    <sheet name="T04A" sheetId="19" r:id="rId19"/>
  </sheets>
  <definedNames>
    <definedName name="_xlnm.Print_Area" localSheetId="2">'C01A'!$G$1:$P$86</definedName>
    <definedName name="_xlnm.Print_Area" localSheetId="3">'C02A'!$W$1:$AI$13</definedName>
    <definedName name="_xlnm.Print_Area" localSheetId="4">'C03A'!$AD$1:$AO$36</definedName>
    <definedName name="_xlnm.Print_Area" localSheetId="5">'C04A'!$Z$1:$AR$30</definedName>
    <definedName name="_xlnm.Print_Area" localSheetId="6">'C05X'!$AV$1:$BI$44</definedName>
    <definedName name="_xlnm.Print_Area" localSheetId="7">'C06F'!$AN$1:$BG$34</definedName>
    <definedName name="_xlnm.Print_Area" localSheetId="8">'C07C'!$N$1:$AA$6</definedName>
    <definedName name="_xlnm.Print_Area" localSheetId="9">'C08H'!$V$1:$AL$6</definedName>
    <definedName name="_xlnm.Print_Area" localSheetId="10">'C09C'!$F$1:$T$42</definedName>
    <definedName name="_xlnm.Print_Area" localSheetId="11">'C10D'!$F$1:$T$37</definedName>
    <definedName name="_xlnm.Print_Area" localSheetId="12">'C11A'!$I$4:$Z$164</definedName>
    <definedName name="_xlnm.Print_Area" localSheetId="13">'C12A'!$AV$1:$BS$33</definedName>
    <definedName name="_xlnm.Print_Area" localSheetId="14">'C13D'!$A$109:$N$148</definedName>
    <definedName name="_xlnm.Print_Area" localSheetId="0">'Read me'!$A$2:$A$22</definedName>
    <definedName name="_xlnm.Print_Area" localSheetId="15">T01B!$A$9:$O$23</definedName>
    <definedName name="_xlnm.Print_Area" localSheetId="16">T02A!$A$9:$L$23</definedName>
    <definedName name="_xlnm.Print_Area" localSheetId="17">T03A!$A$9:$H$24</definedName>
    <definedName name="_xlnm.Print_Area" localSheetId="18">T04A!$A$9:$G$24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Q22" i="19" l="1"/>
  <c r="Q21" i="19"/>
  <c r="Q20" i="19"/>
  <c r="Q19" i="19"/>
  <c r="Q18" i="19"/>
  <c r="Q17" i="19"/>
  <c r="Q16" i="19"/>
  <c r="Q15" i="19"/>
  <c r="P22" i="19"/>
  <c r="P21" i="19"/>
  <c r="P20" i="19"/>
  <c r="P19" i="19"/>
  <c r="P18" i="19"/>
  <c r="P17" i="19"/>
  <c r="P16" i="19"/>
  <c r="P15" i="19"/>
  <c r="O22" i="19"/>
  <c r="O21" i="19"/>
  <c r="O20" i="19"/>
  <c r="O19" i="19"/>
  <c r="O18" i="19"/>
  <c r="O17" i="19"/>
  <c r="O16" i="19"/>
  <c r="O15" i="19"/>
  <c r="N22" i="19"/>
  <c r="N21" i="19"/>
  <c r="N20" i="19"/>
  <c r="N19" i="19"/>
  <c r="N18" i="19"/>
  <c r="N17" i="19"/>
  <c r="N16" i="19"/>
  <c r="N15" i="19"/>
  <c r="M22" i="19"/>
  <c r="M21" i="19"/>
  <c r="M20" i="19"/>
  <c r="M19" i="19"/>
  <c r="M18" i="19"/>
  <c r="M17" i="19"/>
  <c r="M16" i="19"/>
  <c r="M15" i="19"/>
  <c r="L22" i="19"/>
  <c r="L21" i="19"/>
  <c r="L20" i="19"/>
  <c r="L19" i="19"/>
  <c r="L18" i="19"/>
  <c r="L17" i="19"/>
  <c r="L16" i="19"/>
  <c r="L15" i="19"/>
  <c r="K22" i="19"/>
  <c r="K21" i="19"/>
  <c r="K20" i="19"/>
  <c r="K19" i="19"/>
  <c r="K18" i="19"/>
  <c r="K17" i="19"/>
  <c r="K16" i="19"/>
  <c r="K15" i="19"/>
  <c r="J22" i="19"/>
  <c r="J21" i="19"/>
  <c r="J20" i="19"/>
  <c r="J19" i="19"/>
  <c r="J18" i="19"/>
  <c r="J17" i="19"/>
  <c r="J16" i="19"/>
  <c r="J15" i="19"/>
  <c r="I15" i="19"/>
  <c r="H15" i="19"/>
  <c r="F22" i="19"/>
  <c r="E22" i="19"/>
  <c r="D22" i="19"/>
  <c r="C22" i="19"/>
  <c r="B22" i="19"/>
  <c r="F21" i="19"/>
  <c r="E21" i="19"/>
  <c r="D21" i="19"/>
  <c r="C21" i="19"/>
  <c r="B21" i="19"/>
  <c r="F20" i="19"/>
  <c r="E20" i="19"/>
  <c r="D20" i="19"/>
  <c r="C20" i="19"/>
  <c r="B20" i="19"/>
  <c r="F19" i="19"/>
  <c r="E19" i="19"/>
  <c r="D19" i="19"/>
  <c r="C19" i="19"/>
  <c r="B19" i="19"/>
  <c r="F18" i="19"/>
  <c r="E18" i="19"/>
  <c r="F17" i="19"/>
  <c r="E17" i="19"/>
  <c r="F16" i="19"/>
  <c r="E16" i="19"/>
  <c r="F15" i="19"/>
  <c r="E15" i="19"/>
  <c r="A11" i="19"/>
  <c r="A10" i="19"/>
  <c r="A9" i="19"/>
  <c r="B7" i="19"/>
  <c r="H22" i="18"/>
  <c r="G22" i="18"/>
  <c r="F22" i="18"/>
  <c r="E22" i="18"/>
  <c r="D22" i="18"/>
  <c r="C22" i="18"/>
  <c r="B22" i="18"/>
  <c r="H21" i="18"/>
  <c r="G21" i="18"/>
  <c r="F21" i="18"/>
  <c r="E21" i="18"/>
  <c r="D21" i="18"/>
  <c r="C21" i="18"/>
  <c r="B21" i="18"/>
  <c r="H20" i="18"/>
  <c r="G20" i="18"/>
  <c r="F20" i="18"/>
  <c r="E20" i="18"/>
  <c r="D20" i="18"/>
  <c r="C20" i="18"/>
  <c r="B20" i="18"/>
  <c r="H19" i="18"/>
  <c r="G19" i="18"/>
  <c r="F19" i="18"/>
  <c r="E19" i="18"/>
  <c r="D19" i="18"/>
  <c r="C19" i="18"/>
  <c r="B19" i="18"/>
  <c r="H18" i="18"/>
  <c r="G18" i="18"/>
  <c r="F18" i="18"/>
  <c r="E18" i="18"/>
  <c r="H17" i="18"/>
  <c r="G17" i="18"/>
  <c r="F17" i="18"/>
  <c r="E17" i="18"/>
  <c r="H16" i="18"/>
  <c r="G16" i="18"/>
  <c r="F16" i="18"/>
  <c r="E16" i="18"/>
  <c r="H15" i="18"/>
  <c r="G15" i="18"/>
  <c r="F15" i="18"/>
  <c r="E15" i="18"/>
  <c r="A11" i="18"/>
  <c r="A10" i="18"/>
  <c r="A9" i="18"/>
  <c r="B7" i="18"/>
  <c r="AD21" i="17"/>
  <c r="AD20" i="17"/>
  <c r="AD19" i="17"/>
  <c r="AD18" i="17"/>
  <c r="AD17" i="17"/>
  <c r="AD16" i="17"/>
  <c r="AD15" i="17"/>
  <c r="AC21" i="17"/>
  <c r="AC20" i="17"/>
  <c r="AC19" i="17"/>
  <c r="AC18" i="17"/>
  <c r="AC17" i="17"/>
  <c r="AC16" i="17"/>
  <c r="AC15" i="17"/>
  <c r="AB21" i="17"/>
  <c r="AB20" i="17"/>
  <c r="AB19" i="17"/>
  <c r="AB18" i="17"/>
  <c r="AB17" i="17"/>
  <c r="AB16" i="17"/>
  <c r="AB15" i="17"/>
  <c r="AA21" i="17"/>
  <c r="AA20" i="17"/>
  <c r="AA19" i="17"/>
  <c r="AA18" i="17"/>
  <c r="AA17" i="17"/>
  <c r="AA16" i="17"/>
  <c r="AA15" i="17"/>
  <c r="Z21" i="17"/>
  <c r="Z20" i="17"/>
  <c r="Z19" i="17"/>
  <c r="Z18" i="17"/>
  <c r="Z17" i="17"/>
  <c r="Z16" i="17"/>
  <c r="Z15" i="17"/>
  <c r="Y21" i="17"/>
  <c r="Y20" i="17"/>
  <c r="Y19" i="17"/>
  <c r="Y18" i="17"/>
  <c r="Y17" i="17"/>
  <c r="Y16" i="17"/>
  <c r="Y15" i="17"/>
  <c r="X21" i="17"/>
  <c r="X20" i="17"/>
  <c r="X19" i="17"/>
  <c r="X18" i="17"/>
  <c r="X17" i="17"/>
  <c r="X16" i="17"/>
  <c r="X15" i="17"/>
  <c r="W21" i="17"/>
  <c r="W20" i="17"/>
  <c r="W19" i="17"/>
  <c r="W18" i="17"/>
  <c r="W17" i="17"/>
  <c r="W16" i="17"/>
  <c r="W15" i="17"/>
  <c r="V21" i="17"/>
  <c r="V20" i="17"/>
  <c r="V19" i="17"/>
  <c r="V18" i="17"/>
  <c r="V17" i="17"/>
  <c r="V16" i="17"/>
  <c r="V15" i="17"/>
  <c r="U21" i="17"/>
  <c r="U20" i="17"/>
  <c r="U19" i="17"/>
  <c r="U18" i="17"/>
  <c r="U17" i="17"/>
  <c r="U16" i="17"/>
  <c r="U15" i="17"/>
  <c r="T21" i="17"/>
  <c r="T20" i="17"/>
  <c r="T19" i="17"/>
  <c r="T18" i="17"/>
  <c r="T17" i="17"/>
  <c r="T16" i="17"/>
  <c r="T15" i="17"/>
  <c r="S21" i="17"/>
  <c r="S20" i="17"/>
  <c r="S19" i="17"/>
  <c r="S18" i="17"/>
  <c r="S17" i="17"/>
  <c r="S16" i="17"/>
  <c r="S15" i="17"/>
  <c r="R21" i="17"/>
  <c r="R20" i="17"/>
  <c r="R19" i="17"/>
  <c r="R18" i="17"/>
  <c r="R17" i="17"/>
  <c r="R16" i="17"/>
  <c r="R15" i="17"/>
  <c r="Q21" i="17"/>
  <c r="Q20" i="17"/>
  <c r="Q19" i="17"/>
  <c r="Q18" i="17"/>
  <c r="Q17" i="17"/>
  <c r="Q16" i="17"/>
  <c r="Q15" i="17"/>
  <c r="P21" i="17"/>
  <c r="P20" i="17"/>
  <c r="P19" i="17"/>
  <c r="P18" i="17"/>
  <c r="P17" i="17"/>
  <c r="P16" i="17"/>
  <c r="P15" i="17"/>
  <c r="O21" i="17"/>
  <c r="O20" i="17"/>
  <c r="O19" i="17"/>
  <c r="O18" i="17"/>
  <c r="O17" i="17"/>
  <c r="O16" i="17"/>
  <c r="O15" i="17"/>
  <c r="N15" i="17"/>
  <c r="M15" i="17"/>
  <c r="K21" i="17"/>
  <c r="J21" i="17"/>
  <c r="I21" i="17"/>
  <c r="H21" i="17"/>
  <c r="G21" i="17"/>
  <c r="E21" i="17"/>
  <c r="D21" i="17"/>
  <c r="C21" i="17"/>
  <c r="B21" i="17"/>
  <c r="A21" i="17"/>
  <c r="J20" i="17"/>
  <c r="D20" i="17"/>
  <c r="K19" i="17"/>
  <c r="J19" i="17"/>
  <c r="E19" i="17"/>
  <c r="D19" i="17"/>
  <c r="K18" i="17"/>
  <c r="J18" i="17"/>
  <c r="I18" i="17"/>
  <c r="H18" i="17"/>
  <c r="G18" i="17"/>
  <c r="E18" i="17"/>
  <c r="D18" i="17"/>
  <c r="C18" i="17"/>
  <c r="B18" i="17"/>
  <c r="A18" i="17"/>
  <c r="K17" i="17"/>
  <c r="J17" i="17"/>
  <c r="E17" i="17"/>
  <c r="D17" i="17"/>
  <c r="K16" i="17"/>
  <c r="J16" i="17"/>
  <c r="E16" i="17"/>
  <c r="D16" i="17"/>
  <c r="K15" i="17"/>
  <c r="J15" i="17"/>
  <c r="E15" i="17"/>
  <c r="D15" i="17"/>
  <c r="G13" i="17"/>
  <c r="A13" i="17"/>
  <c r="A11" i="17"/>
  <c r="A10" i="17"/>
  <c r="A9" i="17"/>
  <c r="B7" i="17"/>
  <c r="O21" i="16"/>
  <c r="N21" i="16"/>
  <c r="M21" i="16"/>
  <c r="L21" i="16"/>
  <c r="K21" i="16"/>
  <c r="J21" i="16"/>
  <c r="I21" i="16"/>
  <c r="G21" i="16"/>
  <c r="F21" i="16"/>
  <c r="E21" i="16"/>
  <c r="D21" i="16"/>
  <c r="C21" i="16"/>
  <c r="B21" i="16"/>
  <c r="A21" i="16"/>
  <c r="N20" i="16"/>
  <c r="L20" i="16"/>
  <c r="F20" i="16"/>
  <c r="D20" i="16"/>
  <c r="O19" i="16"/>
  <c r="N19" i="16"/>
  <c r="M19" i="16"/>
  <c r="L19" i="16"/>
  <c r="G19" i="16"/>
  <c r="F19" i="16"/>
  <c r="E19" i="16"/>
  <c r="D19" i="16"/>
  <c r="O18" i="16"/>
  <c r="N18" i="16"/>
  <c r="M18" i="16"/>
  <c r="L18" i="16"/>
  <c r="K18" i="16"/>
  <c r="J18" i="16"/>
  <c r="I18" i="16"/>
  <c r="G18" i="16"/>
  <c r="F18" i="16"/>
  <c r="E18" i="16"/>
  <c r="D18" i="16"/>
  <c r="C18" i="16"/>
  <c r="B18" i="16"/>
  <c r="A18" i="16"/>
  <c r="O17" i="16"/>
  <c r="N17" i="16"/>
  <c r="M17" i="16"/>
  <c r="L17" i="16"/>
  <c r="G17" i="16"/>
  <c r="F17" i="16"/>
  <c r="E17" i="16"/>
  <c r="D17" i="16"/>
  <c r="O16" i="16"/>
  <c r="N16" i="16"/>
  <c r="M16" i="16"/>
  <c r="L16" i="16"/>
  <c r="G16" i="16"/>
  <c r="F16" i="16"/>
  <c r="E16" i="16"/>
  <c r="D16" i="16"/>
  <c r="O15" i="16"/>
  <c r="N15" i="16"/>
  <c r="M15" i="16"/>
  <c r="L15" i="16"/>
  <c r="G15" i="16"/>
  <c r="F15" i="16"/>
  <c r="E15" i="16"/>
  <c r="D15" i="16"/>
  <c r="I13" i="16"/>
  <c r="A13" i="16"/>
  <c r="A11" i="16"/>
  <c r="A10" i="16"/>
  <c r="A9" i="16"/>
  <c r="B7" i="16"/>
  <c r="M49" i="15"/>
  <c r="L49" i="15"/>
  <c r="K49" i="15"/>
  <c r="J49" i="15"/>
  <c r="I49" i="15"/>
  <c r="H49" i="15"/>
  <c r="G49" i="15"/>
  <c r="F49" i="15"/>
  <c r="E49" i="15"/>
  <c r="D49" i="15"/>
  <c r="C49" i="15"/>
  <c r="B49" i="15"/>
  <c r="M48" i="15"/>
  <c r="L48" i="15"/>
  <c r="K48" i="15"/>
  <c r="J48" i="15"/>
  <c r="I48" i="15"/>
  <c r="H48" i="15"/>
  <c r="G48" i="15"/>
  <c r="F48" i="15"/>
  <c r="E48" i="15"/>
  <c r="D48" i="15"/>
  <c r="C48" i="15"/>
  <c r="B48" i="15"/>
  <c r="M47" i="15"/>
  <c r="L47" i="15"/>
  <c r="K47" i="15"/>
  <c r="J47" i="15"/>
  <c r="I47" i="15"/>
  <c r="H47" i="15"/>
  <c r="G47" i="15"/>
  <c r="F47" i="15"/>
  <c r="E47" i="15"/>
  <c r="D47" i="15"/>
  <c r="C47" i="15"/>
  <c r="B47" i="15"/>
  <c r="M46" i="15"/>
  <c r="L46" i="15"/>
  <c r="K46" i="15"/>
  <c r="J46" i="15"/>
  <c r="I46" i="15"/>
  <c r="H46" i="15"/>
  <c r="G46" i="15"/>
  <c r="F46" i="15"/>
  <c r="E46" i="15"/>
  <c r="D46" i="15"/>
  <c r="C46" i="15"/>
  <c r="B46" i="15"/>
  <c r="M45" i="15"/>
  <c r="L45" i="15"/>
  <c r="K45" i="15"/>
  <c r="J45" i="15"/>
  <c r="I45" i="15"/>
  <c r="H45" i="15"/>
  <c r="G45" i="15"/>
  <c r="F45" i="15"/>
  <c r="E45" i="15"/>
  <c r="D45" i="15"/>
  <c r="C45" i="15"/>
  <c r="B45" i="15"/>
  <c r="M44" i="15"/>
  <c r="L44" i="15"/>
  <c r="K44" i="15"/>
  <c r="J44" i="15"/>
  <c r="I44" i="15"/>
  <c r="H44" i="15"/>
  <c r="G44" i="15"/>
  <c r="F44" i="15"/>
  <c r="E44" i="15"/>
  <c r="D44" i="15"/>
  <c r="C44" i="15"/>
  <c r="B44" i="15"/>
  <c r="M43" i="15"/>
  <c r="L43" i="15"/>
  <c r="K43" i="15"/>
  <c r="J43" i="15"/>
  <c r="I43" i="15"/>
  <c r="H43" i="15"/>
  <c r="G43" i="15"/>
  <c r="F43" i="15"/>
  <c r="E43" i="15"/>
  <c r="D43" i="15"/>
  <c r="C43" i="15"/>
  <c r="B43" i="15"/>
  <c r="M42" i="15"/>
  <c r="L42" i="15"/>
  <c r="K42" i="15"/>
  <c r="J42" i="15"/>
  <c r="I42" i="15"/>
  <c r="H42" i="15"/>
  <c r="AW101" i="15" s="1"/>
  <c r="G42" i="15"/>
  <c r="F42" i="15"/>
  <c r="E42" i="15"/>
  <c r="D42" i="15"/>
  <c r="C42" i="15"/>
  <c r="B42" i="15"/>
  <c r="M41" i="15"/>
  <c r="L41" i="15"/>
  <c r="K41" i="15"/>
  <c r="J41" i="15"/>
  <c r="I41" i="15"/>
  <c r="H41" i="15"/>
  <c r="G41" i="15"/>
  <c r="F41" i="15"/>
  <c r="E41" i="15"/>
  <c r="D41" i="15"/>
  <c r="C41" i="15"/>
  <c r="B41" i="15"/>
  <c r="M40" i="15"/>
  <c r="L40" i="15"/>
  <c r="K40" i="15"/>
  <c r="J40" i="15"/>
  <c r="I40" i="15"/>
  <c r="H40" i="15"/>
  <c r="G40" i="15"/>
  <c r="F40" i="15"/>
  <c r="E40" i="15"/>
  <c r="D40" i="15"/>
  <c r="C40" i="15"/>
  <c r="B40" i="15"/>
  <c r="M39" i="15"/>
  <c r="L39" i="15"/>
  <c r="K39" i="15"/>
  <c r="J39" i="15"/>
  <c r="I39" i="15"/>
  <c r="H39" i="15"/>
  <c r="G39" i="15"/>
  <c r="F39" i="15"/>
  <c r="E39" i="15"/>
  <c r="D39" i="15"/>
  <c r="C39" i="15"/>
  <c r="B39" i="15"/>
  <c r="M38" i="15"/>
  <c r="L38" i="15"/>
  <c r="K38" i="15"/>
  <c r="J38" i="15"/>
  <c r="I38" i="15"/>
  <c r="H38" i="15"/>
  <c r="G38" i="15"/>
  <c r="F38" i="15"/>
  <c r="E38" i="15"/>
  <c r="D38" i="15"/>
  <c r="C38" i="15"/>
  <c r="B38" i="15"/>
  <c r="M37" i="15"/>
  <c r="L37" i="15"/>
  <c r="K37" i="15"/>
  <c r="J37" i="15"/>
  <c r="I37" i="15"/>
  <c r="H37" i="15"/>
  <c r="G37" i="15"/>
  <c r="F37" i="15"/>
  <c r="E37" i="15"/>
  <c r="D37" i="15"/>
  <c r="C37" i="15"/>
  <c r="B37" i="15"/>
  <c r="M36" i="15"/>
  <c r="L36" i="15"/>
  <c r="K36" i="15"/>
  <c r="J36" i="15"/>
  <c r="I36" i="15"/>
  <c r="H36" i="15"/>
  <c r="G36" i="15"/>
  <c r="F36" i="15"/>
  <c r="E36" i="15"/>
  <c r="D36" i="15"/>
  <c r="C36" i="15"/>
  <c r="B36" i="15"/>
  <c r="M35" i="15"/>
  <c r="L35" i="15"/>
  <c r="K35" i="15"/>
  <c r="J35" i="15"/>
  <c r="I35" i="15"/>
  <c r="H35" i="15"/>
  <c r="G35" i="15"/>
  <c r="F35" i="15"/>
  <c r="E35" i="15"/>
  <c r="D35" i="15"/>
  <c r="C35" i="15"/>
  <c r="B35" i="15"/>
  <c r="BO53" i="15"/>
  <c r="BO54" i="15"/>
  <c r="BO55" i="15"/>
  <c r="BO56" i="15"/>
  <c r="BO57" i="15"/>
  <c r="BO58" i="15"/>
  <c r="BO59" i="15"/>
  <c r="BO60" i="15"/>
  <c r="BO61" i="15"/>
  <c r="BO62" i="15"/>
  <c r="BO63" i="15"/>
  <c r="BO64" i="15"/>
  <c r="BL53" i="15"/>
  <c r="BL54" i="15"/>
  <c r="BL55" i="15"/>
  <c r="BL56" i="15"/>
  <c r="BL57" i="15"/>
  <c r="BL58" i="15"/>
  <c r="BL59" i="15"/>
  <c r="BL60" i="15"/>
  <c r="BL61" i="15"/>
  <c r="BL62" i="15"/>
  <c r="BL63" i="15"/>
  <c r="BL64" i="15"/>
  <c r="BL65" i="15"/>
  <c r="BL66" i="15"/>
  <c r="BL67" i="15"/>
  <c r="BL68" i="15"/>
  <c r="BK53" i="15"/>
  <c r="BK54" i="15"/>
  <c r="BK55" i="15"/>
  <c r="BK56" i="15"/>
  <c r="BK57" i="15"/>
  <c r="BK58" i="15"/>
  <c r="BK59" i="15"/>
  <c r="BK60" i="15"/>
  <c r="BK61" i="15"/>
  <c r="BK62" i="15"/>
  <c r="BK63" i="15"/>
  <c r="BK64" i="15"/>
  <c r="BK65" i="15"/>
  <c r="BK66" i="15"/>
  <c r="BK67" i="15"/>
  <c r="BK68" i="15"/>
  <c r="BH55" i="15"/>
  <c r="BH58" i="15"/>
  <c r="BH61" i="15"/>
  <c r="BH64" i="15"/>
  <c r="BH67" i="15"/>
  <c r="BH70" i="15"/>
  <c r="BH73" i="15"/>
  <c r="BH76" i="15"/>
  <c r="BH79" i="15"/>
  <c r="BH82" i="15"/>
  <c r="BH85" i="15"/>
  <c r="BH88" i="15"/>
  <c r="BH91" i="15"/>
  <c r="BH94" i="15"/>
  <c r="BH97" i="15"/>
  <c r="BH100" i="15"/>
  <c r="BE55" i="15"/>
  <c r="BE58" i="15"/>
  <c r="BE61" i="15"/>
  <c r="BB55" i="15"/>
  <c r="BB58" i="15"/>
  <c r="BB61" i="15"/>
  <c r="AY53" i="15"/>
  <c r="AY54" i="15"/>
  <c r="AY55" i="15"/>
  <c r="AY56" i="15"/>
  <c r="AY57" i="15"/>
  <c r="AY58" i="15"/>
  <c r="AY59" i="15"/>
  <c r="AY60" i="15"/>
  <c r="AY61" i="15"/>
  <c r="AY62" i="15"/>
  <c r="AY63" i="15"/>
  <c r="AY64" i="15"/>
  <c r="AY65" i="15"/>
  <c r="AY66" i="15"/>
  <c r="AY67" i="15"/>
  <c r="AY68" i="15"/>
  <c r="AY69" i="15"/>
  <c r="AY70" i="15"/>
  <c r="AY71" i="15"/>
  <c r="AY72" i="15"/>
  <c r="AY73" i="15"/>
  <c r="AY74" i="15"/>
  <c r="AY75" i="15"/>
  <c r="AY76" i="15"/>
  <c r="AY77" i="15"/>
  <c r="AY78" i="15"/>
  <c r="AY79" i="15"/>
  <c r="AY80" i="15"/>
  <c r="AY81" i="15"/>
  <c r="AY82" i="15"/>
  <c r="AY83" i="15"/>
  <c r="AY84" i="15"/>
  <c r="AY85" i="15"/>
  <c r="AY86" i="15"/>
  <c r="AY87" i="15"/>
  <c r="AY88" i="15"/>
  <c r="AY89" i="15"/>
  <c r="AY90" i="15"/>
  <c r="AY91" i="15"/>
  <c r="AY92" i="15"/>
  <c r="AY93" i="15"/>
  <c r="AY94" i="15"/>
  <c r="AY95" i="15"/>
  <c r="AY96" i="15"/>
  <c r="AY97" i="15"/>
  <c r="AY98" i="15"/>
  <c r="AY99" i="15"/>
  <c r="AY100" i="15"/>
  <c r="AY101" i="15"/>
  <c r="AY102" i="15"/>
  <c r="AY103" i="15"/>
  <c r="AY104" i="15"/>
  <c r="AY105" i="15"/>
  <c r="AY106" i="15"/>
  <c r="AP53" i="15"/>
  <c r="AP54" i="15"/>
  <c r="AP55" i="15"/>
  <c r="AP68" i="15"/>
  <c r="AP81" i="15"/>
  <c r="AP94" i="15"/>
  <c r="AG53" i="15"/>
  <c r="AG54" i="15"/>
  <c r="AG55" i="15"/>
  <c r="AG68" i="15"/>
  <c r="AG81" i="15"/>
  <c r="AG94" i="15"/>
  <c r="AX53" i="15"/>
  <c r="AX54" i="15"/>
  <c r="AX55" i="15"/>
  <c r="AX56" i="15"/>
  <c r="AX57" i="15"/>
  <c r="AX58" i="15"/>
  <c r="AX59" i="15"/>
  <c r="AX60" i="15"/>
  <c r="AX61" i="15"/>
  <c r="AX62" i="15"/>
  <c r="AX63" i="15"/>
  <c r="AX64" i="15"/>
  <c r="AX65" i="15"/>
  <c r="AX66" i="15"/>
  <c r="AX67" i="15"/>
  <c r="AX68" i="15"/>
  <c r="AX69" i="15"/>
  <c r="AX70" i="15"/>
  <c r="AX71" i="15"/>
  <c r="AX72" i="15"/>
  <c r="AX73" i="15"/>
  <c r="AX74" i="15"/>
  <c r="AX75" i="15"/>
  <c r="AX76" i="15"/>
  <c r="AX77" i="15"/>
  <c r="AX78" i="15"/>
  <c r="AX79" i="15"/>
  <c r="AX80" i="15"/>
  <c r="AX81" i="15"/>
  <c r="AX82" i="15"/>
  <c r="AX83" i="15"/>
  <c r="AX84" i="15"/>
  <c r="AX85" i="15"/>
  <c r="AX86" i="15"/>
  <c r="AX87" i="15"/>
  <c r="AX88" i="15"/>
  <c r="AX89" i="15"/>
  <c r="AX90" i="15"/>
  <c r="AX91" i="15"/>
  <c r="AX92" i="15"/>
  <c r="AX93" i="15"/>
  <c r="AX94" i="15"/>
  <c r="AX95" i="15"/>
  <c r="AX96" i="15"/>
  <c r="AX97" i="15"/>
  <c r="AX98" i="15"/>
  <c r="AX99" i="15"/>
  <c r="AX100" i="15"/>
  <c r="AX101" i="15"/>
  <c r="AX102" i="15"/>
  <c r="AX103" i="15"/>
  <c r="AX104" i="15"/>
  <c r="AX105" i="15"/>
  <c r="AX106" i="15"/>
  <c r="AO53" i="15"/>
  <c r="AO54" i="15"/>
  <c r="AO55" i="15"/>
  <c r="AO56" i="15"/>
  <c r="AO57" i="15"/>
  <c r="AO58" i="15"/>
  <c r="AO59" i="15"/>
  <c r="AO60" i="15"/>
  <c r="AO61" i="15"/>
  <c r="AO62" i="15"/>
  <c r="AO63" i="15"/>
  <c r="AO64" i="15"/>
  <c r="AO65" i="15"/>
  <c r="AO66" i="15"/>
  <c r="AO67" i="15"/>
  <c r="AO68" i="15"/>
  <c r="AO69" i="15"/>
  <c r="AO70" i="15"/>
  <c r="AO71" i="15"/>
  <c r="AO72" i="15"/>
  <c r="AO73" i="15"/>
  <c r="AO74" i="15"/>
  <c r="AO75" i="15"/>
  <c r="AO76" i="15"/>
  <c r="AO77" i="15"/>
  <c r="AO78" i="15"/>
  <c r="AO79" i="15"/>
  <c r="AO80" i="15"/>
  <c r="AO81" i="15"/>
  <c r="AO82" i="15"/>
  <c r="AO83" i="15"/>
  <c r="AO84" i="15"/>
  <c r="AO85" i="15"/>
  <c r="AO86" i="15"/>
  <c r="AO87" i="15"/>
  <c r="AO88" i="15"/>
  <c r="AO89" i="15"/>
  <c r="AO90" i="15"/>
  <c r="AO91" i="15"/>
  <c r="AO92" i="15"/>
  <c r="AO93" i="15"/>
  <c r="AO94" i="15"/>
  <c r="AO95" i="15"/>
  <c r="AO96" i="15"/>
  <c r="AO97" i="15"/>
  <c r="AO98" i="15"/>
  <c r="AO99" i="15"/>
  <c r="AO100" i="15"/>
  <c r="AO101" i="15"/>
  <c r="AO102" i="15"/>
  <c r="AO103" i="15"/>
  <c r="AO104" i="15"/>
  <c r="AO105" i="15"/>
  <c r="AO106" i="15"/>
  <c r="AF53" i="15"/>
  <c r="AF54" i="15"/>
  <c r="AF55" i="15"/>
  <c r="AF56" i="15"/>
  <c r="AF57" i="15"/>
  <c r="AF58" i="15"/>
  <c r="AF59" i="15"/>
  <c r="AF60" i="15"/>
  <c r="AF61" i="15"/>
  <c r="AF62" i="15"/>
  <c r="AF63" i="15"/>
  <c r="AF64" i="15"/>
  <c r="AF65" i="15"/>
  <c r="AF66" i="15"/>
  <c r="AF67" i="15"/>
  <c r="AF68" i="15"/>
  <c r="AF69" i="15"/>
  <c r="AF70" i="15"/>
  <c r="AF71" i="15"/>
  <c r="AF72" i="15"/>
  <c r="AF73" i="15"/>
  <c r="AF74" i="15"/>
  <c r="AF75" i="15"/>
  <c r="AF76" i="15"/>
  <c r="AF77" i="15"/>
  <c r="AF78" i="15"/>
  <c r="AF79" i="15"/>
  <c r="AF80" i="15"/>
  <c r="AF81" i="15"/>
  <c r="AF82" i="15"/>
  <c r="AF83" i="15"/>
  <c r="AF84" i="15"/>
  <c r="AF85" i="15"/>
  <c r="AF86" i="15"/>
  <c r="AF87" i="15"/>
  <c r="AF88" i="15"/>
  <c r="AF89" i="15"/>
  <c r="AF90" i="15"/>
  <c r="AF91" i="15"/>
  <c r="AF92" i="15"/>
  <c r="AF93" i="15"/>
  <c r="AF94" i="15"/>
  <c r="AF95" i="15"/>
  <c r="AF96" i="15"/>
  <c r="AF97" i="15"/>
  <c r="AF98" i="15"/>
  <c r="AF99" i="15"/>
  <c r="AF100" i="15"/>
  <c r="AF101" i="15"/>
  <c r="AF102" i="15"/>
  <c r="AF103" i="15"/>
  <c r="AF104" i="15"/>
  <c r="AF105" i="15"/>
  <c r="AF106" i="15"/>
  <c r="AW53" i="15"/>
  <c r="AW54" i="15"/>
  <c r="AW55" i="15"/>
  <c r="AW56" i="15"/>
  <c r="AW57" i="15"/>
  <c r="AW58" i="15"/>
  <c r="AW59" i="15"/>
  <c r="AW60" i="15"/>
  <c r="AW61" i="15"/>
  <c r="AW62" i="15"/>
  <c r="AW63" i="15"/>
  <c r="AW64" i="15"/>
  <c r="AW65" i="15"/>
  <c r="AW66" i="15"/>
  <c r="AW67" i="15"/>
  <c r="AW68" i="15"/>
  <c r="AW69" i="15"/>
  <c r="AW70" i="15"/>
  <c r="AW71" i="15"/>
  <c r="AW72" i="15"/>
  <c r="AW73" i="15"/>
  <c r="AW74" i="15"/>
  <c r="AW75" i="15"/>
  <c r="AW76" i="15"/>
  <c r="AW77" i="15"/>
  <c r="AW78" i="15"/>
  <c r="AW79" i="15"/>
  <c r="AW80" i="15"/>
  <c r="AW81" i="15"/>
  <c r="AW82" i="15"/>
  <c r="AW83" i="15"/>
  <c r="AW84" i="15"/>
  <c r="AW85" i="15"/>
  <c r="AW86" i="15"/>
  <c r="AW87" i="15"/>
  <c r="AW88" i="15"/>
  <c r="AW89" i="15"/>
  <c r="AW90" i="15"/>
  <c r="AW91" i="15"/>
  <c r="AW92" i="15"/>
  <c r="AW93" i="15"/>
  <c r="AW94" i="15"/>
  <c r="AW95" i="15"/>
  <c r="AW96" i="15"/>
  <c r="AW97" i="15"/>
  <c r="AW98" i="15"/>
  <c r="AW99" i="15"/>
  <c r="AW100" i="15"/>
  <c r="AW102" i="15"/>
  <c r="AW103" i="15"/>
  <c r="AW104" i="15"/>
  <c r="AW105" i="15"/>
  <c r="AW106" i="15"/>
  <c r="AN53" i="15"/>
  <c r="AN54" i="15"/>
  <c r="AN55" i="15"/>
  <c r="AN68" i="15"/>
  <c r="AN81" i="15"/>
  <c r="AN94" i="15"/>
  <c r="AE53" i="15"/>
  <c r="AE54" i="15"/>
  <c r="AE55" i="15"/>
  <c r="AE68" i="15"/>
  <c r="AE81" i="15"/>
  <c r="AE94" i="15"/>
  <c r="AV53" i="15"/>
  <c r="AV54" i="15"/>
  <c r="AV55" i="15"/>
  <c r="AV56" i="15"/>
  <c r="AV57" i="15"/>
  <c r="AV58" i="15"/>
  <c r="AV59" i="15"/>
  <c r="AV60" i="15"/>
  <c r="AV61" i="15"/>
  <c r="AV62" i="15"/>
  <c r="AV63" i="15"/>
  <c r="AV64" i="15"/>
  <c r="AV65" i="15"/>
  <c r="AV66" i="15"/>
  <c r="AV67" i="15"/>
  <c r="AV68" i="15"/>
  <c r="AV69" i="15"/>
  <c r="AV70" i="15"/>
  <c r="AV71" i="15"/>
  <c r="AV72" i="15"/>
  <c r="AV73" i="15"/>
  <c r="AV74" i="15"/>
  <c r="AV75" i="15"/>
  <c r="AV76" i="15"/>
  <c r="AV77" i="15"/>
  <c r="AV78" i="15"/>
  <c r="AV79" i="15"/>
  <c r="AV80" i="15"/>
  <c r="AV81" i="15"/>
  <c r="AV82" i="15"/>
  <c r="AV83" i="15"/>
  <c r="AV84" i="15"/>
  <c r="AV85" i="15"/>
  <c r="AV86" i="15"/>
  <c r="AV87" i="15"/>
  <c r="AV88" i="15"/>
  <c r="AV89" i="15"/>
  <c r="AV90" i="15"/>
  <c r="AV91" i="15"/>
  <c r="AV92" i="15"/>
  <c r="AV93" i="15"/>
  <c r="AV94" i="15"/>
  <c r="AV95" i="15"/>
  <c r="AV96" i="15"/>
  <c r="AV97" i="15"/>
  <c r="AV98" i="15"/>
  <c r="AV99" i="15"/>
  <c r="AV100" i="15"/>
  <c r="AV102" i="15"/>
  <c r="AV103" i="15"/>
  <c r="AV104" i="15"/>
  <c r="AV105" i="15"/>
  <c r="AV106" i="15"/>
  <c r="AM53" i="15"/>
  <c r="AM54" i="15"/>
  <c r="AM55" i="15"/>
  <c r="AM56" i="15"/>
  <c r="AM57" i="15"/>
  <c r="AM58" i="15"/>
  <c r="AM59" i="15"/>
  <c r="AM60" i="15"/>
  <c r="AM61" i="15"/>
  <c r="AM62" i="15"/>
  <c r="AM63" i="15"/>
  <c r="AM64" i="15"/>
  <c r="AM65" i="15"/>
  <c r="AM66" i="15"/>
  <c r="AM67" i="15"/>
  <c r="AM68" i="15"/>
  <c r="AM69" i="15"/>
  <c r="AM70" i="15"/>
  <c r="AM71" i="15"/>
  <c r="AM72" i="15"/>
  <c r="AM73" i="15"/>
  <c r="AM74" i="15"/>
  <c r="AM75" i="15"/>
  <c r="AM76" i="15"/>
  <c r="AM77" i="15"/>
  <c r="AM78" i="15"/>
  <c r="AM79" i="15"/>
  <c r="AM80" i="15"/>
  <c r="AM81" i="15"/>
  <c r="AM82" i="15"/>
  <c r="AM83" i="15"/>
  <c r="AM84" i="15"/>
  <c r="AM85" i="15"/>
  <c r="AM86" i="15"/>
  <c r="AM87" i="15"/>
  <c r="AM88" i="15"/>
  <c r="AM89" i="15"/>
  <c r="AM90" i="15"/>
  <c r="AM91" i="15"/>
  <c r="AM92" i="15"/>
  <c r="AM93" i="15"/>
  <c r="AM94" i="15"/>
  <c r="AM95" i="15"/>
  <c r="AM96" i="15"/>
  <c r="AM97" i="15"/>
  <c r="AM98" i="15"/>
  <c r="AM99" i="15"/>
  <c r="AM100" i="15"/>
  <c r="AM102" i="15"/>
  <c r="AM103" i="15"/>
  <c r="AM104" i="15"/>
  <c r="AM105" i="15"/>
  <c r="AM106" i="15"/>
  <c r="AD53" i="15"/>
  <c r="AD54" i="15"/>
  <c r="AD55" i="15"/>
  <c r="AD56" i="15"/>
  <c r="AD57" i="15"/>
  <c r="AD58" i="15"/>
  <c r="AD59" i="15"/>
  <c r="AD60" i="15"/>
  <c r="AD61" i="15"/>
  <c r="AD62" i="15"/>
  <c r="AD63" i="15"/>
  <c r="AD64" i="15"/>
  <c r="AD65" i="15"/>
  <c r="AD66" i="15"/>
  <c r="AD67" i="15"/>
  <c r="AD68" i="15"/>
  <c r="AD69" i="15"/>
  <c r="AD70" i="15"/>
  <c r="AD71" i="15"/>
  <c r="AD72" i="15"/>
  <c r="AD73" i="15"/>
  <c r="AD74" i="15"/>
  <c r="AD75" i="15"/>
  <c r="AD76" i="15"/>
  <c r="AD77" i="15"/>
  <c r="AD78" i="15"/>
  <c r="AD79" i="15"/>
  <c r="AD80" i="15"/>
  <c r="AD81" i="15"/>
  <c r="AD82" i="15"/>
  <c r="AD83" i="15"/>
  <c r="AD84" i="15"/>
  <c r="AD85" i="15"/>
  <c r="AD86" i="15"/>
  <c r="AD87" i="15"/>
  <c r="AD88" i="15"/>
  <c r="AD89" i="15"/>
  <c r="AD90" i="15"/>
  <c r="AD91" i="15"/>
  <c r="AD92" i="15"/>
  <c r="AD93" i="15"/>
  <c r="AD94" i="15"/>
  <c r="AD95" i="15"/>
  <c r="AD96" i="15"/>
  <c r="AD97" i="15"/>
  <c r="AD98" i="15"/>
  <c r="AD99" i="15"/>
  <c r="AD100" i="15"/>
  <c r="AD102" i="15"/>
  <c r="AD103" i="15"/>
  <c r="AD104" i="15"/>
  <c r="AD105" i="15"/>
  <c r="AD106" i="15"/>
  <c r="AU53" i="15"/>
  <c r="AU54" i="15"/>
  <c r="AU55" i="15"/>
  <c r="AU56" i="15"/>
  <c r="AU57" i="15"/>
  <c r="AU58" i="15"/>
  <c r="AU59" i="15"/>
  <c r="AU60" i="15"/>
  <c r="AU61" i="15"/>
  <c r="AU62" i="15"/>
  <c r="AU63" i="15"/>
  <c r="AU64" i="15"/>
  <c r="AU65" i="15"/>
  <c r="AU66" i="15"/>
  <c r="AU67" i="15"/>
  <c r="AU68" i="15"/>
  <c r="AU69" i="15"/>
  <c r="AU70" i="15"/>
  <c r="AU71" i="15"/>
  <c r="AU72" i="15"/>
  <c r="AU73" i="15"/>
  <c r="AU74" i="15"/>
  <c r="AU75" i="15"/>
  <c r="AU76" i="15"/>
  <c r="AU77" i="15"/>
  <c r="AU78" i="15"/>
  <c r="AU79" i="15"/>
  <c r="AU80" i="15"/>
  <c r="AU81" i="15"/>
  <c r="AU82" i="15"/>
  <c r="AU83" i="15"/>
  <c r="AU84" i="15"/>
  <c r="AU85" i="15"/>
  <c r="AU86" i="15"/>
  <c r="AU87" i="15"/>
  <c r="AU88" i="15"/>
  <c r="AU89" i="15"/>
  <c r="AU90" i="15"/>
  <c r="AU91" i="15"/>
  <c r="AU92" i="15"/>
  <c r="AU93" i="15"/>
  <c r="AU94" i="15"/>
  <c r="AU95" i="15"/>
  <c r="AU96" i="15"/>
  <c r="AU97" i="15"/>
  <c r="AU98" i="15"/>
  <c r="AU99" i="15"/>
  <c r="AU100" i="15"/>
  <c r="AU101" i="15"/>
  <c r="AU102" i="15"/>
  <c r="AU103" i="15"/>
  <c r="AU104" i="15"/>
  <c r="AU105" i="15"/>
  <c r="AU106" i="15"/>
  <c r="AL53" i="15"/>
  <c r="AL54" i="15"/>
  <c r="AL55" i="15"/>
  <c r="AL56" i="15"/>
  <c r="AL59" i="15"/>
  <c r="AL62" i="15"/>
  <c r="AL65" i="15"/>
  <c r="AL67" i="15"/>
  <c r="AL68" i="15"/>
  <c r="AL69" i="15"/>
  <c r="AL70" i="15"/>
  <c r="AL72" i="15"/>
  <c r="AL73" i="15"/>
  <c r="AL74" i="15"/>
  <c r="AL75" i="15"/>
  <c r="AL76" i="15"/>
  <c r="AL77" i="15"/>
  <c r="AL78" i="15"/>
  <c r="AL79" i="15"/>
  <c r="AL81" i="15"/>
  <c r="AL82" i="15"/>
  <c r="AL83" i="15"/>
  <c r="AL84" i="15"/>
  <c r="AL85" i="15"/>
  <c r="AL86" i="15"/>
  <c r="AL87" i="15"/>
  <c r="AL88" i="15"/>
  <c r="AL89" i="15"/>
  <c r="AL90" i="15"/>
  <c r="AL91" i="15"/>
  <c r="AL92" i="15"/>
  <c r="AL93" i="15"/>
  <c r="AL94" i="15"/>
  <c r="AL95" i="15"/>
  <c r="AL96" i="15"/>
  <c r="AL97" i="15"/>
  <c r="AL98" i="15"/>
  <c r="AL99" i="15"/>
  <c r="AL100" i="15"/>
  <c r="AL101" i="15"/>
  <c r="AL102" i="15"/>
  <c r="AL103" i="15"/>
  <c r="AL104" i="15"/>
  <c r="AL105" i="15"/>
  <c r="AL106" i="15"/>
  <c r="AC53" i="15"/>
  <c r="AC54" i="15"/>
  <c r="AC55" i="15"/>
  <c r="AC56" i="15"/>
  <c r="AC59" i="15"/>
  <c r="AC62" i="15"/>
  <c r="AC65" i="15"/>
  <c r="AC67" i="15"/>
  <c r="AC68" i="15"/>
  <c r="AC69" i="15"/>
  <c r="AC70" i="15"/>
  <c r="AC72" i="15"/>
  <c r="AC73" i="15"/>
  <c r="AC74" i="15"/>
  <c r="AC75" i="15"/>
  <c r="AC76" i="15"/>
  <c r="AC77" i="15"/>
  <c r="AC78" i="15"/>
  <c r="AC79" i="15"/>
  <c r="AC81" i="15"/>
  <c r="AC82" i="15"/>
  <c r="AC83" i="15"/>
  <c r="AC84" i="15"/>
  <c r="AC85" i="15"/>
  <c r="AC86" i="15"/>
  <c r="AC87" i="15"/>
  <c r="AC88" i="15"/>
  <c r="AC89" i="15"/>
  <c r="AC90" i="15"/>
  <c r="AC91" i="15"/>
  <c r="AC92" i="15"/>
  <c r="AC93" i="15"/>
  <c r="AC94" i="15"/>
  <c r="AC95" i="15"/>
  <c r="AC96" i="15"/>
  <c r="AC97" i="15"/>
  <c r="AC98" i="15"/>
  <c r="AC99" i="15"/>
  <c r="AC100" i="15"/>
  <c r="AC101" i="15"/>
  <c r="AC102" i="15"/>
  <c r="AC103" i="15"/>
  <c r="AC104" i="15"/>
  <c r="AC105" i="15"/>
  <c r="AC106" i="15"/>
  <c r="AT53" i="15"/>
  <c r="AT54" i="15"/>
  <c r="AT55" i="15"/>
  <c r="AT56" i="15"/>
  <c r="AT57" i="15"/>
  <c r="AT58" i="15"/>
  <c r="AT59" i="15"/>
  <c r="AT60" i="15"/>
  <c r="AT61" i="15"/>
  <c r="AT62" i="15"/>
  <c r="AT63" i="15"/>
  <c r="AT64" i="15"/>
  <c r="AT65" i="15"/>
  <c r="AT66" i="15"/>
  <c r="AT67" i="15"/>
  <c r="AT68" i="15"/>
  <c r="AT69" i="15"/>
  <c r="AT70" i="15"/>
  <c r="AT71" i="15"/>
  <c r="AT72" i="15"/>
  <c r="AT73" i="15"/>
  <c r="AT74" i="15"/>
  <c r="AT75" i="15"/>
  <c r="AT76" i="15"/>
  <c r="AT77" i="15"/>
  <c r="AT78" i="15"/>
  <c r="AT79" i="15"/>
  <c r="AT80" i="15"/>
  <c r="AT81" i="15"/>
  <c r="AT82" i="15"/>
  <c r="AT83" i="15"/>
  <c r="AT84" i="15"/>
  <c r="AT85" i="15"/>
  <c r="AT86" i="15"/>
  <c r="AT87" i="15"/>
  <c r="AT88" i="15"/>
  <c r="AT89" i="15"/>
  <c r="AT90" i="15"/>
  <c r="AT91" i="15"/>
  <c r="AT92" i="15"/>
  <c r="AT93" i="15"/>
  <c r="AT94" i="15"/>
  <c r="AT95" i="15"/>
  <c r="AT96" i="15"/>
  <c r="AT97" i="15"/>
  <c r="AT98" i="15"/>
  <c r="AT99" i="15"/>
  <c r="AT100" i="15"/>
  <c r="AT101" i="15"/>
  <c r="AT102" i="15"/>
  <c r="AT103" i="15"/>
  <c r="AT104" i="15"/>
  <c r="AT105" i="15"/>
  <c r="AT106" i="15"/>
  <c r="AK53" i="15"/>
  <c r="AK54" i="15"/>
  <c r="AK55" i="15"/>
  <c r="AK57" i="15"/>
  <c r="AK58" i="15"/>
  <c r="AK60" i="15"/>
  <c r="AK61" i="15"/>
  <c r="AK63" i="15"/>
  <c r="AK64" i="15"/>
  <c r="AK66" i="15"/>
  <c r="AK68" i="15"/>
  <c r="AK71" i="15"/>
  <c r="AK80" i="15"/>
  <c r="AK81" i="15"/>
  <c r="AK94" i="15"/>
  <c r="AB53" i="15"/>
  <c r="AB54" i="15"/>
  <c r="AB55" i="15"/>
  <c r="AB57" i="15"/>
  <c r="AB58" i="15"/>
  <c r="AB60" i="15"/>
  <c r="AB61" i="15"/>
  <c r="AB63" i="15"/>
  <c r="AB64" i="15"/>
  <c r="AB66" i="15"/>
  <c r="AB68" i="15"/>
  <c r="AB71" i="15"/>
  <c r="AB80" i="15"/>
  <c r="AB81" i="15"/>
  <c r="AB94" i="15"/>
  <c r="AS53" i="15"/>
  <c r="AS54" i="15"/>
  <c r="AS55" i="15"/>
  <c r="AS56" i="15"/>
  <c r="AS57" i="15"/>
  <c r="AS58" i="15"/>
  <c r="AS59" i="15"/>
  <c r="AS60" i="15"/>
  <c r="AS61" i="15"/>
  <c r="AS62" i="15"/>
  <c r="AS63" i="15"/>
  <c r="AS64" i="15"/>
  <c r="AS65" i="15"/>
  <c r="AS66" i="15"/>
  <c r="AS67" i="15"/>
  <c r="AS68" i="15"/>
  <c r="AS69" i="15"/>
  <c r="AS70" i="15"/>
  <c r="AS71" i="15"/>
  <c r="AS72" i="15"/>
  <c r="AS73" i="15"/>
  <c r="AS74" i="15"/>
  <c r="AS75" i="15"/>
  <c r="AS76" i="15"/>
  <c r="AS77" i="15"/>
  <c r="AS78" i="15"/>
  <c r="AS79" i="15"/>
  <c r="AS80" i="15"/>
  <c r="AS81" i="15"/>
  <c r="AS82" i="15"/>
  <c r="AS83" i="15"/>
  <c r="AS84" i="15"/>
  <c r="AS85" i="15"/>
  <c r="AS86" i="15"/>
  <c r="AS87" i="15"/>
  <c r="AS88" i="15"/>
  <c r="AS89" i="15"/>
  <c r="AS90" i="15"/>
  <c r="AS91" i="15"/>
  <c r="AS92" i="15"/>
  <c r="AS93" i="15"/>
  <c r="AS94" i="15"/>
  <c r="AS95" i="15"/>
  <c r="AS96" i="15"/>
  <c r="AS97" i="15"/>
  <c r="AS98" i="15"/>
  <c r="AS99" i="15"/>
  <c r="AS100" i="15"/>
  <c r="AS101" i="15"/>
  <c r="AS102" i="15"/>
  <c r="AS103" i="15"/>
  <c r="AS104" i="15"/>
  <c r="AS105" i="15"/>
  <c r="AS106" i="15"/>
  <c r="AJ53" i="15"/>
  <c r="AJ54" i="15"/>
  <c r="AJ55" i="15"/>
  <c r="AJ56" i="15"/>
  <c r="AJ57" i="15"/>
  <c r="AJ58" i="15"/>
  <c r="AJ59" i="15"/>
  <c r="AJ60" i="15"/>
  <c r="AJ61" i="15"/>
  <c r="AJ62" i="15"/>
  <c r="AJ63" i="15"/>
  <c r="AJ64" i="15"/>
  <c r="AJ65" i="15"/>
  <c r="AJ66" i="15"/>
  <c r="AJ67" i="15"/>
  <c r="AJ68" i="15"/>
  <c r="AJ69" i="15"/>
  <c r="AJ70" i="15"/>
  <c r="AJ71" i="15"/>
  <c r="AJ72" i="15"/>
  <c r="AJ73" i="15"/>
  <c r="AJ74" i="15"/>
  <c r="AJ75" i="15"/>
  <c r="AJ76" i="15"/>
  <c r="AJ77" i="15"/>
  <c r="AJ78" i="15"/>
  <c r="AJ79" i="15"/>
  <c r="AJ80" i="15"/>
  <c r="AJ81" i="15"/>
  <c r="AJ82" i="15"/>
  <c r="AJ83" i="15"/>
  <c r="AJ84" i="15"/>
  <c r="AJ85" i="15"/>
  <c r="AJ86" i="15"/>
  <c r="AJ87" i="15"/>
  <c r="AJ88" i="15"/>
  <c r="AJ89" i="15"/>
  <c r="AJ90" i="15"/>
  <c r="AJ91" i="15"/>
  <c r="AJ92" i="15"/>
  <c r="AJ93" i="15"/>
  <c r="AJ94" i="15"/>
  <c r="AJ95" i="15"/>
  <c r="AJ96" i="15"/>
  <c r="AJ97" i="15"/>
  <c r="AJ98" i="15"/>
  <c r="AJ99" i="15"/>
  <c r="AJ100" i="15"/>
  <c r="AJ101" i="15"/>
  <c r="AJ102" i="15"/>
  <c r="AJ103" i="15"/>
  <c r="AJ104" i="15"/>
  <c r="AJ105" i="15"/>
  <c r="AJ106" i="15"/>
  <c r="AA53" i="15"/>
  <c r="AA54" i="15"/>
  <c r="AA55" i="15"/>
  <c r="AA56" i="15"/>
  <c r="AA57" i="15"/>
  <c r="AA58" i="15"/>
  <c r="AA59" i="15"/>
  <c r="AA60" i="15"/>
  <c r="AA61" i="15"/>
  <c r="AA62" i="15"/>
  <c r="AA63" i="15"/>
  <c r="AA64" i="15"/>
  <c r="AA65" i="15"/>
  <c r="AA66" i="15"/>
  <c r="AA67" i="15"/>
  <c r="AA68" i="15"/>
  <c r="AA69" i="15"/>
  <c r="AA70" i="15"/>
  <c r="AA71" i="15"/>
  <c r="AA72" i="15"/>
  <c r="AA73" i="15"/>
  <c r="AA74" i="15"/>
  <c r="AA75" i="15"/>
  <c r="AA76" i="15"/>
  <c r="AA77" i="15"/>
  <c r="AA78" i="15"/>
  <c r="AA79" i="15"/>
  <c r="AA80" i="15"/>
  <c r="AA81" i="15"/>
  <c r="AA82" i="15"/>
  <c r="AA83" i="15"/>
  <c r="AA84" i="15"/>
  <c r="AA85" i="15"/>
  <c r="AA86" i="15"/>
  <c r="AA87" i="15"/>
  <c r="AA88" i="15"/>
  <c r="AA89" i="15"/>
  <c r="AA90" i="15"/>
  <c r="AA91" i="15"/>
  <c r="AA92" i="15"/>
  <c r="AA93" i="15"/>
  <c r="AA94" i="15"/>
  <c r="AA95" i="15"/>
  <c r="AA96" i="15"/>
  <c r="AA97" i="15"/>
  <c r="AA98" i="15"/>
  <c r="AA99" i="15"/>
  <c r="AA100" i="15"/>
  <c r="AA101" i="15"/>
  <c r="AA102" i="15"/>
  <c r="AA103" i="15"/>
  <c r="AA104" i="15"/>
  <c r="AA105" i="15"/>
  <c r="AA106" i="15"/>
  <c r="AR53" i="15"/>
  <c r="AR54" i="15"/>
  <c r="AR55" i="15"/>
  <c r="AR56" i="15"/>
  <c r="AR57" i="15"/>
  <c r="AR58" i="15"/>
  <c r="AR59" i="15"/>
  <c r="AR60" i="15"/>
  <c r="AR61" i="15"/>
  <c r="AR62" i="15"/>
  <c r="AR63" i="15"/>
  <c r="AR64" i="15"/>
  <c r="AR65" i="15"/>
  <c r="AR66" i="15"/>
  <c r="AR67" i="15"/>
  <c r="AR68" i="15"/>
  <c r="AR69" i="15"/>
  <c r="AR70" i="15"/>
  <c r="AR71" i="15"/>
  <c r="AR72" i="15"/>
  <c r="AR73" i="15"/>
  <c r="AR74" i="15"/>
  <c r="AR75" i="15"/>
  <c r="AR76" i="15"/>
  <c r="AR77" i="15"/>
  <c r="AR78" i="15"/>
  <c r="AR79" i="15"/>
  <c r="AR80" i="15"/>
  <c r="AR81" i="15"/>
  <c r="AR82" i="15"/>
  <c r="AR83" i="15"/>
  <c r="AR84" i="15"/>
  <c r="AR85" i="15"/>
  <c r="AR86" i="15"/>
  <c r="AR87" i="15"/>
  <c r="AR88" i="15"/>
  <c r="AR89" i="15"/>
  <c r="AR90" i="15"/>
  <c r="AR91" i="15"/>
  <c r="AR92" i="15"/>
  <c r="AR93" i="15"/>
  <c r="AR94" i="15"/>
  <c r="AR95" i="15"/>
  <c r="AR96" i="15"/>
  <c r="AR97" i="15"/>
  <c r="AR98" i="15"/>
  <c r="AR99" i="15"/>
  <c r="AR100" i="15"/>
  <c r="AR101" i="15"/>
  <c r="AR102" i="15"/>
  <c r="AR103" i="15"/>
  <c r="AR104" i="15"/>
  <c r="AR105" i="15"/>
  <c r="AR106" i="15"/>
  <c r="AI53" i="15"/>
  <c r="AI54" i="15"/>
  <c r="AI55" i="15"/>
  <c r="AI68" i="15"/>
  <c r="AI81" i="15"/>
  <c r="AI94" i="15"/>
  <c r="AI95" i="15"/>
  <c r="AI96" i="15"/>
  <c r="AI97" i="15"/>
  <c r="AI98" i="15"/>
  <c r="AI99" i="15"/>
  <c r="AI100" i="15"/>
  <c r="AI101" i="15"/>
  <c r="AI102" i="15"/>
  <c r="AI103" i="15"/>
  <c r="AI104" i="15"/>
  <c r="AI105" i="15"/>
  <c r="AI106" i="15"/>
  <c r="Z53" i="15"/>
  <c r="Z54" i="15"/>
  <c r="Z55" i="15"/>
  <c r="Z68" i="15"/>
  <c r="Z81" i="15"/>
  <c r="Z94" i="15"/>
  <c r="Z95" i="15"/>
  <c r="Z96" i="15"/>
  <c r="Z97" i="15"/>
  <c r="Z98" i="15"/>
  <c r="Z99" i="15"/>
  <c r="Z100" i="15"/>
  <c r="Z101" i="15"/>
  <c r="Z102" i="15"/>
  <c r="Z103" i="15"/>
  <c r="Z104" i="15"/>
  <c r="Z105" i="15"/>
  <c r="Z106" i="15"/>
  <c r="Q53" i="15"/>
  <c r="R53" i="15" s="1"/>
  <c r="V53" i="15" s="1"/>
  <c r="S53" i="15"/>
  <c r="T53" i="15" s="1"/>
  <c r="U53" i="15"/>
  <c r="Q54" i="15"/>
  <c r="V54" i="15" s="1"/>
  <c r="R54" i="15"/>
  <c r="S54" i="15"/>
  <c r="T54" i="15"/>
  <c r="U54" i="15"/>
  <c r="Q55" i="15"/>
  <c r="R55" i="15" s="1"/>
  <c r="V55" i="15" s="1"/>
  <c r="S55" i="15"/>
  <c r="T55" i="15" s="1"/>
  <c r="Q56" i="15"/>
  <c r="R56" i="15"/>
  <c r="S56" i="15"/>
  <c r="T56" i="15" s="1"/>
  <c r="Q57" i="15"/>
  <c r="S57" i="15" s="1"/>
  <c r="R57" i="15"/>
  <c r="Q58" i="15"/>
  <c r="V58" i="15" s="1"/>
  <c r="R58" i="15"/>
  <c r="S58" i="15"/>
  <c r="T58" i="15" s="1"/>
  <c r="Q59" i="15"/>
  <c r="R59" i="15" s="1"/>
  <c r="S59" i="15"/>
  <c r="T59" i="15" s="1"/>
  <c r="Q60" i="15"/>
  <c r="R60" i="15" s="1"/>
  <c r="Q61" i="15"/>
  <c r="R61" i="15" s="1"/>
  <c r="S61" i="15"/>
  <c r="T61" i="15" s="1"/>
  <c r="Q62" i="15"/>
  <c r="V62" i="15" s="1"/>
  <c r="R62" i="15"/>
  <c r="S62" i="15"/>
  <c r="T62" i="15"/>
  <c r="U62" i="15"/>
  <c r="Q63" i="15"/>
  <c r="R63" i="15" s="1"/>
  <c r="V63" i="15" s="1"/>
  <c r="S63" i="15"/>
  <c r="T63" i="15" s="1"/>
  <c r="U63" i="15"/>
  <c r="Q64" i="15"/>
  <c r="R64" i="15"/>
  <c r="S64" i="15"/>
  <c r="T64" i="15" s="1"/>
  <c r="V64" i="15"/>
  <c r="Q65" i="15"/>
  <c r="S65" i="15" s="1"/>
  <c r="R65" i="15"/>
  <c r="Q66" i="15"/>
  <c r="R66" i="15"/>
  <c r="S66" i="15"/>
  <c r="T66" i="15" s="1"/>
  <c r="Q67" i="15"/>
  <c r="R67" i="15" s="1"/>
  <c r="S67" i="15"/>
  <c r="T67" i="15" s="1"/>
  <c r="Q68" i="15"/>
  <c r="R68" i="15" s="1"/>
  <c r="Q69" i="15"/>
  <c r="R69" i="15" s="1"/>
  <c r="S69" i="15"/>
  <c r="T69" i="15" s="1"/>
  <c r="Q70" i="15"/>
  <c r="V70" i="15" s="1"/>
  <c r="R70" i="15"/>
  <c r="S70" i="15"/>
  <c r="T70" i="15"/>
  <c r="U70" i="15"/>
  <c r="Q71" i="15"/>
  <c r="R71" i="15" s="1"/>
  <c r="V71" i="15" s="1"/>
  <c r="S71" i="15"/>
  <c r="T71" i="15" s="1"/>
  <c r="U71" i="15"/>
  <c r="Q72" i="15"/>
  <c r="R72" i="15"/>
  <c r="S72" i="15"/>
  <c r="T72" i="15" s="1"/>
  <c r="V72" i="15"/>
  <c r="W72" i="15" s="1"/>
  <c r="Q73" i="15"/>
  <c r="S73" i="15" s="1"/>
  <c r="R73" i="15"/>
  <c r="Q74" i="15"/>
  <c r="R74" i="15"/>
  <c r="S74" i="15"/>
  <c r="T74" i="15" s="1"/>
  <c r="Q75" i="15"/>
  <c r="R75" i="15" s="1"/>
  <c r="S75" i="15"/>
  <c r="T75" i="15" s="1"/>
  <c r="Q76" i="15"/>
  <c r="R76" i="15" s="1"/>
  <c r="Q77" i="15"/>
  <c r="R77" i="15" s="1"/>
  <c r="S77" i="15"/>
  <c r="T77" i="15" s="1"/>
  <c r="Q78" i="15"/>
  <c r="V78" i="15" s="1"/>
  <c r="R78" i="15"/>
  <c r="S78" i="15"/>
  <c r="T78" i="15"/>
  <c r="U78" i="15"/>
  <c r="Q79" i="15"/>
  <c r="R79" i="15" s="1"/>
  <c r="V79" i="15" s="1"/>
  <c r="S79" i="15"/>
  <c r="T79" i="15" s="1"/>
  <c r="U79" i="15"/>
  <c r="Q80" i="15"/>
  <c r="R80" i="15"/>
  <c r="S80" i="15"/>
  <c r="T80" i="15" s="1"/>
  <c r="V80" i="15"/>
  <c r="Q81" i="15"/>
  <c r="S81" i="15" s="1"/>
  <c r="R81" i="15"/>
  <c r="Q82" i="15"/>
  <c r="R82" i="15"/>
  <c r="S82" i="15"/>
  <c r="T82" i="15" s="1"/>
  <c r="Q83" i="15"/>
  <c r="R83" i="15" s="1"/>
  <c r="S83" i="15"/>
  <c r="T83" i="15" s="1"/>
  <c r="Q84" i="15"/>
  <c r="R84" i="15" s="1"/>
  <c r="Q85" i="15"/>
  <c r="R85" i="15" s="1"/>
  <c r="S85" i="15"/>
  <c r="T85" i="15" s="1"/>
  <c r="Q86" i="15"/>
  <c r="V86" i="15" s="1"/>
  <c r="R86" i="15"/>
  <c r="S86" i="15"/>
  <c r="T86" i="15"/>
  <c r="U86" i="15"/>
  <c r="Q87" i="15"/>
  <c r="R87" i="15" s="1"/>
  <c r="V87" i="15" s="1"/>
  <c r="S87" i="15"/>
  <c r="T87" i="15" s="1"/>
  <c r="U87" i="15"/>
  <c r="Q88" i="15"/>
  <c r="R88" i="15"/>
  <c r="S88" i="15"/>
  <c r="T88" i="15" s="1"/>
  <c r="V88" i="15"/>
  <c r="W88" i="15" s="1"/>
  <c r="X88" i="15"/>
  <c r="Q89" i="15"/>
  <c r="S89" i="15" s="1"/>
  <c r="R89" i="15"/>
  <c r="Q90" i="15"/>
  <c r="R90" i="15"/>
  <c r="S90" i="15"/>
  <c r="T90" i="15" s="1"/>
  <c r="Q91" i="15"/>
  <c r="R91" i="15" s="1"/>
  <c r="S91" i="15"/>
  <c r="T91" i="15" s="1"/>
  <c r="Q92" i="15"/>
  <c r="R92" i="15" s="1"/>
  <c r="Q93" i="15"/>
  <c r="R93" i="15" s="1"/>
  <c r="S93" i="15"/>
  <c r="T93" i="15" s="1"/>
  <c r="Q94" i="15"/>
  <c r="V94" i="15" s="1"/>
  <c r="R94" i="15"/>
  <c r="S94" i="15"/>
  <c r="T94" i="15"/>
  <c r="U94" i="15"/>
  <c r="Q95" i="15"/>
  <c r="R95" i="15" s="1"/>
  <c r="V95" i="15" s="1"/>
  <c r="S95" i="15"/>
  <c r="T95" i="15" s="1"/>
  <c r="U95" i="15"/>
  <c r="Q96" i="15"/>
  <c r="R96" i="15"/>
  <c r="S96" i="15"/>
  <c r="T96" i="15" s="1"/>
  <c r="V96" i="15"/>
  <c r="W96" i="15" s="1"/>
  <c r="Q97" i="15"/>
  <c r="S97" i="15" s="1"/>
  <c r="R97" i="15"/>
  <c r="Q98" i="15"/>
  <c r="R98" i="15"/>
  <c r="S98" i="15"/>
  <c r="T98" i="15" s="1"/>
  <c r="Q99" i="15"/>
  <c r="R99" i="15" s="1"/>
  <c r="S99" i="15"/>
  <c r="T99" i="15" s="1"/>
  <c r="Q100" i="15"/>
  <c r="R100" i="15" s="1"/>
  <c r="Q101" i="15"/>
  <c r="R101" i="15" s="1"/>
  <c r="S101" i="15"/>
  <c r="T101" i="15" s="1"/>
  <c r="Q102" i="15"/>
  <c r="V102" i="15" s="1"/>
  <c r="R102" i="15"/>
  <c r="S102" i="15"/>
  <c r="T102" i="15"/>
  <c r="U102" i="15"/>
  <c r="Q103" i="15"/>
  <c r="R103" i="15" s="1"/>
  <c r="V103" i="15" s="1"/>
  <c r="S103" i="15"/>
  <c r="T103" i="15" s="1"/>
  <c r="U103" i="15"/>
  <c r="Q104" i="15"/>
  <c r="R104" i="15"/>
  <c r="S104" i="15"/>
  <c r="T104" i="15" s="1"/>
  <c r="V104" i="15"/>
  <c r="Q105" i="15"/>
  <c r="S105" i="15" s="1"/>
  <c r="R105" i="15"/>
  <c r="Q106" i="15"/>
  <c r="R106" i="15"/>
  <c r="S106" i="15"/>
  <c r="T106" i="15" s="1"/>
  <c r="Q44" i="15"/>
  <c r="Q43" i="15"/>
  <c r="M26" i="15"/>
  <c r="L26" i="15"/>
  <c r="K26" i="15"/>
  <c r="J26" i="15"/>
  <c r="I26" i="15"/>
  <c r="H26" i="15"/>
  <c r="G26" i="15"/>
  <c r="F26" i="15"/>
  <c r="E26" i="15"/>
  <c r="D26" i="15"/>
  <c r="C26" i="15"/>
  <c r="B26" i="15"/>
  <c r="B7" i="15"/>
  <c r="Y13" i="14"/>
  <c r="AF22" i="14" s="1"/>
  <c r="P22" i="14"/>
  <c r="O22" i="14"/>
  <c r="N22" i="14"/>
  <c r="M22" i="14"/>
  <c r="L22" i="14"/>
  <c r="K22" i="14"/>
  <c r="J22" i="14"/>
  <c r="I22" i="14"/>
  <c r="H22" i="14"/>
  <c r="G22" i="14"/>
  <c r="AT22" i="14"/>
  <c r="AS22" i="14"/>
  <c r="AR22" i="14"/>
  <c r="AQ22" i="14"/>
  <c r="AP22" i="14"/>
  <c r="AO22" i="14"/>
  <c r="AN22" i="14"/>
  <c r="AM22" i="14"/>
  <c r="AL22" i="14"/>
  <c r="AK22" i="14"/>
  <c r="AJ22" i="14"/>
  <c r="AI22" i="14"/>
  <c r="AH22" i="14"/>
  <c r="AG22" i="14"/>
  <c r="AD22" i="14"/>
  <c r="AC22" i="14"/>
  <c r="AB22" i="14"/>
  <c r="AA22" i="14"/>
  <c r="Z22" i="14"/>
  <c r="X22" i="14"/>
  <c r="W22" i="14"/>
  <c r="V22" i="14"/>
  <c r="U22" i="14"/>
  <c r="T22" i="14"/>
  <c r="S22" i="14"/>
  <c r="R22" i="14"/>
  <c r="Q22" i="14"/>
  <c r="AU22" i="14"/>
  <c r="F22" i="14"/>
  <c r="E22" i="14"/>
  <c r="D22" i="14"/>
  <c r="C22" i="14"/>
  <c r="P21" i="14"/>
  <c r="O21" i="14"/>
  <c r="N21" i="14"/>
  <c r="M21" i="14"/>
  <c r="L21" i="14"/>
  <c r="K21" i="14"/>
  <c r="J21" i="14"/>
  <c r="I21" i="14"/>
  <c r="H21" i="14"/>
  <c r="G21" i="14"/>
  <c r="AT21" i="14"/>
  <c r="AS21" i="14"/>
  <c r="AR21" i="14"/>
  <c r="AQ21" i="14"/>
  <c r="AP21" i="14"/>
  <c r="AN21" i="14"/>
  <c r="AM21" i="14"/>
  <c r="AL21" i="14"/>
  <c r="AK21" i="14"/>
  <c r="AJ21" i="14"/>
  <c r="AI21" i="14"/>
  <c r="AH21" i="14"/>
  <c r="AG21" i="14"/>
  <c r="AF21" i="14"/>
  <c r="AE21" i="14"/>
  <c r="AD21" i="14"/>
  <c r="AC21" i="14"/>
  <c r="AB21" i="14"/>
  <c r="Z21" i="14"/>
  <c r="X21" i="14"/>
  <c r="W21" i="14"/>
  <c r="V21" i="14"/>
  <c r="U21" i="14"/>
  <c r="T21" i="14"/>
  <c r="S21" i="14"/>
  <c r="R21" i="14"/>
  <c r="Q21" i="14"/>
  <c r="AU21" i="14"/>
  <c r="F21" i="14"/>
  <c r="E21" i="14"/>
  <c r="P20" i="14"/>
  <c r="O20" i="14"/>
  <c r="N20" i="14"/>
  <c r="M20" i="14"/>
  <c r="L20" i="14"/>
  <c r="K20" i="14"/>
  <c r="J20" i="14"/>
  <c r="I20" i="14"/>
  <c r="H20" i="14"/>
  <c r="G20" i="14"/>
  <c r="AT20" i="14"/>
  <c r="AS20" i="14"/>
  <c r="AR20" i="14"/>
  <c r="AQ20" i="14"/>
  <c r="AP20" i="14"/>
  <c r="AO20" i="14"/>
  <c r="AN20" i="14"/>
  <c r="AM20" i="14"/>
  <c r="AK20" i="14"/>
  <c r="AI20" i="14"/>
  <c r="AH20" i="14"/>
  <c r="AG20" i="14"/>
  <c r="AF20" i="14"/>
  <c r="AE20" i="14"/>
  <c r="AD20" i="14"/>
  <c r="AC20" i="14"/>
  <c r="AB20" i="14"/>
  <c r="AA20" i="14"/>
  <c r="Z20" i="14"/>
  <c r="X20" i="14"/>
  <c r="W20" i="14"/>
  <c r="V20" i="14"/>
  <c r="U20" i="14"/>
  <c r="T20" i="14"/>
  <c r="S20" i="14"/>
  <c r="R20" i="14"/>
  <c r="Q20" i="14"/>
  <c r="AU20" i="14"/>
  <c r="F20" i="14"/>
  <c r="E20" i="14"/>
  <c r="D20" i="14"/>
  <c r="C20" i="14"/>
  <c r="P19" i="14"/>
  <c r="O19" i="14"/>
  <c r="N19" i="14"/>
  <c r="M19" i="14"/>
  <c r="L19" i="14"/>
  <c r="K19" i="14"/>
  <c r="J19" i="14"/>
  <c r="I19" i="14"/>
  <c r="H19" i="14"/>
  <c r="G19" i="14"/>
  <c r="AT19" i="14"/>
  <c r="AS19" i="14"/>
  <c r="AR19" i="14"/>
  <c r="AQ19" i="14"/>
  <c r="AP19" i="14"/>
  <c r="AN19" i="14"/>
  <c r="AM19" i="14"/>
  <c r="AL19" i="14"/>
  <c r="AK19" i="14"/>
  <c r="AJ19" i="14"/>
  <c r="AI19" i="14"/>
  <c r="AG19" i="14"/>
  <c r="AD19" i="14"/>
  <c r="AC19" i="14"/>
  <c r="AB19" i="14"/>
  <c r="AA19" i="14"/>
  <c r="Z19" i="14"/>
  <c r="X19" i="14"/>
  <c r="W19" i="14"/>
  <c r="V19" i="14"/>
  <c r="U19" i="14"/>
  <c r="T19" i="14"/>
  <c r="S19" i="14"/>
  <c r="R19" i="14"/>
  <c r="Q19" i="14"/>
  <c r="AU19" i="14"/>
  <c r="F19" i="14"/>
  <c r="E19" i="14"/>
  <c r="P18" i="14"/>
  <c r="O18" i="14"/>
  <c r="N18" i="14"/>
  <c r="M18" i="14"/>
  <c r="L18" i="14"/>
  <c r="K18" i="14"/>
  <c r="J18" i="14"/>
  <c r="I18" i="14"/>
  <c r="H18" i="14"/>
  <c r="G18" i="14"/>
  <c r="AT18" i="14"/>
  <c r="AS18" i="14"/>
  <c r="AR18" i="14"/>
  <c r="AQ18" i="14"/>
  <c r="AP18" i="14"/>
  <c r="AO18" i="14"/>
  <c r="AN18" i="14"/>
  <c r="AM18" i="14"/>
  <c r="AL18" i="14"/>
  <c r="AK18" i="14"/>
  <c r="AI18" i="14"/>
  <c r="AH18" i="14"/>
  <c r="AG18" i="14"/>
  <c r="AF18" i="14"/>
  <c r="AE18" i="14"/>
  <c r="AD18" i="14"/>
  <c r="AC18" i="14"/>
  <c r="AB18" i="14"/>
  <c r="X18" i="14"/>
  <c r="W18" i="14"/>
  <c r="V18" i="14"/>
  <c r="U18" i="14"/>
  <c r="T18" i="14"/>
  <c r="S18" i="14"/>
  <c r="R18" i="14"/>
  <c r="Q18" i="14"/>
  <c r="AU18" i="14"/>
  <c r="F18" i="14"/>
  <c r="E18" i="14"/>
  <c r="P17" i="14"/>
  <c r="O17" i="14"/>
  <c r="N17" i="14"/>
  <c r="M17" i="14"/>
  <c r="L17" i="14"/>
  <c r="K17" i="14"/>
  <c r="J17" i="14"/>
  <c r="I17" i="14"/>
  <c r="H17" i="14"/>
  <c r="G17" i="14"/>
  <c r="AT17" i="14"/>
  <c r="AS17" i="14"/>
  <c r="AR17" i="14"/>
  <c r="AQ17" i="14"/>
  <c r="AP17" i="14"/>
  <c r="AO17" i="14"/>
  <c r="AN17" i="14"/>
  <c r="AM17" i="14"/>
  <c r="AL17" i="14"/>
  <c r="AK17" i="14"/>
  <c r="AJ17" i="14"/>
  <c r="AI17" i="14"/>
  <c r="AH17" i="14"/>
  <c r="AG17" i="14"/>
  <c r="AF17" i="14"/>
  <c r="AE17" i="14"/>
  <c r="AD17" i="14"/>
  <c r="AB17" i="14"/>
  <c r="AA17" i="14"/>
  <c r="Z17" i="14"/>
  <c r="X17" i="14"/>
  <c r="W17" i="14"/>
  <c r="V17" i="14"/>
  <c r="U17" i="14"/>
  <c r="T17" i="14"/>
  <c r="S17" i="14"/>
  <c r="R17" i="14"/>
  <c r="Q17" i="14"/>
  <c r="AU17" i="14"/>
  <c r="F17" i="14"/>
  <c r="E17" i="14"/>
  <c r="P16" i="14"/>
  <c r="O16" i="14"/>
  <c r="N16" i="14"/>
  <c r="M16" i="14"/>
  <c r="L16" i="14"/>
  <c r="K16" i="14"/>
  <c r="J16" i="14"/>
  <c r="I16" i="14"/>
  <c r="H16" i="14"/>
  <c r="G16" i="14"/>
  <c r="AT16" i="14"/>
  <c r="AS16" i="14"/>
  <c r="AR16" i="14"/>
  <c r="AQ16" i="14"/>
  <c r="AP16" i="14"/>
  <c r="AO16" i="14"/>
  <c r="AK16" i="14"/>
  <c r="AJ16" i="14"/>
  <c r="AI16" i="14"/>
  <c r="AH16" i="14"/>
  <c r="AG16" i="14"/>
  <c r="AF16" i="14"/>
  <c r="AE16" i="14"/>
  <c r="AD16" i="14"/>
  <c r="AC16" i="14"/>
  <c r="AB16" i="14"/>
  <c r="AA16" i="14"/>
  <c r="Z16" i="14"/>
  <c r="X16" i="14"/>
  <c r="W16" i="14"/>
  <c r="V16" i="14"/>
  <c r="U16" i="14"/>
  <c r="T16" i="14"/>
  <c r="S16" i="14"/>
  <c r="R16" i="14"/>
  <c r="Q16" i="14"/>
  <c r="AU16" i="14"/>
  <c r="F16" i="14"/>
  <c r="E16" i="14"/>
  <c r="D16" i="14"/>
  <c r="C16" i="14"/>
  <c r="P15" i="14"/>
  <c r="O15" i="14"/>
  <c r="N15" i="14"/>
  <c r="M15" i="14"/>
  <c r="L15" i="14"/>
  <c r="K15" i="14"/>
  <c r="J15" i="14"/>
  <c r="I15" i="14"/>
  <c r="H15" i="14"/>
  <c r="G15" i="14"/>
  <c r="AT15" i="14"/>
  <c r="AS15" i="14"/>
  <c r="AR15" i="14"/>
  <c r="AQ15" i="14"/>
  <c r="AP15" i="14"/>
  <c r="AO15" i="14"/>
  <c r="AN15" i="14"/>
  <c r="AM15" i="14"/>
  <c r="AL15" i="14"/>
  <c r="AK15" i="14"/>
  <c r="AI15" i="14"/>
  <c r="AG15" i="14"/>
  <c r="AF15" i="14"/>
  <c r="AE15" i="14"/>
  <c r="AD15" i="14"/>
  <c r="AC15" i="14"/>
  <c r="AB15" i="14"/>
  <c r="AA15" i="14"/>
  <c r="Z15" i="14"/>
  <c r="X15" i="14"/>
  <c r="W15" i="14"/>
  <c r="V15" i="14"/>
  <c r="U15" i="14"/>
  <c r="T15" i="14"/>
  <c r="S15" i="14"/>
  <c r="R15" i="14"/>
  <c r="Q15" i="14"/>
  <c r="AU15" i="14"/>
  <c r="F15" i="14"/>
  <c r="E15" i="14"/>
  <c r="P14" i="14"/>
  <c r="O14" i="14"/>
  <c r="N14" i="14"/>
  <c r="M14" i="14"/>
  <c r="L14" i="14"/>
  <c r="K14" i="14"/>
  <c r="J14" i="14"/>
  <c r="I14" i="14"/>
  <c r="H14" i="14"/>
  <c r="G14" i="14"/>
  <c r="AT14" i="14"/>
  <c r="AS14" i="14"/>
  <c r="AR14" i="14"/>
  <c r="AQ14" i="14"/>
  <c r="AP14" i="14"/>
  <c r="AO14" i="14"/>
  <c r="AN14" i="14"/>
  <c r="AM14" i="14"/>
  <c r="AK14" i="14"/>
  <c r="AJ14" i="14"/>
  <c r="AI14" i="14"/>
  <c r="AH14" i="14"/>
  <c r="AG14" i="14"/>
  <c r="AF14" i="14"/>
  <c r="AE14" i="14"/>
  <c r="AD14" i="14"/>
  <c r="AB14" i="14"/>
  <c r="Z14" i="14"/>
  <c r="X14" i="14"/>
  <c r="W14" i="14"/>
  <c r="V14" i="14"/>
  <c r="U14" i="14"/>
  <c r="T14" i="14"/>
  <c r="S14" i="14"/>
  <c r="R14" i="14"/>
  <c r="Q14" i="14"/>
  <c r="AU14" i="14"/>
  <c r="F14" i="14"/>
  <c r="E14" i="14"/>
  <c r="P13" i="14"/>
  <c r="O13" i="14"/>
  <c r="N13" i="14"/>
  <c r="M13" i="14"/>
  <c r="L13" i="14"/>
  <c r="K13" i="14"/>
  <c r="J13" i="14"/>
  <c r="I13" i="14"/>
  <c r="H13" i="14"/>
  <c r="G13" i="14"/>
  <c r="AT13" i="14"/>
  <c r="AS13" i="14"/>
  <c r="AR13" i="14"/>
  <c r="AQ13" i="14"/>
  <c r="AP13" i="14"/>
  <c r="AO13" i="14"/>
  <c r="AN13" i="14"/>
  <c r="AM13" i="14"/>
  <c r="AL13" i="14"/>
  <c r="AK13" i="14"/>
  <c r="AJ13" i="14"/>
  <c r="AI13" i="14"/>
  <c r="AH13" i="14"/>
  <c r="AG13" i="14"/>
  <c r="AD13" i="14"/>
  <c r="AC13" i="14"/>
  <c r="AB13" i="14"/>
  <c r="AA13" i="14"/>
  <c r="Z13" i="14"/>
  <c r="X13" i="14"/>
  <c r="W13" i="14"/>
  <c r="V13" i="14"/>
  <c r="U13" i="14"/>
  <c r="T13" i="14"/>
  <c r="S13" i="14"/>
  <c r="R13" i="14"/>
  <c r="Q13" i="14"/>
  <c r="AU13" i="14"/>
  <c r="F13" i="14"/>
  <c r="E13" i="14"/>
  <c r="B10" i="14"/>
  <c r="B9" i="14"/>
  <c r="B7" i="14"/>
  <c r="H59" i="13"/>
  <c r="G59" i="13"/>
  <c r="F59" i="13"/>
  <c r="E59" i="13"/>
  <c r="D59" i="13"/>
  <c r="C59" i="13"/>
  <c r="B59" i="13"/>
  <c r="H37" i="13"/>
  <c r="G37" i="13"/>
  <c r="F37" i="13"/>
  <c r="E37" i="13"/>
  <c r="D37" i="13"/>
  <c r="C37" i="13"/>
  <c r="B37" i="13"/>
  <c r="H58" i="13"/>
  <c r="G58" i="13"/>
  <c r="F58" i="13"/>
  <c r="E58" i="13"/>
  <c r="D58" i="13"/>
  <c r="C58" i="13"/>
  <c r="B58" i="13"/>
  <c r="H36" i="13"/>
  <c r="G36" i="13"/>
  <c r="F36" i="13"/>
  <c r="E36" i="13"/>
  <c r="D36" i="13"/>
  <c r="C36" i="13"/>
  <c r="B36" i="13"/>
  <c r="H57" i="13"/>
  <c r="G57" i="13"/>
  <c r="F57" i="13"/>
  <c r="E57" i="13"/>
  <c r="D57" i="13"/>
  <c r="C57" i="13"/>
  <c r="B57" i="13"/>
  <c r="H35" i="13"/>
  <c r="G35" i="13"/>
  <c r="F35" i="13"/>
  <c r="E35" i="13"/>
  <c r="D35" i="13"/>
  <c r="C35" i="13"/>
  <c r="B35" i="13"/>
  <c r="H61" i="13"/>
  <c r="G61" i="13"/>
  <c r="F61" i="13"/>
  <c r="E61" i="13"/>
  <c r="D61" i="13"/>
  <c r="C61" i="13"/>
  <c r="B61" i="13"/>
  <c r="H39" i="13"/>
  <c r="G39" i="13"/>
  <c r="F39" i="13"/>
  <c r="E39" i="13"/>
  <c r="D39" i="13"/>
  <c r="C39" i="13"/>
  <c r="B39" i="13"/>
  <c r="H60" i="13"/>
  <c r="G60" i="13"/>
  <c r="F60" i="13"/>
  <c r="E60" i="13"/>
  <c r="D60" i="13"/>
  <c r="C60" i="13"/>
  <c r="B60" i="13"/>
  <c r="H38" i="13"/>
  <c r="G38" i="13"/>
  <c r="F38" i="13"/>
  <c r="E38" i="13"/>
  <c r="D38" i="13"/>
  <c r="C38" i="13"/>
  <c r="B38" i="13"/>
  <c r="H62" i="13"/>
  <c r="G62" i="13"/>
  <c r="F62" i="13"/>
  <c r="E62" i="13"/>
  <c r="D62" i="13"/>
  <c r="C62" i="13"/>
  <c r="B62" i="13"/>
  <c r="H40" i="13"/>
  <c r="G40" i="13"/>
  <c r="F40" i="13"/>
  <c r="E40" i="13"/>
  <c r="D40" i="13"/>
  <c r="C40" i="13"/>
  <c r="B40" i="13"/>
  <c r="B22" i="13"/>
  <c r="B21" i="13"/>
  <c r="B20" i="13"/>
  <c r="H18" i="13"/>
  <c r="G18" i="13"/>
  <c r="F18" i="13"/>
  <c r="E18" i="13"/>
  <c r="D18" i="13"/>
  <c r="C18" i="13"/>
  <c r="B18" i="13"/>
  <c r="H17" i="13"/>
  <c r="G17" i="13"/>
  <c r="F17" i="13"/>
  <c r="E17" i="13"/>
  <c r="D17" i="13"/>
  <c r="C17" i="13"/>
  <c r="B17" i="13"/>
  <c r="H16" i="13"/>
  <c r="G16" i="13"/>
  <c r="F16" i="13"/>
  <c r="E16" i="13"/>
  <c r="D16" i="13"/>
  <c r="C16" i="13"/>
  <c r="B16" i="13"/>
  <c r="H11" i="13"/>
  <c r="H12" i="13"/>
  <c r="G11" i="13"/>
  <c r="G12" i="13"/>
  <c r="F11" i="13"/>
  <c r="F12" i="13"/>
  <c r="E11" i="13"/>
  <c r="E12" i="13"/>
  <c r="D11" i="13"/>
  <c r="D12" i="13"/>
  <c r="C11" i="13"/>
  <c r="C12" i="13"/>
  <c r="B11" i="13"/>
  <c r="B12" i="13"/>
  <c r="B7" i="13"/>
  <c r="E10" i="12"/>
  <c r="B7" i="12"/>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E83" i="11"/>
  <c r="E59" i="11"/>
  <c r="E60" i="11"/>
  <c r="E61" i="11"/>
  <c r="E62" i="11"/>
  <c r="E63" i="11"/>
  <c r="E64" i="11"/>
  <c r="E65" i="11"/>
  <c r="E66" i="11"/>
  <c r="E67" i="11"/>
  <c r="E68" i="11"/>
  <c r="E69" i="11"/>
  <c r="E70" i="11"/>
  <c r="E71" i="11"/>
  <c r="E72" i="11"/>
  <c r="E73" i="11"/>
  <c r="E74" i="11"/>
  <c r="E75" i="11"/>
  <c r="E76" i="11"/>
  <c r="E77" i="11"/>
  <c r="E78" i="11"/>
  <c r="E79" i="11"/>
  <c r="E80" i="11"/>
  <c r="E81" i="11"/>
  <c r="E35" i="11"/>
  <c r="E36" i="11"/>
  <c r="E37" i="11"/>
  <c r="E38" i="11"/>
  <c r="E39" i="11"/>
  <c r="E40" i="11"/>
  <c r="E41" i="11"/>
  <c r="E42" i="11"/>
  <c r="E43" i="11"/>
  <c r="E44" i="11"/>
  <c r="E45" i="11"/>
  <c r="E46" i="11"/>
  <c r="E47" i="11"/>
  <c r="E48" i="11"/>
  <c r="E49" i="11"/>
  <c r="E50" i="11"/>
  <c r="E51" i="11"/>
  <c r="E52" i="11"/>
  <c r="E53" i="11"/>
  <c r="E54" i="11"/>
  <c r="E55" i="11"/>
  <c r="E56" i="11"/>
  <c r="E57" i="11"/>
  <c r="E11" i="11"/>
  <c r="E12" i="11"/>
  <c r="E13" i="11"/>
  <c r="E14" i="11"/>
  <c r="E15" i="11"/>
  <c r="E16" i="11"/>
  <c r="E17" i="11"/>
  <c r="E18" i="11"/>
  <c r="E19" i="11"/>
  <c r="E20" i="11"/>
  <c r="E21" i="11"/>
  <c r="E22" i="11"/>
  <c r="E23" i="11"/>
  <c r="E24" i="11"/>
  <c r="E25" i="11"/>
  <c r="E26" i="11"/>
  <c r="E27" i="11"/>
  <c r="E28" i="11"/>
  <c r="E29" i="11"/>
  <c r="E30" i="11"/>
  <c r="E31" i="11"/>
  <c r="E32" i="11"/>
  <c r="E33" i="11"/>
  <c r="B7" i="11"/>
  <c r="U65" i="10"/>
  <c r="T65" i="10"/>
  <c r="S65" i="10"/>
  <c r="R65" i="10"/>
  <c r="Q65" i="10"/>
  <c r="P65" i="10"/>
  <c r="O65" i="10"/>
  <c r="N65" i="10"/>
  <c r="M65" i="10"/>
  <c r="L65" i="10"/>
  <c r="K65" i="10"/>
  <c r="J65" i="10"/>
  <c r="I65" i="10"/>
  <c r="H65" i="10"/>
  <c r="G65" i="10"/>
  <c r="F65" i="10"/>
  <c r="E65" i="10"/>
  <c r="D65" i="10"/>
  <c r="C65" i="10"/>
  <c r="B65" i="10"/>
  <c r="U42" i="10"/>
  <c r="T42" i="10"/>
  <c r="S42" i="10"/>
  <c r="R42" i="10"/>
  <c r="Q42" i="10"/>
  <c r="P42" i="10"/>
  <c r="O42" i="10"/>
  <c r="N42" i="10"/>
  <c r="M42" i="10"/>
  <c r="L42" i="10"/>
  <c r="K42" i="10"/>
  <c r="J42" i="10"/>
  <c r="I42" i="10"/>
  <c r="H42" i="10"/>
  <c r="G42" i="10"/>
  <c r="F42" i="10"/>
  <c r="E42" i="10"/>
  <c r="D42" i="10"/>
  <c r="C42" i="10"/>
  <c r="B42" i="10"/>
  <c r="U58" i="10"/>
  <c r="T58" i="10"/>
  <c r="S58" i="10"/>
  <c r="R58" i="10"/>
  <c r="Q58" i="10"/>
  <c r="P58" i="10"/>
  <c r="O58" i="10"/>
  <c r="N58" i="10"/>
  <c r="M58" i="10"/>
  <c r="L58" i="10"/>
  <c r="K58" i="10"/>
  <c r="J58" i="10"/>
  <c r="I58" i="10"/>
  <c r="H58" i="10"/>
  <c r="G58" i="10"/>
  <c r="F58" i="10"/>
  <c r="E58" i="10"/>
  <c r="D58" i="10"/>
  <c r="C58" i="10"/>
  <c r="B58" i="10"/>
  <c r="U35" i="10"/>
  <c r="T35" i="10"/>
  <c r="S35" i="10"/>
  <c r="R35" i="10"/>
  <c r="Q35" i="10"/>
  <c r="P35" i="10"/>
  <c r="O35" i="10"/>
  <c r="N35" i="10"/>
  <c r="M35" i="10"/>
  <c r="L35" i="10"/>
  <c r="K35" i="10"/>
  <c r="J35" i="10"/>
  <c r="I35" i="10"/>
  <c r="H35" i="10"/>
  <c r="G35" i="10"/>
  <c r="F35" i="10"/>
  <c r="E35" i="10"/>
  <c r="D35" i="10"/>
  <c r="C35" i="10"/>
  <c r="B35" i="10"/>
  <c r="U41" i="10"/>
  <c r="T41" i="10"/>
  <c r="S41" i="10"/>
  <c r="R41" i="10"/>
  <c r="Q41" i="10"/>
  <c r="P41" i="10"/>
  <c r="O41" i="10"/>
  <c r="N41" i="10"/>
  <c r="M41" i="10"/>
  <c r="L41" i="10"/>
  <c r="K41" i="10"/>
  <c r="J41" i="10"/>
  <c r="I41" i="10"/>
  <c r="H41" i="10"/>
  <c r="G41" i="10"/>
  <c r="F41" i="10"/>
  <c r="E41" i="10"/>
  <c r="D41" i="10"/>
  <c r="C41" i="10"/>
  <c r="B41" i="10"/>
  <c r="U40" i="10"/>
  <c r="T40" i="10"/>
  <c r="S40" i="10"/>
  <c r="R40" i="10"/>
  <c r="Q40" i="10"/>
  <c r="P40" i="10"/>
  <c r="O40" i="10"/>
  <c r="N40" i="10"/>
  <c r="M40" i="10"/>
  <c r="L40" i="10"/>
  <c r="K40" i="10"/>
  <c r="J40" i="10"/>
  <c r="I40" i="10"/>
  <c r="H40" i="10"/>
  <c r="G40" i="10"/>
  <c r="F40" i="10"/>
  <c r="E40" i="10"/>
  <c r="D40" i="10"/>
  <c r="C40" i="10"/>
  <c r="B40" i="10"/>
  <c r="U39" i="10"/>
  <c r="T39" i="10"/>
  <c r="S39" i="10"/>
  <c r="R39" i="10"/>
  <c r="Q39" i="10"/>
  <c r="P39" i="10"/>
  <c r="O39" i="10"/>
  <c r="N39" i="10"/>
  <c r="M39" i="10"/>
  <c r="L39" i="10"/>
  <c r="K39" i="10"/>
  <c r="J39" i="10"/>
  <c r="I39" i="10"/>
  <c r="H39" i="10"/>
  <c r="G39" i="10"/>
  <c r="F39" i="10"/>
  <c r="E39" i="10"/>
  <c r="D39" i="10"/>
  <c r="C39" i="10"/>
  <c r="B39" i="10"/>
  <c r="B21" i="10"/>
  <c r="U19" i="10"/>
  <c r="T19" i="10"/>
  <c r="S19" i="10"/>
  <c r="R19" i="10"/>
  <c r="Q19" i="10"/>
  <c r="P19" i="10"/>
  <c r="O19" i="10"/>
  <c r="N19" i="10"/>
  <c r="M19" i="10"/>
  <c r="L19" i="10"/>
  <c r="K19" i="10"/>
  <c r="J19" i="10"/>
  <c r="I19" i="10"/>
  <c r="H19" i="10"/>
  <c r="G19" i="10"/>
  <c r="F19" i="10"/>
  <c r="E19" i="10"/>
  <c r="D19" i="10"/>
  <c r="C19" i="10"/>
  <c r="B19" i="10"/>
  <c r="U18" i="10"/>
  <c r="T18" i="10"/>
  <c r="S18" i="10"/>
  <c r="R18" i="10"/>
  <c r="Q18" i="10"/>
  <c r="P18" i="10"/>
  <c r="O18" i="10"/>
  <c r="N18" i="10"/>
  <c r="M18" i="10"/>
  <c r="L18" i="10"/>
  <c r="K18" i="10"/>
  <c r="J18" i="10"/>
  <c r="I18" i="10"/>
  <c r="H18" i="10"/>
  <c r="G18" i="10"/>
  <c r="F18" i="10"/>
  <c r="E18" i="10"/>
  <c r="D18" i="10"/>
  <c r="C18" i="10"/>
  <c r="B18" i="10"/>
  <c r="U17" i="10"/>
  <c r="T17" i="10"/>
  <c r="S17" i="10"/>
  <c r="R17" i="10"/>
  <c r="Q17" i="10"/>
  <c r="P17" i="10"/>
  <c r="O17" i="10"/>
  <c r="N17" i="10"/>
  <c r="M17" i="10"/>
  <c r="L17" i="10"/>
  <c r="K17" i="10"/>
  <c r="J17" i="10"/>
  <c r="I17" i="10"/>
  <c r="H17" i="10"/>
  <c r="G17" i="10"/>
  <c r="F17" i="10"/>
  <c r="E17" i="10"/>
  <c r="D17" i="10"/>
  <c r="C17" i="10"/>
  <c r="B17" i="10"/>
  <c r="U16" i="10"/>
  <c r="T16" i="10"/>
  <c r="S16" i="10"/>
  <c r="R16" i="10"/>
  <c r="Q16" i="10"/>
  <c r="P16" i="10"/>
  <c r="O16" i="10"/>
  <c r="N16" i="10"/>
  <c r="M16" i="10"/>
  <c r="L16" i="10"/>
  <c r="K16" i="10"/>
  <c r="J16" i="10"/>
  <c r="I16" i="10"/>
  <c r="H16" i="10"/>
  <c r="G16" i="10"/>
  <c r="F16" i="10"/>
  <c r="E16" i="10"/>
  <c r="D16" i="10"/>
  <c r="C16" i="10"/>
  <c r="B16" i="10"/>
  <c r="U15" i="10"/>
  <c r="T15" i="10"/>
  <c r="S15" i="10"/>
  <c r="R15" i="10"/>
  <c r="Q15" i="10"/>
  <c r="P15" i="10"/>
  <c r="O15" i="10"/>
  <c r="N15" i="10"/>
  <c r="M15" i="10"/>
  <c r="L15" i="10"/>
  <c r="K15" i="10"/>
  <c r="J15" i="10"/>
  <c r="I15" i="10"/>
  <c r="H15" i="10"/>
  <c r="G15" i="10"/>
  <c r="F15" i="10"/>
  <c r="E15" i="10"/>
  <c r="D15" i="10"/>
  <c r="C15" i="10"/>
  <c r="B15" i="10"/>
  <c r="U14" i="10"/>
  <c r="T14" i="10"/>
  <c r="S14" i="10"/>
  <c r="R14" i="10"/>
  <c r="Q14" i="10"/>
  <c r="P14" i="10"/>
  <c r="O14" i="10"/>
  <c r="N14" i="10"/>
  <c r="M14" i="10"/>
  <c r="L14" i="10"/>
  <c r="K14" i="10"/>
  <c r="J14" i="10"/>
  <c r="I14" i="10"/>
  <c r="H14" i="10"/>
  <c r="G14" i="10"/>
  <c r="F14" i="10"/>
  <c r="E14" i="10"/>
  <c r="D14" i="10"/>
  <c r="C14" i="10"/>
  <c r="B14" i="10"/>
  <c r="B7" i="10"/>
  <c r="M59" i="9"/>
  <c r="L59" i="9"/>
  <c r="K59" i="9"/>
  <c r="J59" i="9"/>
  <c r="I59" i="9"/>
  <c r="H59" i="9"/>
  <c r="G59" i="9"/>
  <c r="F59" i="9"/>
  <c r="E59" i="9"/>
  <c r="D59" i="9"/>
  <c r="C59" i="9"/>
  <c r="B59" i="9"/>
  <c r="M38" i="9"/>
  <c r="L38" i="9"/>
  <c r="K38" i="9"/>
  <c r="J38" i="9"/>
  <c r="I38" i="9"/>
  <c r="H38" i="9"/>
  <c r="G38" i="9"/>
  <c r="F38" i="9"/>
  <c r="E38" i="9"/>
  <c r="D38" i="9"/>
  <c r="C38" i="9"/>
  <c r="B38" i="9"/>
  <c r="M58" i="9"/>
  <c r="L58" i="9"/>
  <c r="K58" i="9"/>
  <c r="J58" i="9"/>
  <c r="I58" i="9"/>
  <c r="H58" i="9"/>
  <c r="G58" i="9"/>
  <c r="F58" i="9"/>
  <c r="E58" i="9"/>
  <c r="D58" i="9"/>
  <c r="C58" i="9"/>
  <c r="B58" i="9"/>
  <c r="M37" i="9"/>
  <c r="L37" i="9"/>
  <c r="K37" i="9"/>
  <c r="J37" i="9"/>
  <c r="I37" i="9"/>
  <c r="H37" i="9"/>
  <c r="G37" i="9"/>
  <c r="F37" i="9"/>
  <c r="E37" i="9"/>
  <c r="D37" i="9"/>
  <c r="C37" i="9"/>
  <c r="B37" i="9"/>
  <c r="M57" i="9"/>
  <c r="L57" i="9"/>
  <c r="K57" i="9"/>
  <c r="J57" i="9"/>
  <c r="I57" i="9"/>
  <c r="H57" i="9"/>
  <c r="G57" i="9"/>
  <c r="F57" i="9"/>
  <c r="E57" i="9"/>
  <c r="D57" i="9"/>
  <c r="C57" i="9"/>
  <c r="B57" i="9"/>
  <c r="M36" i="9"/>
  <c r="L36" i="9"/>
  <c r="K36" i="9"/>
  <c r="J36" i="9"/>
  <c r="I36" i="9"/>
  <c r="H36" i="9"/>
  <c r="G36" i="9"/>
  <c r="F36" i="9"/>
  <c r="E36" i="9"/>
  <c r="D36" i="9"/>
  <c r="C36" i="9"/>
  <c r="B36" i="9"/>
  <c r="M56" i="9"/>
  <c r="L56" i="9"/>
  <c r="K56" i="9"/>
  <c r="J56" i="9"/>
  <c r="I56" i="9"/>
  <c r="H56" i="9"/>
  <c r="G56" i="9"/>
  <c r="F56" i="9"/>
  <c r="E56" i="9"/>
  <c r="D56" i="9"/>
  <c r="C56" i="9"/>
  <c r="B56" i="9"/>
  <c r="M35" i="9"/>
  <c r="L35" i="9"/>
  <c r="K35" i="9"/>
  <c r="J35" i="9"/>
  <c r="I35" i="9"/>
  <c r="H35" i="9"/>
  <c r="G35" i="9"/>
  <c r="F35" i="9"/>
  <c r="E35" i="9"/>
  <c r="D35" i="9"/>
  <c r="C35" i="9"/>
  <c r="B35" i="9"/>
  <c r="M55" i="9"/>
  <c r="L55" i="9"/>
  <c r="K55" i="9"/>
  <c r="J55" i="9"/>
  <c r="I55" i="9"/>
  <c r="H55" i="9"/>
  <c r="G55" i="9"/>
  <c r="F55" i="9"/>
  <c r="E55" i="9"/>
  <c r="D55" i="9"/>
  <c r="C55" i="9"/>
  <c r="B55" i="9"/>
  <c r="M34" i="9"/>
  <c r="L34" i="9"/>
  <c r="K34" i="9"/>
  <c r="J34" i="9"/>
  <c r="I34" i="9"/>
  <c r="H34" i="9"/>
  <c r="G34" i="9"/>
  <c r="F34" i="9"/>
  <c r="E34" i="9"/>
  <c r="D34" i="9"/>
  <c r="C34" i="9"/>
  <c r="B34" i="9"/>
  <c r="M54" i="9"/>
  <c r="L54" i="9"/>
  <c r="K54" i="9"/>
  <c r="J54" i="9"/>
  <c r="I54" i="9"/>
  <c r="H54" i="9"/>
  <c r="G54" i="9"/>
  <c r="F54" i="9"/>
  <c r="E54" i="9"/>
  <c r="D54" i="9"/>
  <c r="C54" i="9"/>
  <c r="B54" i="9"/>
  <c r="M33" i="9"/>
  <c r="L33" i="9"/>
  <c r="K33" i="9"/>
  <c r="J33" i="9"/>
  <c r="I33" i="9"/>
  <c r="H33" i="9"/>
  <c r="G33" i="9"/>
  <c r="F33" i="9"/>
  <c r="E33" i="9"/>
  <c r="D33" i="9"/>
  <c r="C33" i="9"/>
  <c r="B33" i="9"/>
  <c r="M32" i="9"/>
  <c r="L32" i="9"/>
  <c r="K32" i="9"/>
  <c r="J32" i="9"/>
  <c r="I32" i="9"/>
  <c r="H32" i="9"/>
  <c r="G32" i="9"/>
  <c r="F32" i="9"/>
  <c r="E32" i="9"/>
  <c r="D32" i="9"/>
  <c r="C32" i="9"/>
  <c r="B32" i="9"/>
  <c r="B19" i="9"/>
  <c r="M16" i="9"/>
  <c r="L16" i="9"/>
  <c r="K16" i="9"/>
  <c r="J16" i="9"/>
  <c r="I16" i="9"/>
  <c r="H16" i="9"/>
  <c r="H15" i="9"/>
  <c r="G15" i="9"/>
  <c r="F15" i="9"/>
  <c r="E15" i="9"/>
  <c r="D15" i="9"/>
  <c r="C15" i="9"/>
  <c r="B15" i="9"/>
  <c r="M14" i="9"/>
  <c r="L14" i="9"/>
  <c r="K14" i="9"/>
  <c r="J14" i="9"/>
  <c r="I14" i="9"/>
  <c r="H14" i="9"/>
  <c r="G14" i="9"/>
  <c r="F14" i="9"/>
  <c r="E14" i="9"/>
  <c r="D14" i="9"/>
  <c r="C14" i="9"/>
  <c r="B14" i="9"/>
  <c r="B7" i="9"/>
  <c r="U12" i="8"/>
  <c r="AJ17" i="8" s="1"/>
  <c r="T12" i="8"/>
  <c r="AC25" i="8" s="1"/>
  <c r="M25" i="8"/>
  <c r="N25" i="8"/>
  <c r="G25" i="8"/>
  <c r="O25" i="8"/>
  <c r="S25" i="8"/>
  <c r="R25" i="8"/>
  <c r="F25" i="8"/>
  <c r="Q25" i="8"/>
  <c r="P25" i="8"/>
  <c r="L25" i="8"/>
  <c r="K25" i="8"/>
  <c r="J25" i="8"/>
  <c r="I25" i="8"/>
  <c r="H25" i="8"/>
  <c r="AM25" i="8"/>
  <c r="AL25" i="8"/>
  <c r="AK25" i="8"/>
  <c r="AJ25" i="8"/>
  <c r="AI25" i="8"/>
  <c r="AH25" i="8"/>
  <c r="AG25" i="8"/>
  <c r="AF25" i="8"/>
  <c r="AE25" i="8"/>
  <c r="AD25" i="8"/>
  <c r="AB25" i="8"/>
  <c r="Z25" i="8"/>
  <c r="X25" i="8"/>
  <c r="W25" i="8"/>
  <c r="V25" i="8"/>
  <c r="G24" i="8"/>
  <c r="N24" i="8"/>
  <c r="M24" i="8"/>
  <c r="O24" i="8"/>
  <c r="S24" i="8"/>
  <c r="R24" i="8"/>
  <c r="F24" i="8"/>
  <c r="Q24" i="8"/>
  <c r="P24" i="8"/>
  <c r="L24" i="8"/>
  <c r="K24" i="8"/>
  <c r="J24" i="8"/>
  <c r="I24" i="8"/>
  <c r="H24" i="8"/>
  <c r="AM24" i="8"/>
  <c r="AL24" i="8"/>
  <c r="AK24" i="8"/>
  <c r="AJ24" i="8"/>
  <c r="AI24" i="8"/>
  <c r="AG24" i="8"/>
  <c r="AF24" i="8"/>
  <c r="AE24" i="8"/>
  <c r="AD24" i="8"/>
  <c r="AC24" i="8"/>
  <c r="AB24" i="8"/>
  <c r="AA24" i="8"/>
  <c r="Z24" i="8"/>
  <c r="Y24" i="8"/>
  <c r="X24" i="8"/>
  <c r="W24" i="8"/>
  <c r="V24" i="8"/>
  <c r="D24" i="8"/>
  <c r="S23" i="8"/>
  <c r="R23" i="8"/>
  <c r="Q23" i="8"/>
  <c r="P23" i="8"/>
  <c r="O23" i="8"/>
  <c r="M23" i="8"/>
  <c r="N23" i="8"/>
  <c r="L23" i="8"/>
  <c r="K23" i="8"/>
  <c r="J23" i="8"/>
  <c r="I23" i="8"/>
  <c r="H23" i="8"/>
  <c r="G23" i="8"/>
  <c r="F23" i="8"/>
  <c r="AM23" i="8"/>
  <c r="AL23" i="8"/>
  <c r="AK23" i="8"/>
  <c r="AJ23" i="8"/>
  <c r="AI23" i="8"/>
  <c r="AH23" i="8"/>
  <c r="AG23" i="8"/>
  <c r="AF23" i="8"/>
  <c r="AE23" i="8"/>
  <c r="AD23" i="8"/>
  <c r="AC23" i="8"/>
  <c r="AB23" i="8"/>
  <c r="AA23" i="8"/>
  <c r="Z23" i="8"/>
  <c r="Y23" i="8"/>
  <c r="X23" i="8"/>
  <c r="W23" i="8"/>
  <c r="S22" i="8"/>
  <c r="R22" i="8"/>
  <c r="Q22" i="8"/>
  <c r="P22" i="8"/>
  <c r="L22" i="8"/>
  <c r="K22" i="8"/>
  <c r="J22" i="8"/>
  <c r="I22" i="8"/>
  <c r="H22" i="8"/>
  <c r="G22" i="8"/>
  <c r="F22" i="8"/>
  <c r="AM22" i="8"/>
  <c r="AL22" i="8"/>
  <c r="AK22" i="8"/>
  <c r="AJ22" i="8"/>
  <c r="AI22" i="8"/>
  <c r="AH22" i="8"/>
  <c r="AG22" i="8"/>
  <c r="AF22" i="8"/>
  <c r="AD22" i="8"/>
  <c r="AC22" i="8"/>
  <c r="AB22" i="8"/>
  <c r="AA22" i="8"/>
  <c r="Z22" i="8"/>
  <c r="W22" i="8"/>
  <c r="S21" i="8"/>
  <c r="R21" i="8"/>
  <c r="Q21" i="8"/>
  <c r="P21" i="8"/>
  <c r="L21" i="8"/>
  <c r="K21" i="8"/>
  <c r="J21" i="8"/>
  <c r="I21" i="8"/>
  <c r="H21" i="8"/>
  <c r="G21" i="8"/>
  <c r="F21" i="8"/>
  <c r="AM21" i="8"/>
  <c r="AL21" i="8"/>
  <c r="AK21" i="8"/>
  <c r="AJ21" i="8"/>
  <c r="AI21" i="8"/>
  <c r="AH21" i="8"/>
  <c r="AG21" i="8"/>
  <c r="AF21" i="8"/>
  <c r="AD21" i="8"/>
  <c r="AB21" i="8"/>
  <c r="Z21" i="8"/>
  <c r="Y21" i="8"/>
  <c r="X21" i="8"/>
  <c r="W21" i="8"/>
  <c r="V21" i="8"/>
  <c r="S20" i="8"/>
  <c r="R20" i="8"/>
  <c r="Q20" i="8"/>
  <c r="P20" i="8"/>
  <c r="L20" i="8"/>
  <c r="K20" i="8"/>
  <c r="J20" i="8"/>
  <c r="I20" i="8"/>
  <c r="H20" i="8"/>
  <c r="G20" i="8"/>
  <c r="F20" i="8"/>
  <c r="AM20" i="8"/>
  <c r="AL20" i="8"/>
  <c r="AK20" i="8"/>
  <c r="AJ20" i="8"/>
  <c r="AI20" i="8"/>
  <c r="AG20" i="8"/>
  <c r="AD20" i="8"/>
  <c r="AC20" i="8"/>
  <c r="AB20" i="8"/>
  <c r="AA20" i="8"/>
  <c r="Z20" i="8"/>
  <c r="Y20" i="8"/>
  <c r="X20" i="8"/>
  <c r="W20" i="8"/>
  <c r="V20" i="8"/>
  <c r="S19" i="8"/>
  <c r="R19" i="8"/>
  <c r="Q19" i="8"/>
  <c r="P19" i="8"/>
  <c r="L19" i="8"/>
  <c r="K19" i="8"/>
  <c r="J19" i="8"/>
  <c r="I19" i="8"/>
  <c r="H19" i="8"/>
  <c r="G19" i="8"/>
  <c r="F19" i="8"/>
  <c r="AM19" i="8"/>
  <c r="AL19" i="8"/>
  <c r="AK19" i="8"/>
  <c r="AJ19" i="8"/>
  <c r="AI19" i="8"/>
  <c r="AH19" i="8"/>
  <c r="AG19" i="8"/>
  <c r="AF19" i="8"/>
  <c r="AD19" i="8"/>
  <c r="AC19" i="8"/>
  <c r="AB19" i="8"/>
  <c r="AA19" i="8"/>
  <c r="Z19" i="8"/>
  <c r="Y19" i="8"/>
  <c r="X19" i="8"/>
  <c r="W19" i="8"/>
  <c r="V19" i="8"/>
  <c r="S18" i="8"/>
  <c r="R18" i="8"/>
  <c r="Q18" i="8"/>
  <c r="P18" i="8"/>
  <c r="L18" i="8"/>
  <c r="K18" i="8"/>
  <c r="J18" i="8"/>
  <c r="I18" i="8"/>
  <c r="H18" i="8"/>
  <c r="G18" i="8"/>
  <c r="F18" i="8"/>
  <c r="AM18" i="8"/>
  <c r="AL18" i="8"/>
  <c r="AK18" i="8"/>
  <c r="AJ18" i="8"/>
  <c r="AI18" i="8"/>
  <c r="AH18" i="8"/>
  <c r="AG18" i="8"/>
  <c r="AF18" i="8"/>
  <c r="AD18" i="8"/>
  <c r="AC18" i="8"/>
  <c r="AB18" i="8"/>
  <c r="AA18" i="8"/>
  <c r="Z18" i="8"/>
  <c r="Y18" i="8"/>
  <c r="X18" i="8"/>
  <c r="W18" i="8"/>
  <c r="V18" i="8"/>
  <c r="S17" i="8"/>
  <c r="R17" i="8"/>
  <c r="Q17" i="8"/>
  <c r="P17" i="8"/>
  <c r="L17" i="8"/>
  <c r="K17" i="8"/>
  <c r="J17" i="8"/>
  <c r="I17" i="8"/>
  <c r="H17" i="8"/>
  <c r="G17" i="8"/>
  <c r="F17" i="8"/>
  <c r="AM17" i="8"/>
  <c r="AL17" i="8"/>
  <c r="AK17" i="8"/>
  <c r="AI17" i="8"/>
  <c r="AH17" i="8"/>
  <c r="AG17" i="8"/>
  <c r="AF17" i="8"/>
  <c r="AD17" i="8"/>
  <c r="AC17" i="8"/>
  <c r="AB17" i="8"/>
  <c r="AA17" i="8"/>
  <c r="Z17" i="8"/>
  <c r="Y17" i="8"/>
  <c r="X17" i="8"/>
  <c r="W17" i="8"/>
  <c r="S16" i="8"/>
  <c r="R16" i="8"/>
  <c r="Q16" i="8"/>
  <c r="P16" i="8"/>
  <c r="L16" i="8"/>
  <c r="K16" i="8"/>
  <c r="J16" i="8"/>
  <c r="I16" i="8"/>
  <c r="H16" i="8"/>
  <c r="G16" i="8"/>
  <c r="F16" i="8"/>
  <c r="AL16" i="8"/>
  <c r="AK16" i="8"/>
  <c r="AJ16" i="8"/>
  <c r="AI16" i="8"/>
  <c r="AH16" i="8"/>
  <c r="AG16" i="8"/>
  <c r="AF16" i="8"/>
  <c r="AD16" i="8"/>
  <c r="AC16" i="8"/>
  <c r="AB16" i="8"/>
  <c r="AA16" i="8"/>
  <c r="Z16" i="8"/>
  <c r="W16" i="8"/>
  <c r="V16" i="8"/>
  <c r="S15" i="8"/>
  <c r="R15" i="8"/>
  <c r="Q15" i="8"/>
  <c r="P15" i="8"/>
  <c r="L15" i="8"/>
  <c r="K15" i="8"/>
  <c r="J15" i="8"/>
  <c r="I15" i="8"/>
  <c r="H15" i="8"/>
  <c r="G15" i="8"/>
  <c r="F15" i="8"/>
  <c r="AM15" i="8"/>
  <c r="AL15" i="8"/>
  <c r="AK15" i="8"/>
  <c r="AJ15" i="8"/>
  <c r="AI15" i="8"/>
  <c r="AH15" i="8"/>
  <c r="AG15" i="8"/>
  <c r="AF15" i="8"/>
  <c r="AD15" i="8"/>
  <c r="AB15" i="8"/>
  <c r="AA15" i="8"/>
  <c r="Z15" i="8"/>
  <c r="Y15" i="8"/>
  <c r="X15" i="8"/>
  <c r="W15" i="8"/>
  <c r="V15" i="8"/>
  <c r="S14" i="8"/>
  <c r="R14" i="8"/>
  <c r="Q14" i="8"/>
  <c r="P14" i="8"/>
  <c r="L14" i="8"/>
  <c r="K14" i="8"/>
  <c r="J14" i="8"/>
  <c r="I14" i="8"/>
  <c r="H14" i="8"/>
  <c r="G14" i="8"/>
  <c r="F14" i="8"/>
  <c r="AM14" i="8"/>
  <c r="AL14" i="8"/>
  <c r="AK14" i="8"/>
  <c r="AJ14" i="8"/>
  <c r="AI14" i="8"/>
  <c r="AG14" i="8"/>
  <c r="AF14" i="8"/>
  <c r="AD14" i="8"/>
  <c r="AC14" i="8"/>
  <c r="AB14" i="8"/>
  <c r="AA14" i="8"/>
  <c r="Z14" i="8"/>
  <c r="Y14" i="8"/>
  <c r="X14" i="8"/>
  <c r="W14" i="8"/>
  <c r="V14" i="8"/>
  <c r="S13" i="8"/>
  <c r="R13" i="8"/>
  <c r="Q13" i="8"/>
  <c r="P13" i="8"/>
  <c r="L13" i="8"/>
  <c r="K13" i="8"/>
  <c r="J13" i="8"/>
  <c r="I13" i="8"/>
  <c r="H13" i="8"/>
  <c r="G13" i="8"/>
  <c r="F13" i="8"/>
  <c r="AM13" i="8"/>
  <c r="AL13" i="8"/>
  <c r="AK13" i="8"/>
  <c r="AJ13" i="8"/>
  <c r="AI13" i="8"/>
  <c r="AH13" i="8"/>
  <c r="AG13" i="8"/>
  <c r="AF13" i="8"/>
  <c r="AD13" i="8"/>
  <c r="AC13" i="8"/>
  <c r="AB13" i="8"/>
  <c r="AA13" i="8"/>
  <c r="Z13" i="8"/>
  <c r="Y13" i="8"/>
  <c r="X13" i="8"/>
  <c r="W13" i="8"/>
  <c r="V13" i="8"/>
  <c r="O12" i="8"/>
  <c r="S12" i="8"/>
  <c r="R12" i="8"/>
  <c r="F12" i="8"/>
  <c r="Q12" i="8"/>
  <c r="P12" i="8"/>
  <c r="L12" i="8"/>
  <c r="J12" i="8"/>
  <c r="I12" i="8"/>
  <c r="H12" i="8"/>
  <c r="AM12" i="8"/>
  <c r="AL12" i="8"/>
  <c r="AK12" i="8"/>
  <c r="AJ12" i="8"/>
  <c r="AI12" i="8"/>
  <c r="AH12" i="8"/>
  <c r="AG12" i="8"/>
  <c r="AF12" i="8"/>
  <c r="AE12" i="8"/>
  <c r="AD12" i="8"/>
  <c r="AC12" i="8"/>
  <c r="Z12" i="8"/>
  <c r="Y12" i="8"/>
  <c r="X12" i="8"/>
  <c r="W12" i="8"/>
  <c r="V12" i="8"/>
  <c r="D12" i="8"/>
  <c r="K12" i="8" s="1"/>
  <c r="B9" i="8"/>
  <c r="B7" i="8"/>
  <c r="X12" i="7"/>
  <c r="AP28" i="7" s="1"/>
  <c r="W12" i="7"/>
  <c r="AG26" i="7" s="1"/>
  <c r="L28" i="7"/>
  <c r="E28" i="7"/>
  <c r="M28" i="7"/>
  <c r="N28" i="7"/>
  <c r="T28" i="7"/>
  <c r="S28" i="7"/>
  <c r="G28" i="7"/>
  <c r="F28" i="7"/>
  <c r="R28" i="7"/>
  <c r="Q28" i="7"/>
  <c r="P28" i="7"/>
  <c r="AK28" i="7" s="1"/>
  <c r="O28" i="7"/>
  <c r="AI28" i="7" s="1"/>
  <c r="K28" i="7"/>
  <c r="J28" i="7"/>
  <c r="I28" i="7"/>
  <c r="H28" i="7"/>
  <c r="V28" i="7"/>
  <c r="U28" i="7"/>
  <c r="AS28" i="7"/>
  <c r="AQ28" i="7"/>
  <c r="AO28" i="7"/>
  <c r="AM28" i="7"/>
  <c r="AF28" i="7"/>
  <c r="AD28" i="7"/>
  <c r="AB28" i="7"/>
  <c r="Z28" i="7"/>
  <c r="L27" i="7"/>
  <c r="E27" i="7"/>
  <c r="M27" i="7"/>
  <c r="N27" i="7"/>
  <c r="T27" i="7"/>
  <c r="S27" i="7"/>
  <c r="G27" i="7"/>
  <c r="F27" i="7"/>
  <c r="R27" i="7"/>
  <c r="Q27" i="7"/>
  <c r="P27" i="7"/>
  <c r="O27" i="7"/>
  <c r="AI27" i="7" s="1"/>
  <c r="K27" i="7"/>
  <c r="J27" i="7"/>
  <c r="I27" i="7"/>
  <c r="H27" i="7"/>
  <c r="V27" i="7"/>
  <c r="U27" i="7"/>
  <c r="AS27" i="7"/>
  <c r="AQ27" i="7"/>
  <c r="AO27" i="7"/>
  <c r="AN27" i="7"/>
  <c r="AM27" i="7"/>
  <c r="AF27" i="7"/>
  <c r="AD27" i="7"/>
  <c r="AB27" i="7"/>
  <c r="Z27" i="7"/>
  <c r="E26" i="7"/>
  <c r="L26" i="7"/>
  <c r="M26" i="7" s="1"/>
  <c r="N26" i="7"/>
  <c r="G26" i="7"/>
  <c r="T26" i="7" s="1"/>
  <c r="F26" i="7"/>
  <c r="R26" i="7"/>
  <c r="Q26" i="7"/>
  <c r="P26" i="7"/>
  <c r="O26" i="7"/>
  <c r="K26" i="7"/>
  <c r="J26" i="7"/>
  <c r="AD26" i="7" s="1"/>
  <c r="I26" i="7"/>
  <c r="H26" i="7"/>
  <c r="Y26" i="7" s="1"/>
  <c r="V26" i="7"/>
  <c r="U26" i="7"/>
  <c r="AO26" i="7"/>
  <c r="AM26" i="7"/>
  <c r="AK26" i="7"/>
  <c r="AI26" i="7"/>
  <c r="AF26" i="7"/>
  <c r="AB26" i="7"/>
  <c r="Z26" i="7"/>
  <c r="D26" i="7"/>
  <c r="V25" i="7"/>
  <c r="U25" i="7"/>
  <c r="T25" i="7"/>
  <c r="S25" i="7"/>
  <c r="R25" i="7"/>
  <c r="Q25" i="7"/>
  <c r="P25" i="7"/>
  <c r="O25" i="7"/>
  <c r="N25" i="7"/>
  <c r="L25" i="7"/>
  <c r="M25" i="7"/>
  <c r="K25" i="7"/>
  <c r="J25" i="7"/>
  <c r="I25" i="7"/>
  <c r="H25" i="7"/>
  <c r="G25" i="7"/>
  <c r="F25" i="7"/>
  <c r="AU25" i="7"/>
  <c r="AT25" i="7"/>
  <c r="AS25" i="7"/>
  <c r="AR25" i="7"/>
  <c r="AQ25" i="7"/>
  <c r="AP25" i="7"/>
  <c r="AO25" i="7"/>
  <c r="AM25" i="7"/>
  <c r="AK25" i="7"/>
  <c r="AI25" i="7"/>
  <c r="AH25" i="7"/>
  <c r="AG25" i="7"/>
  <c r="AF25" i="7"/>
  <c r="AD25" i="7"/>
  <c r="AB25" i="7"/>
  <c r="Z25" i="7"/>
  <c r="V24" i="7"/>
  <c r="U24" i="7"/>
  <c r="T24" i="7"/>
  <c r="S24" i="7"/>
  <c r="R24" i="7"/>
  <c r="Q24" i="7"/>
  <c r="P24" i="7"/>
  <c r="O24" i="7"/>
  <c r="N24" i="7"/>
  <c r="L24" i="7"/>
  <c r="M24" i="7"/>
  <c r="K24" i="7"/>
  <c r="J24" i="7"/>
  <c r="I24" i="7"/>
  <c r="H24" i="7"/>
  <c r="Y24" i="7" s="1"/>
  <c r="G24" i="7"/>
  <c r="F24" i="7"/>
  <c r="AS24" i="7"/>
  <c r="AQ24" i="7"/>
  <c r="AO24" i="7"/>
  <c r="AM24" i="7"/>
  <c r="AK24" i="7"/>
  <c r="AI24" i="7"/>
  <c r="AF24" i="7"/>
  <c r="AD24" i="7"/>
  <c r="AB24" i="7"/>
  <c r="AA24" i="7"/>
  <c r="Z24" i="7"/>
  <c r="V23" i="7"/>
  <c r="U23" i="7"/>
  <c r="T23" i="7"/>
  <c r="S23" i="7"/>
  <c r="R23" i="7"/>
  <c r="Q23" i="7"/>
  <c r="P23" i="7"/>
  <c r="O23" i="7"/>
  <c r="N23" i="7"/>
  <c r="L23" i="7"/>
  <c r="M23" i="7"/>
  <c r="K23" i="7"/>
  <c r="J23" i="7"/>
  <c r="I23" i="7"/>
  <c r="AB23" i="7" s="1"/>
  <c r="H23" i="7"/>
  <c r="G23" i="7"/>
  <c r="F23" i="7"/>
  <c r="AS23" i="7"/>
  <c r="AQ23" i="7"/>
  <c r="AO23" i="7"/>
  <c r="AN23" i="7"/>
  <c r="AM23" i="7"/>
  <c r="AK23" i="7"/>
  <c r="AI23" i="7"/>
  <c r="AF23" i="7"/>
  <c r="AD23" i="7"/>
  <c r="Z23" i="7"/>
  <c r="V22" i="7"/>
  <c r="U22" i="7"/>
  <c r="T22" i="7"/>
  <c r="S22" i="7"/>
  <c r="R22" i="7"/>
  <c r="Q22" i="7"/>
  <c r="P22" i="7"/>
  <c r="O22" i="7"/>
  <c r="N22" i="7"/>
  <c r="L22" i="7"/>
  <c r="M22" i="7"/>
  <c r="K22" i="7"/>
  <c r="J22" i="7"/>
  <c r="I22" i="7"/>
  <c r="H22" i="7"/>
  <c r="G22" i="7"/>
  <c r="F22" i="7"/>
  <c r="AU22" i="7"/>
  <c r="AT22" i="7"/>
  <c r="AS22" i="7"/>
  <c r="AR22" i="7"/>
  <c r="AQ22" i="7"/>
  <c r="AP22" i="7"/>
  <c r="AO22" i="7"/>
  <c r="AM22" i="7"/>
  <c r="AK22" i="7"/>
  <c r="AI22" i="7"/>
  <c r="AF22" i="7"/>
  <c r="AE22" i="7"/>
  <c r="AD22" i="7"/>
  <c r="AC22" i="7"/>
  <c r="AB22" i="7"/>
  <c r="Z22" i="7"/>
  <c r="V21" i="7"/>
  <c r="U21" i="7"/>
  <c r="T21" i="7"/>
  <c r="S21" i="7"/>
  <c r="R21" i="7"/>
  <c r="Q21" i="7"/>
  <c r="P21" i="7"/>
  <c r="O21" i="7"/>
  <c r="N21" i="7"/>
  <c r="L21" i="7"/>
  <c r="M21" i="7"/>
  <c r="K21" i="7"/>
  <c r="J21" i="7"/>
  <c r="I21" i="7"/>
  <c r="H21" i="7"/>
  <c r="G21" i="7"/>
  <c r="F21" i="7"/>
  <c r="AS21" i="7"/>
  <c r="AQ21" i="7"/>
  <c r="AO21" i="7"/>
  <c r="AM21" i="7"/>
  <c r="AK21" i="7"/>
  <c r="AI21" i="7"/>
  <c r="AF21" i="7"/>
  <c r="AD21" i="7"/>
  <c r="AB21" i="7"/>
  <c r="Z21" i="7"/>
  <c r="V20" i="7"/>
  <c r="U20" i="7"/>
  <c r="T20" i="7"/>
  <c r="S20" i="7"/>
  <c r="R20" i="7"/>
  <c r="Q20" i="7"/>
  <c r="P20" i="7"/>
  <c r="O20" i="7"/>
  <c r="N20" i="7"/>
  <c r="L20" i="7"/>
  <c r="M20" i="7"/>
  <c r="K20" i="7"/>
  <c r="J20" i="7"/>
  <c r="I20" i="7"/>
  <c r="H20" i="7"/>
  <c r="G20" i="7"/>
  <c r="F20" i="7"/>
  <c r="AS20" i="7"/>
  <c r="AQ20" i="7"/>
  <c r="AO20" i="7"/>
  <c r="AM20" i="7"/>
  <c r="AK20" i="7"/>
  <c r="AJ20" i="7"/>
  <c r="AI20" i="7"/>
  <c r="AF20" i="7"/>
  <c r="AD20" i="7"/>
  <c r="AB20" i="7"/>
  <c r="Z20" i="7"/>
  <c r="V19" i="7"/>
  <c r="U19" i="7"/>
  <c r="T19" i="7"/>
  <c r="S19" i="7"/>
  <c r="R19" i="7"/>
  <c r="Q19" i="7"/>
  <c r="P19" i="7"/>
  <c r="O19" i="7"/>
  <c r="N19" i="7"/>
  <c r="L19" i="7"/>
  <c r="M19" i="7"/>
  <c r="K19" i="7"/>
  <c r="J19" i="7"/>
  <c r="I19" i="7"/>
  <c r="H19" i="7"/>
  <c r="Y19" i="7" s="1"/>
  <c r="G19" i="7"/>
  <c r="F19" i="7"/>
  <c r="AU19" i="7"/>
  <c r="AT19" i="7"/>
  <c r="AS19" i="7"/>
  <c r="AR19" i="7"/>
  <c r="AQ19" i="7"/>
  <c r="AP19" i="7"/>
  <c r="AO19" i="7"/>
  <c r="AM19" i="7"/>
  <c r="AK19" i="7"/>
  <c r="AI19" i="7"/>
  <c r="AF19" i="7"/>
  <c r="AD19" i="7"/>
  <c r="AC19" i="7"/>
  <c r="AB19" i="7"/>
  <c r="AA19" i="7"/>
  <c r="Z19" i="7"/>
  <c r="V18" i="7"/>
  <c r="U18" i="7"/>
  <c r="T18" i="7"/>
  <c r="S18" i="7"/>
  <c r="R18" i="7"/>
  <c r="Q18" i="7"/>
  <c r="P18" i="7"/>
  <c r="O18" i="7"/>
  <c r="N18" i="7"/>
  <c r="L18" i="7"/>
  <c r="M18" i="7"/>
  <c r="K18" i="7"/>
  <c r="J18" i="7"/>
  <c r="I18" i="7"/>
  <c r="H18" i="7"/>
  <c r="G18" i="7"/>
  <c r="F18" i="7"/>
  <c r="AS18" i="7"/>
  <c r="AQ18" i="7"/>
  <c r="AO18" i="7"/>
  <c r="AM18" i="7"/>
  <c r="AK18" i="7"/>
  <c r="AI18" i="7"/>
  <c r="AF18" i="7"/>
  <c r="AD18" i="7"/>
  <c r="AB18" i="7"/>
  <c r="Z18" i="7"/>
  <c r="V17" i="7"/>
  <c r="U17" i="7"/>
  <c r="T17" i="7"/>
  <c r="S17" i="7"/>
  <c r="R17" i="7"/>
  <c r="Q17" i="7"/>
  <c r="P17" i="7"/>
  <c r="O17" i="7"/>
  <c r="N17" i="7"/>
  <c r="L17" i="7"/>
  <c r="M17" i="7"/>
  <c r="K17" i="7"/>
  <c r="J17" i="7"/>
  <c r="I17" i="7"/>
  <c r="H17" i="7"/>
  <c r="G17" i="7"/>
  <c r="F17" i="7"/>
  <c r="AS17" i="7"/>
  <c r="AQ17" i="7"/>
  <c r="AO17" i="7"/>
  <c r="AM17" i="7"/>
  <c r="AK17" i="7"/>
  <c r="AI17" i="7"/>
  <c r="AH17" i="7"/>
  <c r="AG17" i="7"/>
  <c r="AF17" i="7"/>
  <c r="AD17" i="7"/>
  <c r="AB17" i="7"/>
  <c r="Z17" i="7"/>
  <c r="V16" i="7"/>
  <c r="U16" i="7"/>
  <c r="T16" i="7"/>
  <c r="S16" i="7"/>
  <c r="R16" i="7"/>
  <c r="Q16" i="7"/>
  <c r="P16" i="7"/>
  <c r="O16" i="7"/>
  <c r="N16" i="7"/>
  <c r="L16" i="7"/>
  <c r="M16" i="7"/>
  <c r="K16" i="7"/>
  <c r="J16" i="7"/>
  <c r="I16" i="7"/>
  <c r="H16" i="7"/>
  <c r="G16" i="7"/>
  <c r="F16" i="7"/>
  <c r="AU16" i="7"/>
  <c r="AT16" i="7"/>
  <c r="AS16" i="7"/>
  <c r="AR16" i="7"/>
  <c r="AQ16" i="7"/>
  <c r="AP16" i="7"/>
  <c r="AO16" i="7"/>
  <c r="AM16" i="7"/>
  <c r="AK16" i="7"/>
  <c r="AI16" i="7"/>
  <c r="AF16" i="7"/>
  <c r="AD16" i="7"/>
  <c r="AB16" i="7"/>
  <c r="Z16" i="7"/>
  <c r="Y16" i="7"/>
  <c r="V15" i="7"/>
  <c r="U15" i="7"/>
  <c r="T15" i="7"/>
  <c r="S15" i="7"/>
  <c r="R15" i="7"/>
  <c r="Q15" i="7"/>
  <c r="P15" i="7"/>
  <c r="O15" i="7"/>
  <c r="N15" i="7"/>
  <c r="L15" i="7"/>
  <c r="M15" i="7"/>
  <c r="K15" i="7"/>
  <c r="J15" i="7"/>
  <c r="I15" i="7"/>
  <c r="H15" i="7"/>
  <c r="G15" i="7"/>
  <c r="F15" i="7"/>
  <c r="AS15" i="7"/>
  <c r="AQ15" i="7"/>
  <c r="AO15" i="7"/>
  <c r="AN15" i="7"/>
  <c r="AM15" i="7"/>
  <c r="AK15" i="7"/>
  <c r="AI15" i="7"/>
  <c r="AF15" i="7"/>
  <c r="AD15" i="7"/>
  <c r="AB15" i="7"/>
  <c r="Z15" i="7"/>
  <c r="V14" i="7"/>
  <c r="U14" i="7"/>
  <c r="T14" i="7"/>
  <c r="S14" i="7"/>
  <c r="R14" i="7"/>
  <c r="Q14" i="7"/>
  <c r="P14" i="7"/>
  <c r="O14" i="7"/>
  <c r="N14" i="7"/>
  <c r="L14" i="7"/>
  <c r="M14" i="7"/>
  <c r="K14" i="7"/>
  <c r="J14" i="7"/>
  <c r="I14" i="7"/>
  <c r="H14" i="7"/>
  <c r="G14" i="7"/>
  <c r="F14" i="7"/>
  <c r="AS14" i="7"/>
  <c r="AQ14" i="7"/>
  <c r="AO14" i="7"/>
  <c r="AM14" i="7"/>
  <c r="AK14" i="7"/>
  <c r="AI14" i="7"/>
  <c r="AF14" i="7"/>
  <c r="AE14" i="7"/>
  <c r="AD14" i="7"/>
  <c r="AB14" i="7"/>
  <c r="Z14" i="7"/>
  <c r="L13" i="7"/>
  <c r="M13" i="7"/>
  <c r="N13" i="7"/>
  <c r="T13" i="7"/>
  <c r="S13" i="7"/>
  <c r="G13" i="7"/>
  <c r="F13" i="7"/>
  <c r="R13" i="7"/>
  <c r="Q13" i="7"/>
  <c r="P13" i="7"/>
  <c r="O13" i="7"/>
  <c r="K13" i="7"/>
  <c r="J13" i="7"/>
  <c r="I13" i="7"/>
  <c r="H13" i="7"/>
  <c r="V13" i="7"/>
  <c r="U13" i="7"/>
  <c r="AT13" i="7"/>
  <c r="AS13" i="7"/>
  <c r="AR13" i="7"/>
  <c r="AQ13" i="7"/>
  <c r="AP13" i="7"/>
  <c r="AO13" i="7"/>
  <c r="AM13" i="7"/>
  <c r="AK13" i="7"/>
  <c r="AI13" i="7"/>
  <c r="AF13" i="7"/>
  <c r="AD13" i="7"/>
  <c r="AB13" i="7"/>
  <c r="Z13" i="7"/>
  <c r="L12" i="7"/>
  <c r="M12" i="7"/>
  <c r="N12" i="7"/>
  <c r="T12" i="7"/>
  <c r="S12" i="7"/>
  <c r="G12" i="7"/>
  <c r="F12" i="7"/>
  <c r="R12" i="7"/>
  <c r="Q12" i="7"/>
  <c r="P12" i="7"/>
  <c r="O12" i="7"/>
  <c r="K12" i="7"/>
  <c r="J12" i="7"/>
  <c r="H12" i="7"/>
  <c r="V12" i="7"/>
  <c r="U12" i="7"/>
  <c r="AU12" i="7"/>
  <c r="AS12" i="7"/>
  <c r="AQ12" i="7"/>
  <c r="AO12" i="7"/>
  <c r="AM12" i="7"/>
  <c r="AK12" i="7"/>
  <c r="AJ12" i="7"/>
  <c r="AI12" i="7"/>
  <c r="AH12" i="7"/>
  <c r="AF12" i="7"/>
  <c r="AD12" i="7"/>
  <c r="Z12" i="7"/>
  <c r="D12" i="7"/>
  <c r="I12" i="7" s="1"/>
  <c r="B9" i="7"/>
  <c r="B7" i="7"/>
  <c r="N13" i="6"/>
  <c r="X17" i="6" s="1"/>
  <c r="M13" i="6"/>
  <c r="R18" i="6" s="1"/>
  <c r="W24" i="6"/>
  <c r="S24" i="6"/>
  <c r="Q24" i="6"/>
  <c r="L24" i="6"/>
  <c r="K24" i="6"/>
  <c r="J24" i="6"/>
  <c r="I24" i="6"/>
  <c r="H24" i="6"/>
  <c r="G24" i="6"/>
  <c r="F24" i="6"/>
  <c r="E24" i="6"/>
  <c r="Y23" i="6"/>
  <c r="X23" i="6"/>
  <c r="W23" i="6"/>
  <c r="V23" i="6"/>
  <c r="U23" i="6"/>
  <c r="T23" i="6"/>
  <c r="S23" i="6"/>
  <c r="Q23" i="6"/>
  <c r="L23" i="6"/>
  <c r="K23" i="6"/>
  <c r="J23" i="6"/>
  <c r="I23" i="6"/>
  <c r="H23" i="6"/>
  <c r="G23" i="6"/>
  <c r="F23" i="6"/>
  <c r="E23" i="6"/>
  <c r="W22" i="6"/>
  <c r="S22" i="6"/>
  <c r="Q22" i="6"/>
  <c r="P22" i="6"/>
  <c r="O22" i="6"/>
  <c r="L22" i="6"/>
  <c r="K22" i="6"/>
  <c r="J22" i="6"/>
  <c r="I22" i="6"/>
  <c r="H22" i="6"/>
  <c r="G22" i="6"/>
  <c r="F22" i="6"/>
  <c r="E22" i="6"/>
  <c r="W21" i="6"/>
  <c r="U21" i="6"/>
  <c r="T21" i="6"/>
  <c r="S21" i="6"/>
  <c r="Q21" i="6"/>
  <c r="L21" i="6"/>
  <c r="K21" i="6"/>
  <c r="J21" i="6"/>
  <c r="I21" i="6"/>
  <c r="H21" i="6"/>
  <c r="G21" i="6"/>
  <c r="F21" i="6"/>
  <c r="E21" i="6"/>
  <c r="Y20" i="6"/>
  <c r="X20" i="6"/>
  <c r="W20" i="6"/>
  <c r="V20" i="6"/>
  <c r="U20" i="6"/>
  <c r="T20" i="6"/>
  <c r="S20" i="6"/>
  <c r="R20" i="6"/>
  <c r="Q20" i="6"/>
  <c r="P20" i="6"/>
  <c r="O20" i="6"/>
  <c r="L20" i="6"/>
  <c r="K20" i="6"/>
  <c r="J20" i="6"/>
  <c r="I20" i="6"/>
  <c r="H20" i="6"/>
  <c r="G20" i="6"/>
  <c r="F20" i="6"/>
  <c r="E20" i="6"/>
  <c r="W19" i="6"/>
  <c r="S19" i="6"/>
  <c r="R19" i="6"/>
  <c r="Q19" i="6"/>
  <c r="P19" i="6"/>
  <c r="O19" i="6"/>
  <c r="L19" i="6"/>
  <c r="K19" i="6"/>
  <c r="J19" i="6"/>
  <c r="I19" i="6"/>
  <c r="H19" i="6"/>
  <c r="G19" i="6"/>
  <c r="F19" i="6"/>
  <c r="E19" i="6"/>
  <c r="W18" i="6"/>
  <c r="S18" i="6"/>
  <c r="Q18" i="6"/>
  <c r="L18" i="6"/>
  <c r="K18" i="6"/>
  <c r="J18" i="6"/>
  <c r="I18" i="6"/>
  <c r="H18" i="6"/>
  <c r="G18" i="6"/>
  <c r="F18" i="6"/>
  <c r="E18" i="6"/>
  <c r="Y17" i="6"/>
  <c r="W17" i="6"/>
  <c r="S17" i="6"/>
  <c r="R17" i="6"/>
  <c r="Q17" i="6"/>
  <c r="P17" i="6"/>
  <c r="O17" i="6"/>
  <c r="L17" i="6"/>
  <c r="K17" i="6"/>
  <c r="J17" i="6"/>
  <c r="I17" i="6"/>
  <c r="H17" i="6"/>
  <c r="G17" i="6"/>
  <c r="F17" i="6"/>
  <c r="E17" i="6"/>
  <c r="W16" i="6"/>
  <c r="S16" i="6"/>
  <c r="R16" i="6"/>
  <c r="Q16" i="6"/>
  <c r="L16" i="6"/>
  <c r="K16" i="6"/>
  <c r="J16" i="6"/>
  <c r="I16" i="6"/>
  <c r="H16" i="6"/>
  <c r="G16" i="6"/>
  <c r="F16" i="6"/>
  <c r="E16" i="6"/>
  <c r="X15" i="6"/>
  <c r="W15" i="6"/>
  <c r="V15" i="6"/>
  <c r="S15" i="6"/>
  <c r="Q15" i="6"/>
  <c r="L15" i="6"/>
  <c r="K15" i="6"/>
  <c r="J15" i="6"/>
  <c r="I15" i="6"/>
  <c r="H15" i="6"/>
  <c r="G15" i="6"/>
  <c r="F15" i="6"/>
  <c r="E15" i="6"/>
  <c r="W14" i="6"/>
  <c r="S14" i="6"/>
  <c r="Q14" i="6"/>
  <c r="O14" i="6"/>
  <c r="L14" i="6"/>
  <c r="K14" i="6"/>
  <c r="J14" i="6"/>
  <c r="I14" i="6"/>
  <c r="H14" i="6"/>
  <c r="G14" i="6"/>
  <c r="F14" i="6"/>
  <c r="E14" i="6"/>
  <c r="W13" i="6"/>
  <c r="S13" i="6"/>
  <c r="Q13" i="6"/>
  <c r="L13" i="6"/>
  <c r="K13" i="6"/>
  <c r="J13" i="6"/>
  <c r="I13" i="6"/>
  <c r="H13" i="6"/>
  <c r="G13" i="6"/>
  <c r="F13" i="6"/>
  <c r="E13" i="6"/>
  <c r="B10" i="6"/>
  <c r="B9" i="6"/>
  <c r="B7" i="6"/>
  <c r="P13" i="5"/>
  <c r="AC23" i="5" s="1"/>
  <c r="O13" i="5"/>
  <c r="W18" i="5" s="1"/>
  <c r="AC24" i="5"/>
  <c r="AB24" i="5"/>
  <c r="AA24" i="5"/>
  <c r="Z24" i="5"/>
  <c r="Y24" i="5"/>
  <c r="X24" i="5"/>
  <c r="W24" i="5"/>
  <c r="V24" i="5"/>
  <c r="U24" i="5"/>
  <c r="T24" i="5"/>
  <c r="S24" i="5"/>
  <c r="R24" i="5"/>
  <c r="Q24" i="5"/>
  <c r="N24" i="5"/>
  <c r="M24" i="5"/>
  <c r="L24" i="5"/>
  <c r="K24" i="5"/>
  <c r="J24" i="5"/>
  <c r="I24" i="5"/>
  <c r="H24" i="5"/>
  <c r="G24" i="5"/>
  <c r="F24" i="5"/>
  <c r="E24" i="5"/>
  <c r="AB23" i="5"/>
  <c r="AA23" i="5"/>
  <c r="Z23" i="5"/>
  <c r="Y23" i="5"/>
  <c r="X23" i="5"/>
  <c r="W23" i="5"/>
  <c r="V23" i="5"/>
  <c r="U23" i="5"/>
  <c r="T23" i="5"/>
  <c r="S23" i="5"/>
  <c r="R23" i="5"/>
  <c r="Q23" i="5"/>
  <c r="N23" i="5"/>
  <c r="M23" i="5"/>
  <c r="L23" i="5"/>
  <c r="K23" i="5"/>
  <c r="J23" i="5"/>
  <c r="I23" i="5"/>
  <c r="H23" i="5"/>
  <c r="G23" i="5"/>
  <c r="F23" i="5"/>
  <c r="E23" i="5"/>
  <c r="AC22" i="5"/>
  <c r="AB22" i="5"/>
  <c r="AA22" i="5"/>
  <c r="Z22" i="5"/>
  <c r="Y22" i="5"/>
  <c r="X22" i="5"/>
  <c r="V22" i="5"/>
  <c r="U22" i="5"/>
  <c r="T22" i="5"/>
  <c r="S22" i="5"/>
  <c r="R22" i="5"/>
  <c r="Q22" i="5"/>
  <c r="N22" i="5"/>
  <c r="M22" i="5"/>
  <c r="L22" i="5"/>
  <c r="K22" i="5"/>
  <c r="J22" i="5"/>
  <c r="I22" i="5"/>
  <c r="H22" i="5"/>
  <c r="G22" i="5"/>
  <c r="F22" i="5"/>
  <c r="E22" i="5"/>
  <c r="AC21" i="5"/>
  <c r="AB21" i="5"/>
  <c r="AA21" i="5"/>
  <c r="Z21" i="5"/>
  <c r="Y21" i="5"/>
  <c r="X21" i="5"/>
  <c r="V21" i="5"/>
  <c r="U21" i="5"/>
  <c r="T21" i="5"/>
  <c r="S21" i="5"/>
  <c r="R21" i="5"/>
  <c r="Q21" i="5"/>
  <c r="N21" i="5"/>
  <c r="M21" i="5"/>
  <c r="L21" i="5"/>
  <c r="K21" i="5"/>
  <c r="J21" i="5"/>
  <c r="I21" i="5"/>
  <c r="H21" i="5"/>
  <c r="G21" i="5"/>
  <c r="F21" i="5"/>
  <c r="E21" i="5"/>
  <c r="AC20" i="5"/>
  <c r="AB20" i="5"/>
  <c r="AA20" i="5"/>
  <c r="Z20" i="5"/>
  <c r="Y20" i="5"/>
  <c r="X20" i="5"/>
  <c r="V20" i="5"/>
  <c r="U20" i="5"/>
  <c r="T20" i="5"/>
  <c r="S20" i="5"/>
  <c r="R20" i="5"/>
  <c r="Q20" i="5"/>
  <c r="N20" i="5"/>
  <c r="M20" i="5"/>
  <c r="L20" i="5"/>
  <c r="K20" i="5"/>
  <c r="J20" i="5"/>
  <c r="I20" i="5"/>
  <c r="H20" i="5"/>
  <c r="G20" i="5"/>
  <c r="F20" i="5"/>
  <c r="E20" i="5"/>
  <c r="AC19" i="5"/>
  <c r="AB19" i="5"/>
  <c r="AA19" i="5"/>
  <c r="Z19" i="5"/>
  <c r="Y19" i="5"/>
  <c r="X19" i="5"/>
  <c r="V19" i="5"/>
  <c r="U19" i="5"/>
  <c r="T19" i="5"/>
  <c r="S19" i="5"/>
  <c r="R19" i="5"/>
  <c r="Q19" i="5"/>
  <c r="N19" i="5"/>
  <c r="M19" i="5"/>
  <c r="L19" i="5"/>
  <c r="K19" i="5"/>
  <c r="J19" i="5"/>
  <c r="I19" i="5"/>
  <c r="H19" i="5"/>
  <c r="G19" i="5"/>
  <c r="F19" i="5"/>
  <c r="E19" i="5"/>
  <c r="AC18" i="5"/>
  <c r="AB18" i="5"/>
  <c r="AA18" i="5"/>
  <c r="Z18" i="5"/>
  <c r="Y18" i="5"/>
  <c r="X18" i="5"/>
  <c r="V18" i="5"/>
  <c r="U18" i="5"/>
  <c r="T18" i="5"/>
  <c r="S18" i="5"/>
  <c r="R18" i="5"/>
  <c r="Q18" i="5"/>
  <c r="N18" i="5"/>
  <c r="M18" i="5"/>
  <c r="L18" i="5"/>
  <c r="K18" i="5"/>
  <c r="J18" i="5"/>
  <c r="I18" i="5"/>
  <c r="H18" i="5"/>
  <c r="G18" i="5"/>
  <c r="F18" i="5"/>
  <c r="E18" i="5"/>
  <c r="AC17" i="5"/>
  <c r="AB17" i="5"/>
  <c r="AA17" i="5"/>
  <c r="Z17" i="5"/>
  <c r="Y17" i="5"/>
  <c r="X17" i="5"/>
  <c r="W17" i="5"/>
  <c r="V17" i="5"/>
  <c r="U17" i="5"/>
  <c r="T17" i="5"/>
  <c r="S17" i="5"/>
  <c r="R17" i="5"/>
  <c r="Q17" i="5"/>
  <c r="N17" i="5"/>
  <c r="M17" i="5"/>
  <c r="L17" i="5"/>
  <c r="K17" i="5"/>
  <c r="J17" i="5"/>
  <c r="I17" i="5"/>
  <c r="H17" i="5"/>
  <c r="G17" i="5"/>
  <c r="F17" i="5"/>
  <c r="E17" i="5"/>
  <c r="AC16" i="5"/>
  <c r="AB16" i="5"/>
  <c r="AA16" i="5"/>
  <c r="Z16" i="5"/>
  <c r="Y16" i="5"/>
  <c r="X16" i="5"/>
  <c r="V16" i="5"/>
  <c r="U16" i="5"/>
  <c r="T16" i="5"/>
  <c r="S16" i="5"/>
  <c r="R16" i="5"/>
  <c r="Q16" i="5"/>
  <c r="N16" i="5"/>
  <c r="M16" i="5"/>
  <c r="L16" i="5"/>
  <c r="K16" i="5"/>
  <c r="J16" i="5"/>
  <c r="I16" i="5"/>
  <c r="H16" i="5"/>
  <c r="G16" i="5"/>
  <c r="F16" i="5"/>
  <c r="E16" i="5"/>
  <c r="AC15" i="5"/>
  <c r="AB15" i="5"/>
  <c r="AA15" i="5"/>
  <c r="Z15" i="5"/>
  <c r="Y15" i="5"/>
  <c r="X15" i="5"/>
  <c r="V15" i="5"/>
  <c r="U15" i="5"/>
  <c r="T15" i="5"/>
  <c r="S15" i="5"/>
  <c r="R15" i="5"/>
  <c r="Q15" i="5"/>
  <c r="N15" i="5"/>
  <c r="M15" i="5"/>
  <c r="L15" i="5"/>
  <c r="K15" i="5"/>
  <c r="J15" i="5"/>
  <c r="I15" i="5"/>
  <c r="H15" i="5"/>
  <c r="G15" i="5"/>
  <c r="F15" i="5"/>
  <c r="E15" i="5"/>
  <c r="AC14" i="5"/>
  <c r="AB14" i="5"/>
  <c r="AA14" i="5"/>
  <c r="Z14" i="5"/>
  <c r="Y14" i="5"/>
  <c r="X14" i="5"/>
  <c r="W14" i="5"/>
  <c r="V14" i="5"/>
  <c r="U14" i="5"/>
  <c r="T14" i="5"/>
  <c r="S14" i="5"/>
  <c r="R14" i="5"/>
  <c r="Q14" i="5"/>
  <c r="N14" i="5"/>
  <c r="M14" i="5"/>
  <c r="L14" i="5"/>
  <c r="K14" i="5"/>
  <c r="J14" i="5"/>
  <c r="I14" i="5"/>
  <c r="H14" i="5"/>
  <c r="G14" i="5"/>
  <c r="F14" i="5"/>
  <c r="E14" i="5"/>
  <c r="AC13" i="5"/>
  <c r="AB13" i="5"/>
  <c r="AA13" i="5"/>
  <c r="Z13" i="5"/>
  <c r="Y13" i="5"/>
  <c r="X13" i="5"/>
  <c r="W13" i="5"/>
  <c r="U13" i="5"/>
  <c r="T13" i="5"/>
  <c r="S13" i="5"/>
  <c r="R13" i="5"/>
  <c r="Q13" i="5"/>
  <c r="N13" i="5"/>
  <c r="M13" i="5"/>
  <c r="L13" i="5"/>
  <c r="K13" i="5"/>
  <c r="J13" i="5"/>
  <c r="I13" i="5"/>
  <c r="H13" i="5"/>
  <c r="G13" i="5"/>
  <c r="F13" i="5"/>
  <c r="E13" i="5"/>
  <c r="B10" i="5"/>
  <c r="B9" i="5"/>
  <c r="B7" i="5"/>
  <c r="G47" i="4"/>
  <c r="G30" i="4"/>
  <c r="F47" i="4"/>
  <c r="F30" i="4"/>
  <c r="E47" i="4"/>
  <c r="E30" i="4"/>
  <c r="D47" i="4"/>
  <c r="D30" i="4"/>
  <c r="C47" i="4"/>
  <c r="C30" i="4"/>
  <c r="B47" i="4"/>
  <c r="B30" i="4"/>
  <c r="G46" i="4"/>
  <c r="G29" i="4"/>
  <c r="F46" i="4"/>
  <c r="F29" i="4"/>
  <c r="E46" i="4"/>
  <c r="E29" i="4"/>
  <c r="D46" i="4"/>
  <c r="D29" i="4"/>
  <c r="C46" i="4"/>
  <c r="C29" i="4"/>
  <c r="B46" i="4"/>
  <c r="B29" i="4"/>
  <c r="G45" i="4"/>
  <c r="G28" i="4"/>
  <c r="F45" i="4"/>
  <c r="F28" i="4"/>
  <c r="E45" i="4"/>
  <c r="E28" i="4"/>
  <c r="D45" i="4"/>
  <c r="D28" i="4"/>
  <c r="C45" i="4"/>
  <c r="C28" i="4"/>
  <c r="B45" i="4"/>
  <c r="B28" i="4"/>
  <c r="G44" i="4"/>
  <c r="G27" i="4"/>
  <c r="F44" i="4"/>
  <c r="F27" i="4"/>
  <c r="E44" i="4"/>
  <c r="E27" i="4"/>
  <c r="D44" i="4"/>
  <c r="D27" i="4"/>
  <c r="C44" i="4"/>
  <c r="C27" i="4"/>
  <c r="B44" i="4"/>
  <c r="B27" i="4"/>
  <c r="B15" i="4"/>
  <c r="G13" i="4"/>
  <c r="F13" i="4"/>
  <c r="E13" i="4"/>
  <c r="D13" i="4"/>
  <c r="C13" i="4"/>
  <c r="B13" i="4"/>
  <c r="G12" i="4"/>
  <c r="E12" i="4"/>
  <c r="G11" i="4"/>
  <c r="E11" i="4"/>
  <c r="G10" i="4"/>
  <c r="E10" i="4"/>
  <c r="B7" i="4"/>
  <c r="B80" i="3"/>
  <c r="B52" i="3"/>
  <c r="B79" i="3"/>
  <c r="B51" i="3"/>
  <c r="B78" i="3"/>
  <c r="B50" i="3"/>
  <c r="B77" i="3"/>
  <c r="B49" i="3"/>
  <c r="B76" i="3"/>
  <c r="B48" i="3"/>
  <c r="B75" i="3"/>
  <c r="B47" i="3"/>
  <c r="B74" i="3"/>
  <c r="B46" i="3"/>
  <c r="F71" i="3"/>
  <c r="F43" i="3"/>
  <c r="E71" i="3"/>
  <c r="E43" i="3"/>
  <c r="D71" i="3"/>
  <c r="D43" i="3"/>
  <c r="C71" i="3"/>
  <c r="C43" i="3"/>
  <c r="B71" i="3"/>
  <c r="B43" i="3"/>
  <c r="F70" i="3"/>
  <c r="F42" i="3"/>
  <c r="E70" i="3"/>
  <c r="E42" i="3"/>
  <c r="D70" i="3"/>
  <c r="D42" i="3"/>
  <c r="C70" i="3"/>
  <c r="C42" i="3"/>
  <c r="B70" i="3"/>
  <c r="B42" i="3"/>
  <c r="F69" i="3"/>
  <c r="F41" i="3"/>
  <c r="E69" i="3"/>
  <c r="E41" i="3"/>
  <c r="D69" i="3"/>
  <c r="D41" i="3"/>
  <c r="C69" i="3"/>
  <c r="C41" i="3"/>
  <c r="B69" i="3"/>
  <c r="B41" i="3"/>
  <c r="F68" i="3"/>
  <c r="F40" i="3"/>
  <c r="E68" i="3"/>
  <c r="E40" i="3"/>
  <c r="D68" i="3"/>
  <c r="D40" i="3"/>
  <c r="C68" i="3"/>
  <c r="C40" i="3"/>
  <c r="B68" i="3"/>
  <c r="B40" i="3"/>
  <c r="F67" i="3"/>
  <c r="F39" i="3"/>
  <c r="E67" i="3"/>
  <c r="E39" i="3"/>
  <c r="D67" i="3"/>
  <c r="D39" i="3"/>
  <c r="C67" i="3"/>
  <c r="C39" i="3"/>
  <c r="B67" i="3"/>
  <c r="B39" i="3"/>
  <c r="F66" i="3"/>
  <c r="F38" i="3"/>
  <c r="E66" i="3"/>
  <c r="E38" i="3"/>
  <c r="D66" i="3"/>
  <c r="D38" i="3"/>
  <c r="C66" i="3"/>
  <c r="C38" i="3"/>
  <c r="B66" i="3"/>
  <c r="B38" i="3"/>
  <c r="B26" i="3"/>
  <c r="B24" i="3"/>
  <c r="F15" i="3"/>
  <c r="E15" i="3"/>
  <c r="D15" i="3"/>
  <c r="C15" i="3"/>
  <c r="B15" i="3"/>
  <c r="B7" i="3"/>
  <c r="AV101" i="15" l="1"/>
  <c r="AD101" i="15"/>
  <c r="AM101" i="15"/>
  <c r="Q45" i="15"/>
  <c r="Q46" i="15" s="1"/>
  <c r="W62" i="15"/>
  <c r="Y62" i="15" s="1"/>
  <c r="X62" i="15"/>
  <c r="W87" i="15"/>
  <c r="X87" i="15"/>
  <c r="Y87" i="15"/>
  <c r="W95" i="15"/>
  <c r="X95" i="15"/>
  <c r="Y95" i="15"/>
  <c r="W70" i="15"/>
  <c r="X70" i="15"/>
  <c r="Y70" i="15"/>
  <c r="W103" i="15"/>
  <c r="Y103" i="15" s="1"/>
  <c r="X103" i="15"/>
  <c r="W86" i="15"/>
  <c r="X86" i="15"/>
  <c r="Y86" i="15"/>
  <c r="W94" i="15"/>
  <c r="X94" i="15"/>
  <c r="Y94" i="15"/>
  <c r="W58" i="15"/>
  <c r="X58" i="15"/>
  <c r="Y58" i="15"/>
  <c r="W78" i="15"/>
  <c r="Y78" i="15" s="1"/>
  <c r="X78" i="15"/>
  <c r="W102" i="15"/>
  <c r="X102" i="15"/>
  <c r="Y102" i="15"/>
  <c r="T57" i="15"/>
  <c r="U57" i="15"/>
  <c r="T65" i="15"/>
  <c r="U65" i="15"/>
  <c r="W64" i="15"/>
  <c r="T73" i="15"/>
  <c r="U73" i="15"/>
  <c r="W55" i="15"/>
  <c r="X55" i="15"/>
  <c r="Y55" i="15"/>
  <c r="T81" i="15"/>
  <c r="U81" i="15"/>
  <c r="T89" i="15"/>
  <c r="U89" i="15"/>
  <c r="W80" i="15"/>
  <c r="Y80" i="15" s="1"/>
  <c r="T97" i="15"/>
  <c r="U97" i="15"/>
  <c r="W63" i="15"/>
  <c r="Y63" i="15" s="1"/>
  <c r="X63" i="15"/>
  <c r="W54" i="15"/>
  <c r="X54" i="15"/>
  <c r="Y54" i="15"/>
  <c r="T105" i="15"/>
  <c r="U105" i="15"/>
  <c r="W71" i="15"/>
  <c r="X71" i="15"/>
  <c r="Y71" i="15"/>
  <c r="W104" i="15"/>
  <c r="Y104" i="15" s="1"/>
  <c r="W79" i="15"/>
  <c r="Y79" i="15" s="1"/>
  <c r="X79" i="15"/>
  <c r="W53" i="15"/>
  <c r="X53" i="15"/>
  <c r="Y53" i="15"/>
  <c r="U55" i="15"/>
  <c r="V105" i="15"/>
  <c r="S100" i="15"/>
  <c r="V97" i="15"/>
  <c r="S92" i="15"/>
  <c r="V89" i="15"/>
  <c r="S84" i="15"/>
  <c r="V81" i="15"/>
  <c r="S76" i="15"/>
  <c r="V73" i="15"/>
  <c r="S68" i="15"/>
  <c r="V65" i="15"/>
  <c r="S60" i="15"/>
  <c r="V57" i="15"/>
  <c r="V99" i="15"/>
  <c r="Y96" i="15"/>
  <c r="V91" i="15"/>
  <c r="Y88" i="15"/>
  <c r="V83" i="15"/>
  <c r="V75" i="15"/>
  <c r="V67" i="15"/>
  <c r="V59" i="15"/>
  <c r="X104" i="15"/>
  <c r="U99" i="15"/>
  <c r="X96" i="15"/>
  <c r="U91" i="15"/>
  <c r="U83" i="15"/>
  <c r="X80" i="15"/>
  <c r="U75" i="15"/>
  <c r="X72" i="15"/>
  <c r="U67" i="15"/>
  <c r="X64" i="15"/>
  <c r="U59" i="15"/>
  <c r="V56" i="15"/>
  <c r="U104" i="15"/>
  <c r="U96" i="15"/>
  <c r="U88" i="15"/>
  <c r="U80" i="15"/>
  <c r="U72" i="15"/>
  <c r="Y72" i="15" s="1"/>
  <c r="U64" i="15"/>
  <c r="Y64" i="15" s="1"/>
  <c r="U56" i="15"/>
  <c r="V101" i="15"/>
  <c r="V93" i="15"/>
  <c r="V85" i="15"/>
  <c r="V77" i="15"/>
  <c r="V69" i="15"/>
  <c r="V61" i="15"/>
  <c r="U101" i="15"/>
  <c r="U93" i="15"/>
  <c r="U85" i="15"/>
  <c r="U77" i="15"/>
  <c r="U69" i="15"/>
  <c r="U61" i="15"/>
  <c r="V106" i="15"/>
  <c r="V98" i="15"/>
  <c r="V90" i="15"/>
  <c r="V82" i="15"/>
  <c r="V74" i="15"/>
  <c r="V66" i="15"/>
  <c r="U106" i="15"/>
  <c r="U98" i="15"/>
  <c r="U90" i="15"/>
  <c r="U82" i="15"/>
  <c r="U74" i="15"/>
  <c r="U66" i="15"/>
  <c r="U58" i="15"/>
  <c r="AA14" i="14"/>
  <c r="AE19" i="14"/>
  <c r="AO21" i="14"/>
  <c r="AH15" i="14"/>
  <c r="AL16" i="14"/>
  <c r="Z18" i="14"/>
  <c r="AF19" i="14"/>
  <c r="AJ20" i="14"/>
  <c r="AC14" i="14"/>
  <c r="AM16" i="14"/>
  <c r="AA18" i="14"/>
  <c r="AJ15" i="14"/>
  <c r="AN16" i="14"/>
  <c r="AH19" i="14"/>
  <c r="AL20" i="14"/>
  <c r="AE13" i="14"/>
  <c r="AC17" i="14"/>
  <c r="AO19" i="14"/>
  <c r="AA21" i="14"/>
  <c r="AE22" i="14"/>
  <c r="AF13" i="14"/>
  <c r="AL14" i="14"/>
  <c r="AJ18" i="14"/>
  <c r="AM16" i="8"/>
  <c r="V22" i="8"/>
  <c r="Y25" i="8"/>
  <c r="AF20" i="8"/>
  <c r="AA21" i="8"/>
  <c r="AH24" i="8"/>
  <c r="X16" i="8"/>
  <c r="X22" i="8"/>
  <c r="AA25" i="8"/>
  <c r="AH14" i="8"/>
  <c r="AC15" i="8"/>
  <c r="Y16" i="8"/>
  <c r="AH20" i="8"/>
  <c r="AC21" i="8"/>
  <c r="Y22" i="8"/>
  <c r="V17" i="8"/>
  <c r="V23" i="8"/>
  <c r="M12" i="8"/>
  <c r="AA12" i="8"/>
  <c r="AB12" i="8"/>
  <c r="AP15" i="7"/>
  <c r="AP21" i="7"/>
  <c r="AP24" i="7"/>
  <c r="AR28" i="7"/>
  <c r="AR15" i="7"/>
  <c r="AR18" i="7"/>
  <c r="AR21" i="7"/>
  <c r="AR24" i="7"/>
  <c r="AT28" i="7"/>
  <c r="AP12" i="7"/>
  <c r="AU28" i="7"/>
  <c r="AT15" i="7"/>
  <c r="AT21" i="7"/>
  <c r="AT24" i="7"/>
  <c r="AU24" i="7"/>
  <c r="AT18" i="7"/>
  <c r="AR12" i="7"/>
  <c r="AU15" i="7"/>
  <c r="AU18" i="7"/>
  <c r="AU21" i="7"/>
  <c r="AP18" i="7"/>
  <c r="AT12" i="7"/>
  <c r="AP23" i="7"/>
  <c r="AT26" i="7"/>
  <c r="AP27" i="7"/>
  <c r="AU26" i="7"/>
  <c r="AU13" i="7"/>
  <c r="AR23" i="7"/>
  <c r="AR27" i="7"/>
  <c r="AR20" i="7"/>
  <c r="AP17" i="7"/>
  <c r="AR17" i="7"/>
  <c r="AT14" i="7"/>
  <c r="AT23" i="7"/>
  <c r="AT27" i="7"/>
  <c r="AP14" i="7"/>
  <c r="AP20" i="7"/>
  <c r="AR14" i="7"/>
  <c r="AU14" i="7"/>
  <c r="AT17" i="7"/>
  <c r="AT20" i="7"/>
  <c r="AU23" i="7"/>
  <c r="AU27" i="7"/>
  <c r="AU17" i="7"/>
  <c r="AU20" i="7"/>
  <c r="AE24" i="7"/>
  <c r="AJ22" i="7"/>
  <c r="AJ13" i="7"/>
  <c r="AE15" i="7"/>
  <c r="AG18" i="7"/>
  <c r="AA20" i="7"/>
  <c r="AJ21" i="7"/>
  <c r="Y25" i="7"/>
  <c r="AJ27" i="7"/>
  <c r="AE19" i="7"/>
  <c r="Y13" i="7"/>
  <c r="AL16" i="7"/>
  <c r="AE23" i="7"/>
  <c r="Y12" i="7"/>
  <c r="AG13" i="7"/>
  <c r="AN16" i="7"/>
  <c r="AH18" i="7"/>
  <c r="AG23" i="7"/>
  <c r="AJ26" i="7"/>
  <c r="AA27" i="7"/>
  <c r="AL12" i="7"/>
  <c r="AH22" i="7"/>
  <c r="AL17" i="7"/>
  <c r="AG19" i="7"/>
  <c r="AL13" i="7"/>
  <c r="AG15" i="7"/>
  <c r="Y17" i="7"/>
  <c r="AC20" i="7"/>
  <c r="AL21" i="7"/>
  <c r="AH23" i="7"/>
  <c r="AA25" i="7"/>
  <c r="AA16" i="7"/>
  <c r="AC24" i="7"/>
  <c r="Y20" i="7"/>
  <c r="AN24" i="7"/>
  <c r="AC12" i="7"/>
  <c r="AH15" i="7"/>
  <c r="AA17" i="7"/>
  <c r="AJ18" i="7"/>
  <c r="AL26" i="7"/>
  <c r="AC27" i="7"/>
  <c r="AG14" i="7"/>
  <c r="AH14" i="7"/>
  <c r="AJ14" i="7"/>
  <c r="AN13" i="7"/>
  <c r="Y14" i="7"/>
  <c r="AE20" i="7"/>
  <c r="AN21" i="7"/>
  <c r="AJ23" i="7"/>
  <c r="AC25" i="7"/>
  <c r="AJ25" i="7"/>
  <c r="AE12" i="7"/>
  <c r="AA14" i="7"/>
  <c r="AJ15" i="7"/>
  <c r="AC17" i="7"/>
  <c r="AL18" i="7"/>
  <c r="Y22" i="7"/>
  <c r="AN26" i="7"/>
  <c r="AE27" i="7"/>
  <c r="AC16" i="7"/>
  <c r="AG20" i="7"/>
  <c r="AA22" i="7"/>
  <c r="AL23" i="7"/>
  <c r="AE25" i="7"/>
  <c r="AJ17" i="7"/>
  <c r="AN12" i="7"/>
  <c r="AA21" i="7"/>
  <c r="AH26" i="7"/>
  <c r="AG12" i="7"/>
  <c r="AC14" i="7"/>
  <c r="AL15" i="7"/>
  <c r="AE17" i="7"/>
  <c r="AN18" i="7"/>
  <c r="AH20" i="7"/>
  <c r="AL27" i="7"/>
  <c r="AG27" i="7"/>
  <c r="Y28" i="7"/>
  <c r="AG22" i="7"/>
  <c r="AA28" i="7"/>
  <c r="AL25" i="7"/>
  <c r="Y21" i="7"/>
  <c r="AC28" i="7"/>
  <c r="AN25" i="7"/>
  <c r="AE28" i="7"/>
  <c r="AH24" i="7"/>
  <c r="AG28" i="7"/>
  <c r="AN20" i="7"/>
  <c r="Y27" i="7"/>
  <c r="AL20" i="7"/>
  <c r="AL14" i="7"/>
  <c r="AN17" i="7"/>
  <c r="AG24" i="7"/>
  <c r="AL22" i="7"/>
  <c r="AN14" i="7"/>
  <c r="AA18" i="7"/>
  <c r="Y23" i="7"/>
  <c r="Y15" i="7"/>
  <c r="AE21" i="7"/>
  <c r="AJ24" i="7"/>
  <c r="AE13" i="7"/>
  <c r="AA15" i="7"/>
  <c r="AC18" i="7"/>
  <c r="AL19" i="7"/>
  <c r="AE26" i="7"/>
  <c r="AE16" i="7"/>
  <c r="AH19" i="7"/>
  <c r="Y18" i="7"/>
  <c r="AC21" i="7"/>
  <c r="AC13" i="7"/>
  <c r="AG16" i="7"/>
  <c r="AJ19" i="7"/>
  <c r="AA26" i="7"/>
  <c r="AH16" i="7"/>
  <c r="AN22" i="7"/>
  <c r="AL28" i="7"/>
  <c r="AJ16" i="7"/>
  <c r="AG21" i="7"/>
  <c r="AC23" i="7"/>
  <c r="AL24" i="7"/>
  <c r="AN28" i="7"/>
  <c r="AA13" i="7"/>
  <c r="AH13" i="7"/>
  <c r="AC15" i="7"/>
  <c r="AE18" i="7"/>
  <c r="AN19" i="7"/>
  <c r="AH21" i="7"/>
  <c r="AH28" i="7"/>
  <c r="AJ28" i="7"/>
  <c r="AH27" i="7"/>
  <c r="AK27" i="7"/>
  <c r="AS26" i="7"/>
  <c r="AR26" i="7"/>
  <c r="S26" i="7"/>
  <c r="AC26" i="7"/>
  <c r="AA23" i="7"/>
  <c r="AA12" i="7"/>
  <c r="AB12" i="7"/>
  <c r="R22" i="6"/>
  <c r="U16" i="6"/>
  <c r="V16" i="6"/>
  <c r="X19" i="6"/>
  <c r="T13" i="6"/>
  <c r="O15" i="6"/>
  <c r="X22" i="6"/>
  <c r="P15" i="6"/>
  <c r="O24" i="6"/>
  <c r="P24" i="6"/>
  <c r="T18" i="6"/>
  <c r="U18" i="6"/>
  <c r="R21" i="6"/>
  <c r="T16" i="6"/>
  <c r="V19" i="6"/>
  <c r="R13" i="6"/>
  <c r="V22" i="6"/>
  <c r="Y19" i="6"/>
  <c r="V13" i="6"/>
  <c r="X16" i="6"/>
  <c r="Y16" i="6"/>
  <c r="X13" i="6"/>
  <c r="Y13" i="6"/>
  <c r="R15" i="6"/>
  <c r="T15" i="6"/>
  <c r="V18" i="6"/>
  <c r="Y15" i="6"/>
  <c r="Y18" i="6"/>
  <c r="V21" i="6"/>
  <c r="V24" i="6"/>
  <c r="Y14" i="6"/>
  <c r="V17" i="6"/>
  <c r="Y21" i="6"/>
  <c r="X24" i="6"/>
  <c r="Y22" i="6"/>
  <c r="X18" i="6"/>
  <c r="V14" i="6"/>
  <c r="X14" i="6"/>
  <c r="X21" i="6"/>
  <c r="Y24" i="6"/>
  <c r="T22" i="6"/>
  <c r="O16" i="6"/>
  <c r="T17" i="6"/>
  <c r="P21" i="6"/>
  <c r="U22" i="6"/>
  <c r="U13" i="6"/>
  <c r="O21" i="6"/>
  <c r="P16" i="6"/>
  <c r="U17" i="6"/>
  <c r="T24" i="6"/>
  <c r="U24" i="6"/>
  <c r="U15" i="6"/>
  <c r="U19" i="6"/>
  <c r="P14" i="6"/>
  <c r="R24" i="6"/>
  <c r="R14" i="6"/>
  <c r="O23" i="6"/>
  <c r="O18" i="6"/>
  <c r="T19" i="6"/>
  <c r="P23" i="6"/>
  <c r="O13" i="6"/>
  <c r="T14" i="6"/>
  <c r="P18" i="6"/>
  <c r="P13" i="6"/>
  <c r="U14" i="6"/>
  <c r="R23" i="6"/>
  <c r="W16" i="5"/>
  <c r="V13" i="5"/>
  <c r="W15" i="5"/>
  <c r="W22" i="5"/>
  <c r="W21" i="5"/>
  <c r="W20" i="5"/>
  <c r="W19" i="5"/>
  <c r="Q47" i="15" l="1"/>
  <c r="Q48" i="15" s="1"/>
  <c r="AP56" i="15" s="1"/>
  <c r="AI78" i="15"/>
  <c r="AN103" i="15"/>
  <c r="AP61" i="15"/>
  <c r="AP85" i="15"/>
  <c r="AN73" i="15"/>
  <c r="AK67" i="15"/>
  <c r="AK91" i="15"/>
  <c r="AI79" i="15"/>
  <c r="AI58" i="15"/>
  <c r="AP62" i="15"/>
  <c r="AP86" i="15"/>
  <c r="AN74" i="15"/>
  <c r="AK92" i="15"/>
  <c r="AI80" i="15"/>
  <c r="AK70" i="15"/>
  <c r="AP63" i="15"/>
  <c r="AP87" i="15"/>
  <c r="AN75" i="15"/>
  <c r="AN99" i="15"/>
  <c r="AL63" i="15"/>
  <c r="AI57" i="15"/>
  <c r="AK95" i="15"/>
  <c r="AP64" i="15"/>
  <c r="AP88" i="15"/>
  <c r="AN76" i="15"/>
  <c r="AN100" i="15"/>
  <c r="AL64" i="15"/>
  <c r="AI82" i="15"/>
  <c r="AN79" i="15"/>
  <c r="AP65" i="15"/>
  <c r="AP89" i="15"/>
  <c r="AN77" i="15"/>
  <c r="AN101" i="15"/>
  <c r="AP66" i="15"/>
  <c r="AP90" i="15"/>
  <c r="AN78" i="15"/>
  <c r="AL66" i="15"/>
  <c r="AP67" i="15"/>
  <c r="AP91" i="15"/>
  <c r="AP92" i="15"/>
  <c r="AN56" i="15"/>
  <c r="AN80" i="15"/>
  <c r="AK98" i="15"/>
  <c r="AP69" i="15"/>
  <c r="AP93" i="15"/>
  <c r="AN57" i="15"/>
  <c r="AN105" i="15"/>
  <c r="AP70" i="15"/>
  <c r="AN58" i="15"/>
  <c r="AN82" i="15"/>
  <c r="AN106" i="15"/>
  <c r="AK76" i="15"/>
  <c r="AK100" i="15"/>
  <c r="AI88" i="15"/>
  <c r="AK62" i="15"/>
  <c r="AP71" i="15"/>
  <c r="AP95" i="15"/>
  <c r="AN83" i="15"/>
  <c r="AL71" i="15"/>
  <c r="AK77" i="15"/>
  <c r="AK101" i="15"/>
  <c r="AI65" i="15"/>
  <c r="AI89" i="15"/>
  <c r="AK75" i="15"/>
  <c r="AP96" i="15"/>
  <c r="AN60" i="15"/>
  <c r="AN84" i="15"/>
  <c r="AK78" i="15"/>
  <c r="AK102" i="15"/>
  <c r="AI66" i="15"/>
  <c r="AI90" i="15"/>
  <c r="AK82" i="15"/>
  <c r="AI74" i="15"/>
  <c r="AK87" i="15"/>
  <c r="AI76" i="15"/>
  <c r="AI77" i="15"/>
  <c r="AI84" i="15"/>
  <c r="AI86" i="15"/>
  <c r="AP73" i="15"/>
  <c r="AP97" i="15"/>
  <c r="AN61" i="15"/>
  <c r="AN85" i="15"/>
  <c r="AK79" i="15"/>
  <c r="AK103" i="15"/>
  <c r="AI67" i="15"/>
  <c r="AI91" i="15"/>
  <c r="AI73" i="15"/>
  <c r="AI75" i="15"/>
  <c r="AI59" i="15"/>
  <c r="AI61" i="15"/>
  <c r="AP74" i="15"/>
  <c r="AP98" i="15"/>
  <c r="AN62" i="15"/>
  <c r="AN86" i="15"/>
  <c r="AK56" i="15"/>
  <c r="AK104" i="15"/>
  <c r="AI92" i="15"/>
  <c r="AK106" i="15"/>
  <c r="AK72" i="15"/>
  <c r="AK99" i="15"/>
  <c r="AP75" i="15"/>
  <c r="AP99" i="15"/>
  <c r="AN63" i="15"/>
  <c r="AN87" i="15"/>
  <c r="AK105" i="15"/>
  <c r="AI69" i="15"/>
  <c r="AI93" i="15"/>
  <c r="AI70" i="15"/>
  <c r="AI72" i="15"/>
  <c r="AN67" i="15"/>
  <c r="AK96" i="15"/>
  <c r="AK97" i="15"/>
  <c r="AP76" i="15"/>
  <c r="AP100" i="15"/>
  <c r="AN64" i="15"/>
  <c r="AN88" i="15"/>
  <c r="AP77" i="15"/>
  <c r="AP101" i="15"/>
  <c r="AN65" i="15"/>
  <c r="AN89" i="15"/>
  <c r="AK59" i="15"/>
  <c r="AK83" i="15"/>
  <c r="AI71" i="15"/>
  <c r="AK84" i="15"/>
  <c r="AK85" i="15"/>
  <c r="AK86" i="15"/>
  <c r="AK73" i="15"/>
  <c r="AP78" i="15"/>
  <c r="AP102" i="15"/>
  <c r="AN66" i="15"/>
  <c r="AN90" i="15"/>
  <c r="AK88" i="15"/>
  <c r="AI85" i="15"/>
  <c r="AI62" i="15"/>
  <c r="AP79" i="15"/>
  <c r="AP103" i="15"/>
  <c r="AN91" i="15"/>
  <c r="AI60" i="15"/>
  <c r="AG74" i="15"/>
  <c r="AG98" i="15"/>
  <c r="AE62" i="15"/>
  <c r="AE86" i="15"/>
  <c r="BP53" i="15"/>
  <c r="AG75" i="15"/>
  <c r="AG99" i="15"/>
  <c r="AE63" i="15"/>
  <c r="AE87" i="15"/>
  <c r="BP54" i="15"/>
  <c r="AG76" i="15"/>
  <c r="AG100" i="15"/>
  <c r="AE64" i="15"/>
  <c r="AE88" i="15"/>
  <c r="BP55" i="15"/>
  <c r="AG77" i="15"/>
  <c r="AG101" i="15"/>
  <c r="AE65" i="15"/>
  <c r="AE89" i="15"/>
  <c r="AB59" i="15"/>
  <c r="AB83" i="15"/>
  <c r="BP56" i="15"/>
  <c r="AG78" i="15"/>
  <c r="AG102" i="15"/>
  <c r="AE66" i="15"/>
  <c r="AE90" i="15"/>
  <c r="AB84" i="15"/>
  <c r="Z72" i="15"/>
  <c r="Z77" i="15"/>
  <c r="BP57" i="15"/>
  <c r="AG79" i="15"/>
  <c r="AG103" i="15"/>
  <c r="AE67" i="15"/>
  <c r="AE91" i="15"/>
  <c r="AB85" i="15"/>
  <c r="Z73" i="15"/>
  <c r="AB65" i="15"/>
  <c r="BP58" i="15"/>
  <c r="AG56" i="15"/>
  <c r="AG80" i="15"/>
  <c r="AG104" i="15"/>
  <c r="AE92" i="15"/>
  <c r="AC80" i="15"/>
  <c r="AB62" i="15"/>
  <c r="AB86" i="15"/>
  <c r="Z74" i="15"/>
  <c r="AE97" i="15"/>
  <c r="AB93" i="15"/>
  <c r="BP59" i="15"/>
  <c r="AG57" i="15"/>
  <c r="AG105" i="15"/>
  <c r="AE69" i="15"/>
  <c r="AE93" i="15"/>
  <c r="AC57" i="15"/>
  <c r="AB87" i="15"/>
  <c r="Z75" i="15"/>
  <c r="AB88" i="15"/>
  <c r="Z76" i="15"/>
  <c r="AE73" i="15"/>
  <c r="BP60" i="15"/>
  <c r="AG58" i="15"/>
  <c r="AG82" i="15"/>
  <c r="AG106" i="15"/>
  <c r="AE70" i="15"/>
  <c r="AC58" i="15"/>
  <c r="BP61" i="15"/>
  <c r="AG59" i="15"/>
  <c r="AG83" i="15"/>
  <c r="AE71" i="15"/>
  <c r="AE95" i="15"/>
  <c r="BP62" i="15"/>
  <c r="AG60" i="15"/>
  <c r="AG84" i="15"/>
  <c r="AE72" i="15"/>
  <c r="AE96" i="15"/>
  <c r="AC60" i="15"/>
  <c r="BP63" i="15"/>
  <c r="AG61" i="15"/>
  <c r="BP64" i="15"/>
  <c r="AG62" i="15"/>
  <c r="AG86" i="15"/>
  <c r="AE74" i="15"/>
  <c r="AE98" i="15"/>
  <c r="AB92" i="15"/>
  <c r="AG63" i="15"/>
  <c r="AG87" i="15"/>
  <c r="AE75" i="15"/>
  <c r="AE99" i="15"/>
  <c r="AC63" i="15"/>
  <c r="AG64" i="15"/>
  <c r="AG88" i="15"/>
  <c r="AE76" i="15"/>
  <c r="AE100" i="15"/>
  <c r="AC64" i="15"/>
  <c r="AB70" i="15"/>
  <c r="Z58" i="15"/>
  <c r="Z82" i="15"/>
  <c r="AB105" i="15"/>
  <c r="AB90" i="15"/>
  <c r="AG85" i="15"/>
  <c r="AG65" i="15"/>
  <c r="AG89" i="15"/>
  <c r="AE77" i="15"/>
  <c r="AE101" i="15"/>
  <c r="AB95" i="15"/>
  <c r="Z59" i="15"/>
  <c r="Z83" i="15"/>
  <c r="AB100" i="15"/>
  <c r="AB78" i="15"/>
  <c r="Z90" i="15"/>
  <c r="AE85" i="15"/>
  <c r="AC61" i="15"/>
  <c r="AB67" i="15"/>
  <c r="Z80" i="15"/>
  <c r="AG66" i="15"/>
  <c r="AG90" i="15"/>
  <c r="AE78" i="15"/>
  <c r="AE102" i="15"/>
  <c r="AC66" i="15"/>
  <c r="AB72" i="15"/>
  <c r="AB96" i="15"/>
  <c r="Z60" i="15"/>
  <c r="Z84" i="15"/>
  <c r="Z88" i="15"/>
  <c r="AB103" i="15"/>
  <c r="Z79" i="15"/>
  <c r="AG67" i="15"/>
  <c r="AG91" i="15"/>
  <c r="AE79" i="15"/>
  <c r="AE103" i="15"/>
  <c r="AB73" i="15"/>
  <c r="AB97" i="15"/>
  <c r="Z61" i="15"/>
  <c r="Z85" i="15"/>
  <c r="Z64" i="15"/>
  <c r="Z66" i="15"/>
  <c r="AB104" i="15"/>
  <c r="AB91" i="15"/>
  <c r="Z56" i="15"/>
  <c r="AG92" i="15"/>
  <c r="AE56" i="15"/>
  <c r="AE80" i="15"/>
  <c r="AE104" i="15"/>
  <c r="AB74" i="15"/>
  <c r="AB98" i="15"/>
  <c r="Z62" i="15"/>
  <c r="Z86" i="15"/>
  <c r="Z71" i="15"/>
  <c r="Z78" i="15"/>
  <c r="Z57" i="15"/>
  <c r="AG69" i="15"/>
  <c r="AG93" i="15"/>
  <c r="AE57" i="15"/>
  <c r="AE105" i="15"/>
  <c r="AB75" i="15"/>
  <c r="AB99" i="15"/>
  <c r="Z63" i="15"/>
  <c r="Z87" i="15"/>
  <c r="AB76" i="15"/>
  <c r="Z91" i="15"/>
  <c r="AB56" i="15"/>
  <c r="AG70" i="15"/>
  <c r="AE58" i="15"/>
  <c r="AE82" i="15"/>
  <c r="AE106" i="15"/>
  <c r="AG71" i="15"/>
  <c r="AG95" i="15"/>
  <c r="AE59" i="15"/>
  <c r="AE83" i="15"/>
  <c r="AC71" i="15"/>
  <c r="AB77" i="15"/>
  <c r="AB101" i="15"/>
  <c r="Z65" i="15"/>
  <c r="Z89" i="15"/>
  <c r="Q49" i="15"/>
  <c r="BH99" i="15" s="1"/>
  <c r="Z67" i="15"/>
  <c r="Z92" i="15"/>
  <c r="Z93" i="15"/>
  <c r="AB106" i="15"/>
  <c r="Z70" i="15"/>
  <c r="AB89" i="15"/>
  <c r="AG72" i="15"/>
  <c r="AG96" i="15"/>
  <c r="AE60" i="15"/>
  <c r="AE84" i="15"/>
  <c r="AB102" i="15"/>
  <c r="AE61" i="15"/>
  <c r="AB79" i="15"/>
  <c r="Z69" i="15"/>
  <c r="AB69" i="15"/>
  <c r="AG73" i="15"/>
  <c r="AG97" i="15"/>
  <c r="AB82" i="15"/>
  <c r="W89" i="15"/>
  <c r="Y89" i="15" s="1"/>
  <c r="X89" i="15"/>
  <c r="V84" i="15"/>
  <c r="T84" i="15"/>
  <c r="U84" i="15"/>
  <c r="V92" i="15"/>
  <c r="T92" i="15"/>
  <c r="U92" i="15"/>
  <c r="W69" i="15"/>
  <c r="X69" i="15"/>
  <c r="Y69" i="15"/>
  <c r="W59" i="15"/>
  <c r="Y59" i="15" s="1"/>
  <c r="X59" i="15"/>
  <c r="W105" i="15"/>
  <c r="Y105" i="15" s="1"/>
  <c r="X105" i="15"/>
  <c r="W61" i="15"/>
  <c r="X61" i="15"/>
  <c r="Y61" i="15"/>
  <c r="W97" i="15"/>
  <c r="X97" i="15"/>
  <c r="Y97" i="15"/>
  <c r="T100" i="15"/>
  <c r="U100" i="15"/>
  <c r="V100" i="15"/>
  <c r="W85" i="15"/>
  <c r="X85" i="15"/>
  <c r="Y85" i="15"/>
  <c r="W93" i="15"/>
  <c r="X93" i="15"/>
  <c r="Y93" i="15"/>
  <c r="W77" i="15"/>
  <c r="X77" i="15"/>
  <c r="Y77" i="15"/>
  <c r="W67" i="15"/>
  <c r="Y67" i="15" s="1"/>
  <c r="X67" i="15"/>
  <c r="W101" i="15"/>
  <c r="X101" i="15"/>
  <c r="Y101" i="15"/>
  <c r="W75" i="15"/>
  <c r="X75" i="15"/>
  <c r="Y75" i="15"/>
  <c r="W83" i="15"/>
  <c r="X83" i="15"/>
  <c r="Y83" i="15"/>
  <c r="W91" i="15"/>
  <c r="Y91" i="15" s="1"/>
  <c r="X91" i="15"/>
  <c r="W66" i="15"/>
  <c r="X66" i="15"/>
  <c r="Y66" i="15"/>
  <c r="W74" i="15"/>
  <c r="X74" i="15"/>
  <c r="Y74" i="15"/>
  <c r="W56" i="15"/>
  <c r="X56" i="15"/>
  <c r="Y56" i="15"/>
  <c r="Y57" i="15"/>
  <c r="W57" i="15"/>
  <c r="X57" i="15"/>
  <c r="W99" i="15"/>
  <c r="X99" i="15"/>
  <c r="Y99" i="15"/>
  <c r="W65" i="15"/>
  <c r="Y65" i="15"/>
  <c r="X65" i="15"/>
  <c r="W82" i="15"/>
  <c r="X82" i="15"/>
  <c r="Y82" i="15"/>
  <c r="V60" i="15"/>
  <c r="T60" i="15"/>
  <c r="U60" i="15"/>
  <c r="W90" i="15"/>
  <c r="X90" i="15"/>
  <c r="Y90" i="15"/>
  <c r="W98" i="15"/>
  <c r="X98" i="15"/>
  <c r="Y98" i="15"/>
  <c r="T68" i="15"/>
  <c r="U68" i="15"/>
  <c r="V68" i="15"/>
  <c r="W106" i="15"/>
  <c r="Y106" i="15" s="1"/>
  <c r="X106" i="15"/>
  <c r="W73" i="15"/>
  <c r="Y73" i="15"/>
  <c r="X73" i="15"/>
  <c r="T76" i="15"/>
  <c r="V76" i="15"/>
  <c r="U76" i="15"/>
  <c r="W81" i="15"/>
  <c r="Y81" i="15"/>
  <c r="X81" i="15"/>
  <c r="N12" i="8"/>
  <c r="N13" i="8"/>
  <c r="AQ26" i="7"/>
  <c r="AP26" i="7"/>
  <c r="AL61" i="15" l="1"/>
  <c r="AN97" i="15"/>
  <c r="AP72" i="15"/>
  <c r="AK74" i="15"/>
  <c r="AK93" i="15"/>
  <c r="AN96" i="15"/>
  <c r="AI63" i="15"/>
  <c r="AN104" i="15"/>
  <c r="AK69" i="15"/>
  <c r="AP60" i="15"/>
  <c r="AN72" i="15"/>
  <c r="AP84" i="15"/>
  <c r="AK90" i="15"/>
  <c r="AL60" i="15"/>
  <c r="AN59" i="15"/>
  <c r="AN102" i="15"/>
  <c r="AI83" i="15"/>
  <c r="AK89" i="15"/>
  <c r="AK65" i="15"/>
  <c r="AI64" i="15"/>
  <c r="AI87" i="15"/>
  <c r="AI56" i="15"/>
  <c r="AN95" i="15"/>
  <c r="AN98" i="15"/>
  <c r="AL58" i="15"/>
  <c r="AN71" i="15"/>
  <c r="AP83" i="15"/>
  <c r="AP59" i="15"/>
  <c r="AN70" i="15"/>
  <c r="AP106" i="15"/>
  <c r="AL57" i="15"/>
  <c r="AP82" i="15"/>
  <c r="AP58" i="15"/>
  <c r="AN93" i="15"/>
  <c r="AN69" i="15"/>
  <c r="AP105" i="15"/>
  <c r="AP57" i="15"/>
  <c r="AL80" i="15"/>
  <c r="AN92" i="15"/>
  <c r="AP104" i="15"/>
  <c r="AP80" i="15"/>
  <c r="BH90" i="15"/>
  <c r="BH83" i="15"/>
  <c r="BH89" i="15"/>
  <c r="BH92" i="15"/>
  <c r="BH65" i="15"/>
  <c r="BH63" i="15"/>
  <c r="BH75" i="15"/>
  <c r="BH87" i="15"/>
  <c r="BH93" i="15"/>
  <c r="BH81" i="15"/>
  <c r="BH77" i="15"/>
  <c r="BH69" i="15"/>
  <c r="BH57" i="15"/>
  <c r="BH96" i="15"/>
  <c r="BH53" i="15"/>
  <c r="BH72" i="15"/>
  <c r="BH59" i="15"/>
  <c r="BH80" i="15"/>
  <c r="BH68" i="15"/>
  <c r="BH56" i="15"/>
  <c r="BH98" i="15"/>
  <c r="BH74" i="15"/>
  <c r="BH95" i="15"/>
  <c r="BH66" i="15"/>
  <c r="BH62" i="15"/>
  <c r="BH71" i="15"/>
  <c r="BH86" i="15"/>
  <c r="BH84" i="15"/>
  <c r="BH60" i="15"/>
  <c r="BH78" i="15"/>
  <c r="BH54" i="15"/>
  <c r="X76" i="15"/>
  <c r="Y76" i="15"/>
  <c r="W76" i="15"/>
  <c r="W92" i="15"/>
  <c r="X92" i="15"/>
  <c r="Y92" i="15"/>
  <c r="X84" i="15"/>
  <c r="W84" i="15"/>
  <c r="Y84" i="15" s="1"/>
  <c r="W100" i="15"/>
  <c r="Y100" i="15" s="1"/>
  <c r="X100" i="15"/>
  <c r="Y68" i="15"/>
  <c r="W68" i="15"/>
  <c r="X68" i="15"/>
  <c r="W60" i="15"/>
  <c r="Y60" i="15" s="1"/>
  <c r="X60" i="15"/>
  <c r="M13" i="8"/>
  <c r="N14" i="8" s="1"/>
  <c r="O13" i="8"/>
  <c r="AE13" i="8" s="1"/>
  <c r="M14" i="8" l="1"/>
  <c r="N15" i="8" s="1"/>
  <c r="O14" i="8"/>
  <c r="AE14" i="8" s="1"/>
  <c r="M15" i="8" l="1"/>
  <c r="N16" i="8" s="1"/>
  <c r="O15" i="8"/>
  <c r="AE15" i="8" s="1"/>
  <c r="M16" i="8" l="1"/>
  <c r="N17" i="8" s="1"/>
  <c r="O16" i="8"/>
  <c r="AE16" i="8" s="1"/>
  <c r="M17" i="8" l="1"/>
  <c r="N18" i="8" s="1"/>
  <c r="O17" i="8"/>
  <c r="AE17" i="8" s="1"/>
  <c r="M18" i="8" l="1"/>
  <c r="N19" i="8" s="1"/>
  <c r="O18" i="8" l="1"/>
  <c r="AE18" i="8" s="1"/>
  <c r="M19" i="8"/>
  <c r="N20" i="8" s="1"/>
  <c r="O19" i="8" l="1"/>
  <c r="AE19" i="8" s="1"/>
  <c r="M20" i="8"/>
  <c r="N21" i="8" s="1"/>
  <c r="O20" i="8"/>
  <c r="AE20" i="8" s="1"/>
  <c r="M21" i="8" l="1"/>
  <c r="N22" i="8" s="1"/>
  <c r="O21" i="8"/>
  <c r="AE21" i="8" s="1"/>
  <c r="M22" i="8" l="1"/>
  <c r="O22" i="8"/>
  <c r="AE2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Wayne Phillips</author>
  </authors>
  <commentList>
    <comment ref="C12" authorId="0" shapeId="0" xr:uid="{2A9494B1-DFC1-4AE4-8923-5151FDFF62EE}">
      <text>
        <r>
          <rPr>
            <b/>
            <sz val="9"/>
            <color indexed="81"/>
            <rFont val="Tahoma"/>
            <family val="2"/>
          </rPr>
          <t>Typed input. PY and Measure are the only typed columns; every other number on this sheet is a formula and will follow.</t>
        </r>
      </text>
    </comment>
    <comment ref="D12" authorId="0" shapeId="0" xr:uid="{0FC8006A-755C-4420-A8BB-8293E8954002}">
      <text>
        <r>
          <rPr>
            <b/>
            <sz val="9"/>
            <color indexed="81"/>
            <rFont val="Tahoma"/>
            <family val="2"/>
          </rPr>
          <t>Typed input. PY and Measure are the only typed columns; every other number on this sheet is a formula and will follow.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Wayne Phillips</author>
  </authors>
  <commentList>
    <comment ref="C12" authorId="0" shapeId="0" xr:uid="{8B59AD9B-EB0A-4CE6-A05B-DF5697C21FCE}">
      <text>
        <r>
          <rPr>
            <b/>
            <sz val="9"/>
            <color indexed="81"/>
            <rFont val="Tahoma"/>
            <family val="2"/>
          </rPr>
          <t>Typed input. Measure and ΔPL are the only typed columns; every other number on this sheet is a formula and will follow.</t>
        </r>
      </text>
    </comment>
    <comment ref="D12" authorId="0" shapeId="0" xr:uid="{AEF4BB19-C1F9-475A-8B32-333F2CA6A53E}">
      <text>
        <r>
          <rPr>
            <b/>
            <sz val="9"/>
            <color indexed="81"/>
            <rFont val="Tahoma"/>
            <family val="2"/>
          </rPr>
          <t>Typed input. Measure and ΔPL are the only typed columns; every other number on this sheet is a formula and will follow.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Wayne Phillips</author>
  </authors>
  <commentList>
    <comment ref="D11" authorId="0" shapeId="0" xr:uid="{02921D28-C551-45BF-8B1A-E783D379B6CE}">
      <text>
        <r>
          <rPr>
            <b/>
            <sz val="9"/>
            <color indexed="81"/>
            <rFont val="Tahoma"/>
            <family val="2"/>
          </rPr>
          <t>Typed input. AC/FC and ΔPY are the only typed columns; every other number on this sheet is a formula and will follow.</t>
        </r>
      </text>
    </comment>
    <comment ref="E11" authorId="0" shapeId="0" xr:uid="{8996739B-6D7D-41E6-B510-91D3955F720C}">
      <text>
        <r>
          <rPr>
            <b/>
            <sz val="9"/>
            <color indexed="81"/>
            <rFont val="Tahoma"/>
            <family val="2"/>
          </rPr>
          <t>Typed input. AC/FC and ΔPY are the only typed columns; every other number on this sheet is a formula and will follow.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Wayne Phillips</author>
  </authors>
  <commentList>
    <comment ref="D11" authorId="0" shapeId="0" xr:uid="{EE085AC2-4E16-43D9-A662-A818F647668F}">
      <text>
        <r>
          <rPr>
            <b/>
            <sz val="9"/>
            <color indexed="81"/>
            <rFont val="Tahoma"/>
            <family val="2"/>
          </rPr>
          <t>Typed input. AC and ΔPY% are the only typed columns; every other number on this sheet is a formula and will follow.</t>
        </r>
      </text>
    </comment>
    <comment ref="E11" authorId="0" shapeId="0" xr:uid="{1B538BEF-E83C-4AEB-BD34-B0C46B73A5B1}">
      <text>
        <r>
          <rPr>
            <b/>
            <sz val="9"/>
            <color indexed="81"/>
            <rFont val="Tahoma"/>
            <family val="2"/>
          </rPr>
          <t>Typed input. AC and ΔPY% are the only typed columns; every other number on this sheet is a formula and will follow.</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Wayne Phillips</author>
  </authors>
  <commentList>
    <comment ref="C12" authorId="0" shapeId="0" xr:uid="{8D91E03C-BB93-4D29-B4F7-EBD81027A452}">
      <text>
        <r>
          <rPr>
            <b/>
            <sz val="9"/>
            <color indexed="81"/>
            <rFont val="Tahoma"/>
            <family val="2"/>
          </rPr>
          <t>Typed input. PY and AC are the only typed columns; every other number on this sheet is a formula and will follow.</t>
        </r>
      </text>
    </comment>
    <comment ref="D12" authorId="0" shapeId="0" xr:uid="{F42CC2B9-E3DC-4CE0-BD46-F887B1E936F6}">
      <text>
        <r>
          <rPr>
            <b/>
            <sz val="9"/>
            <color indexed="81"/>
            <rFont val="Tahoma"/>
            <family val="2"/>
          </rPr>
          <t>Typed input. PY and AC are the only typed columns; every other number on this sheet is a formula and will follow.</t>
        </r>
      </text>
    </comment>
  </commentList>
</comments>
</file>

<file path=xl/sharedStrings.xml><?xml version="1.0" encoding="utf-8"?>
<sst xmlns="http://schemas.openxmlformats.org/spreadsheetml/2006/main" count="1320" uniqueCount="466">
  <si>
    <t>IBCS® notation on The Progressive Corporation's reported figures</t>
  </si>
  <si>
    <t>One sheet per template. Each sheet has two zones: the source data on the left, the charts to its right. They never overlap.</t>
  </si>
  <si>
    <t>The workbook is live. On any template sheet the two shaded columns are typed inputs - the reference scenario and the measure. Everything from the variance columns rightwards is a formula, so retyping a figure recalculates the variances and redraws the chart, including changing a bar's colour if the variance changes sign.</t>
  </si>
  <si>
    <t>The columns to the right of the variances feed the charts. They are derived, not data: Excel colours a whole series rather than a point, so a variance that must be green when positive and red when negative is plotted as two mutually exclusive series.</t>
  </si>
  <si>
    <t>The words are live too. The shaded cells at the top of each sheet hold the entity, measure, unit, period, reference scenario and message; the greyed lines under them - the subject line and each tier caption - are built from those cells, and the text on the charts is linked to them. Retype the unit once and every caption follows. Nothing a chart says is typed into the chart itself.</t>
  </si>
  <si>
    <t>Charts follow IBCS® notation: fill encodes how a number came to exist (solid dark actual, solid light prior year, outlined plan, hatched forecast), and variance colour encodes impact rather than sign.</t>
  </si>
  <si>
    <t>IBCS® does not prescribe colour codes (rule UN 4.1). The palette here is a house choice sampled to match the published reference renders.</t>
  </si>
  <si>
    <t>A third shade. Cells shaded blue are typed like the others, but hold figures the entity never published - a plan or forecast constructed here on a basis stated under the data and on the Sources sheet. Everything else shaded is as reported. Replace either and the charts follow. Scenarios constructed this way: FC, PL.</t>
  </si>
  <si>
    <t>Figures are from public filings: SEC EDGAR CIK 0000080661, 10-K Exhibit 13 state tables; SEC EDGAR CIK 0000080661, 10-K and monthly 8-K exhibits; SEC EDGAR CIK 0000080661, 10-Q and 10-K reserve roll-forward; SEC EDGAR CIK 0000080661, XBRL companyfacts; SEC EDGAR CIK 0000080661, monthly 8-K exhibits; SEC EDGAR CIK 0000080661, monthly 8-K exhibits and 10-K; SEC EDGAR CIK 0000080661, monthly 8-K exhibits and XBRL. Every figure is either read from a filing or derived from ones that were, and the Sources sheet says which.</t>
  </si>
  <si>
    <t>Drawn in IBCS® notation from publicly reported figures. IBCS® is a registered trademark of the IBCS Association; this is not an IBCS Institute publication and is not endorsed by, affiliated with, or produced in cooperation with it.</t>
  </si>
  <si>
    <t>Not affiliated with, endorsed by, or produced in cooperation with The Progressive Corporation. This workbook is an independent presentation of figures that company published; it is not that company's reporting.</t>
  </si>
  <si>
    <t>Where the figures come from</t>
  </si>
  <si>
    <t>Sheet</t>
  </si>
  <si>
    <t>Scenario</t>
  </si>
  <si>
    <t>Basis</t>
  </si>
  <si>
    <t>Detail</t>
  </si>
  <si>
    <t>C01A</t>
  </si>
  <si>
    <t>AC</t>
  </si>
  <si>
    <t>filed</t>
  </si>
  <si>
    <t>Segment premium from the year-to-date block of each December monthly release; state premium from the 10-K annual-report exhibit. Both reconcile to the same companywide total.</t>
  </si>
  <si>
    <t>C02A</t>
  </si>
  <si>
    <t>Full-year 2025 segment earned premium and the loss and expense ratios, from the year-to-date block of the December monthly release. Losses and expenses are those ratios applied to earned premium; the underwriting result is what remains.</t>
  </si>
  <si>
    <t>C03A</t>
  </si>
  <si>
    <t>Monthly net premiums written, Exhibit 99 to the monthly 8-K. Twelve months reconcile to the 10-K annual figure.</t>
  </si>
  <si>
    <t>PY</t>
  </si>
  <si>
    <t>The same series for 2025.</t>
  </si>
  <si>
    <t>FC</t>
  </si>
  <si>
    <t>assumed</t>
  </si>
  <si>
    <t>Progressive publishes no forecast. Remaining months are prior-year months grown at the year-to-date pace through Jul (+5.7%).</t>
  </si>
  <si>
    <t>C04A</t>
  </si>
  <si>
    <t>Monthly net premiums earned and combined ratio from the 2023 monthly 8-K exhibits; the underwriting result is premium times (100 - combined ratio).</t>
  </si>
  <si>
    <t>PL</t>
  </si>
  <si>
    <t>Progressive publishes no monthly plan. The target it does publish is a 96 combined ratio - a 4% underwriting margin - applied here to each month's earned premium.</t>
  </si>
  <si>
    <t>C05X</t>
  </si>
  <si>
    <t>derived</t>
  </si>
  <si>
    <t>Earned premium times (100 - combined ratio), both from the monthly 8-K exhibit. The same series C07C draws.</t>
  </si>
  <si>
    <t>The same calculation over the twelve months of 2025.</t>
  </si>
  <si>
    <t>The 96 combined ratio target applied to the premium each month actually earned. The target is filed; using it as a monthly plan is this workbook's construction, and it is a floor the company aims to beat rather than a forecast.</t>
  </si>
  <si>
    <t>Remaining months are the prior year's at the year-to-date pace, earning the year-to-date margin - the basis C07C states and the same numbers.</t>
  </si>
  <si>
    <t>C06F</t>
  </si>
  <si>
    <t>Net premiums written by state, 2025 10-K (Exhibit 13). The ten largest states are named and the rest are the filing's own All other line.</t>
  </si>
  <si>
    <t>The same table for 2024. Both years tie to the annual premium built from twelve monthly releases - two documents, months apart.</t>
  </si>
  <si>
    <t>C07C</t>
  </si>
  <si>
    <t>Earned premium and the combined ratio are both from the monthly 8-K exhibit; the result is premium times (100 - ratio), which is the definition of the ratio rather than an assumption.</t>
  </si>
  <si>
    <t>The 96 combined ratio target is Progressive's own and is stated in every 10-K, so a 4.0% margin is filed. Applying it month by month to produce a plan is this workbook's construction, and the target is a floor the company aims to beat rather than a forecast of what it expects.</t>
  </si>
  <si>
    <t>Remaining months are the prior year's months at the year-to-date pace (+6.8%), earning the year-to-date margin (13.1%).</t>
  </si>
  <si>
    <t>C08H</t>
  </si>
  <si>
    <t>Reserve roll-forward, 10-Q and 10-K. Flows are tagged year to date and differenced to quarters; the derived level is checked against the balance Progressive reports at each quarter end.</t>
  </si>
  <si>
    <t>Progressive publishes no forecast. Earned premium continues the trailing four quarters' growth (+9.5% a year); losses incurred are that premium at 71.9%, the loss ratio a 96 combined ratio implies after the trailing 24.1% expense ratio; claims paid are 91.7% of losses incurred, the trailing rate.</t>
  </si>
  <si>
    <t>The same three rules carried through the two plan years. The 96 combined ratio target is Progressive's own and is filed; applying it to a future quarter is this workbook's construction.</t>
  </si>
  <si>
    <t>C09C</t>
  </si>
  <si>
    <t>Monthly earned premium and combined ratio by segment from the monthly 8-K exhibits; margin is 100 less the combined ratio, and the result is their product.</t>
  </si>
  <si>
    <t>C10D</t>
  </si>
  <si>
    <t>Full-year segment results for 2016, from the year-to-date block of the December monthly release.</t>
  </si>
  <si>
    <t>The same block for 2015.</t>
  </si>
  <si>
    <t>ACQ</t>
  </si>
  <si>
    <t>Property's 2015 figures cover nine months - ARX was acquired in April 2015 - so it is drawn without a prior-year twin rather than against a period it cannot be compared with.</t>
  </si>
  <si>
    <t>C11A</t>
  </si>
  <si>
    <t>Earned premium and combined ratio from the year-to-date block of each December release; shareholders' equity as tagged in the 10-K. Margin, turnover and return on equity are their quotients and product.</t>
  </si>
  <si>
    <t>C12A</t>
  </si>
  <si>
    <t>Income statement lines as tagged in Progressive's 2023 10-K (XBRL companyfacts). Subtotals are derived from the lines above them.</t>
  </si>
  <si>
    <t>The same tags for 2022.</t>
  </si>
  <si>
    <t>C13D</t>
  </si>
  <si>
    <t>Monthly net premiums written from the monthly 8-K exhibits. Each year's twelve figures reconcile to the annual total in that year's 10-K.</t>
  </si>
  <si>
    <t>T01B</t>
  </si>
  <si>
    <t>Segment earned premium and combined ratio, monthly 8-K exhibit - the month block from the month's own table and the year-to-date block from the year-to-date table on the same page. The result is premium times (100 - ratio).</t>
  </si>
  <si>
    <t>The same two figures from the release twelve months earlier, which is also the prior-year column that release prints.</t>
  </si>
  <si>
    <t>The 96 combined ratio target on the premium each segment actually earned. The target is filed and company-wide; applying it to a single segment is this workbook's construction, and Progressive has never published a segment target.</t>
  </si>
  <si>
    <t>T02A</t>
  </si>
  <si>
    <t>T03A</t>
  </si>
  <si>
    <t>Earned premium, losses and loss adjustment expense and policy acquisition costs are tagged in the 10-K; the combined ratio is the monthly release's full-year figure. Other underwriting expenses and the result follow from them, so the statement closes on premium exactly.</t>
  </si>
  <si>
    <t>The same statement for 2024.</t>
  </si>
  <si>
    <t>The 96 combined ratio target with the expense ratio held where it actually landed, so the whole of the target falls on losses. The target is filed; resolving it into a statement line is this workbook's construction.</t>
  </si>
  <si>
    <t>T04A</t>
  </si>
  <si>
    <t>filed = the figure appears in a filing.   derived = computed from filed figures by the rule stated beside it.   assumed = a modelling choice the entity never published; shaded on its own sheet so it cannot be mistaken for something reported.</t>
  </si>
  <si>
    <t>Entity</t>
  </si>
  <si>
    <t>The Progressive Corporation</t>
  </si>
  <si>
    <t>Measure</t>
  </si>
  <si>
    <t>Net premiums written</t>
  </si>
  <si>
    <t>Unit</t>
  </si>
  <si>
    <t>$m</t>
  </si>
  <si>
    <t>Period</t>
  </si>
  <si>
    <t>2021..2025</t>
  </si>
  <si>
    <t>Reference</t>
  </si>
  <si>
    <t>Message</t>
  </si>
  <si>
    <t>Direct auto has grown from 18,911 to 39,631 $m since 2021, +110%, and now writes 48% of premium; Texas and Florida together account for 25% of the 2025 book</t>
  </si>
  <si>
    <t>Subject</t>
  </si>
  <si>
    <t>By segment</t>
  </si>
  <si>
    <t>2021 AC</t>
  </si>
  <si>
    <t>2022 AC</t>
  </si>
  <si>
    <t>2023 AC</t>
  </si>
  <si>
    <t>2024 AC</t>
  </si>
  <si>
    <t>2025 AC</t>
  </si>
  <si>
    <t>Agency auto</t>
  </si>
  <si>
    <t>Direct auto</t>
  </si>
  <si>
    <t>Property</t>
  </si>
  <si>
    <t>Commercial</t>
  </si>
  <si>
    <t>Other</t>
  </si>
  <si>
    <t>Total</t>
  </si>
  <si>
    <t>By state</t>
  </si>
  <si>
    <t>Texas</t>
  </si>
  <si>
    <t>Florida</t>
  </si>
  <si>
    <t>California</t>
  </si>
  <si>
    <t>Georgia</t>
  </si>
  <si>
    <t>New York</t>
  </si>
  <si>
    <t>All other</t>
  </si>
  <si>
    <t>span</t>
  </si>
  <si>
    <t>Net premiums earned</t>
  </si>
  <si>
    <t>2025</t>
  </si>
  <si>
    <t>Of 81,659 $m earned in 2025, 53,866 went to losses and 17,523 to expenses, leaving an underwriting result of 10,270 $m (12.6%); Property keeps the largest share of its premium at 24.9% and Direct auto the smallest at 9.9%</t>
  </si>
  <si>
    <t>Personal Lines</t>
  </si>
  <si>
    <t>Companywide</t>
  </si>
  <si>
    <t>Losses and LAE</t>
  </si>
  <si>
    <t>Expenses</t>
  </si>
  <si>
    <t>Underwriting result</t>
  </si>
  <si>
    <t>2026</t>
  </si>
  <si>
    <t>Net premiums written are running +2.5% to +9.6% above prior year through Jul; on that pace the year closes +4,753 $m (+5.7%) above 2025</t>
  </si>
  <si>
    <t>var_rel caption</t>
  </si>
  <si>
    <t>var_abs caption</t>
  </si>
  <si>
    <t>ΔPY</t>
  </si>
  <si>
    <t>ΔPY%</t>
  </si>
  <si>
    <t>Measure AC</t>
  </si>
  <si>
    <t>Measure FC</t>
  </si>
  <si>
    <t>ΔPY up</t>
  </si>
  <si>
    <t>ΔPY down</t>
  </si>
  <si>
    <t>ΔPY% up</t>
  </si>
  <si>
    <t>ΔPY% down</t>
  </si>
  <si>
    <t>up length</t>
  </si>
  <si>
    <t>down length</t>
  </si>
  <si>
    <t>span unit</t>
  </si>
  <si>
    <t>span rel</t>
  </si>
  <si>
    <t>ref scaled</t>
  </si>
  <si>
    <t>measure scaled</t>
  </si>
  <si>
    <t>measure text</t>
  </si>
  <si>
    <t>var_abs scaled</t>
  </si>
  <si>
    <t>var_abs text</t>
  </si>
  <si>
    <t>abs_up scaled</t>
  </si>
  <si>
    <t>abs_dn scaled</t>
  </si>
  <si>
    <t>rel_up scaled</t>
  </si>
  <si>
    <t>rel_up text</t>
  </si>
  <si>
    <t>rel_dn scaled</t>
  </si>
  <si>
    <t>rel_dn text</t>
  </si>
  <si>
    <t>rel_up_len scaled</t>
  </si>
  <si>
    <t>rel_dn_len scaled</t>
  </si>
  <si>
    <t>Jan</t>
  </si>
  <si>
    <t>Feb</t>
  </si>
  <si>
    <t>Mar</t>
  </si>
  <si>
    <t>Apr</t>
  </si>
  <si>
    <t>May</t>
  </si>
  <si>
    <t>Jun</t>
  </si>
  <si>
    <t>Jul</t>
  </si>
  <si>
    <t>Aug</t>
  </si>
  <si>
    <t>Sep</t>
  </si>
  <si>
    <t>Oct</t>
  </si>
  <si>
    <t>Nov</t>
  </si>
  <si>
    <t>Dec</t>
  </si>
  <si>
    <t>FC is not reported by the entity. Progressive publishes no forecast. Remaining months are prior-year months grown at the year-to-date pace through Jul (+5.7%). Replace these cells with your own figures and every chart on this sheet follows.</t>
  </si>
  <si>
    <t>2023</t>
  </si>
  <si>
    <t>6 of 12 months beat the 96 combined ratio target in 2023; Dec by +670 $m and Mar missed it by 441 $m, a spread of 1,111 $m across the year</t>
  </si>
  <si>
    <t>State</t>
  </si>
  <si>
    <t>ΔPL</t>
  </si>
  <si>
    <t>ΔPL%</t>
  </si>
  <si>
    <t>ΔPL up</t>
  </si>
  <si>
    <t>ΔPL down</t>
  </si>
  <si>
    <t>ΔPL% up</t>
  </si>
  <si>
    <t>ΔPL% down</t>
  </si>
  <si>
    <t>var_rel scaled</t>
  </si>
  <si>
    <t>var_rel text</t>
  </si>
  <si>
    <t>PL is not reported by the entity. Progressive publishes no monthly plan. The target it does publish is a 96 combined ratio - a 4% underwriting margin - applied here to each month's earned premium. Replace these cells with your own figures and every chart on this sheet follows.</t>
  </si>
  <si>
    <t>The underwriting result is running +1,200 $m (+11.7%) ahead of 2025, with 7 of twelve months up and Sep contributing +985 on its own. Both years sit far above the 96 combined ratio target, drawn as the second opening column</t>
  </si>
  <si>
    <t>Kind</t>
  </si>
  <si>
    <t>AC/FC</t>
  </si>
  <si>
    <t>PY bar</t>
  </si>
  <si>
    <t>AC bar</t>
  </si>
  <si>
    <t>FC bar</t>
  </si>
  <si>
    <t>level</t>
  </si>
  <si>
    <t>from</t>
  </si>
  <si>
    <t>base</t>
  </si>
  <si>
    <t>up AC</t>
  </si>
  <si>
    <t>down AC</t>
  </si>
  <si>
    <t>up FC</t>
  </si>
  <si>
    <t>down FC</t>
  </si>
  <si>
    <t>bar_py scaled</t>
  </si>
  <si>
    <t>bar_py text</t>
  </si>
  <si>
    <t>bar_pl scaled</t>
  </si>
  <si>
    <t>bar_pl text</t>
  </si>
  <si>
    <t>bar_ac scaled</t>
  </si>
  <si>
    <t>bar_ac text</t>
  </si>
  <si>
    <t>bar_fc scaled</t>
  </si>
  <si>
    <t>bar_fc text</t>
  </si>
  <si>
    <t>wf_base scaled</t>
  </si>
  <si>
    <t>wf_up_ac scaled</t>
  </si>
  <si>
    <t>wf_up_ac text</t>
  </si>
  <si>
    <t>wf_dn_ac scaled</t>
  </si>
  <si>
    <t>wf_dn_ac text</t>
  </si>
  <si>
    <t>wf_up_fc scaled</t>
  </si>
  <si>
    <t>wf_up_fc text</t>
  </si>
  <si>
    <t>wf_dn_fc scaled</t>
  </si>
  <si>
    <t>wf_dn_fc text</t>
  </si>
  <si>
    <t>2026 PL</t>
  </si>
  <si>
    <t>total</t>
  </si>
  <si>
    <t>state</t>
  </si>
  <si>
    <t>2026 AC+FC</t>
  </si>
  <si>
    <t>vs PY</t>
  </si>
  <si>
    <t>variance</t>
  </si>
  <si>
    <t>vs PL</t>
  </si>
  <si>
    <t>PL is not reported by the entity. The 96 combined ratio target applied to the premium each month actually earned. The target is filed; using it as a monthly plan is this workbook's construction, and it is a floor the company aims to beat rather than a forecast. Replace these cells with your own figures and every chart on this sheet follows.</t>
  </si>
  <si>
    <t>FC is not reported by the entity. Remaining months are the prior year's at the year-to-date pace, earning the year-to-date margin - the basis C07C states and the same numbers. Replace these cells with your own figures and every chart on this sheet follows.</t>
  </si>
  <si>
    <t>Premium grew +8,750 $m (+11.8%) and every one of the ten largest states grew. But 56% of the increase came from outside the top ten - +4,885 $m against +3,865 from all ten named states put together, Texas included</t>
  </si>
  <si>
    <t>Line</t>
  </si>
  <si>
    <t>PY short</t>
  </si>
  <si>
    <t>PL bar</t>
  </si>
  <si>
    <t>AC total</t>
  </si>
  <si>
    <t>step up</t>
  </si>
  <si>
    <t>step down</t>
  </si>
  <si>
    <t>bar_state scaled</t>
  </si>
  <si>
    <t>bar_state text</t>
  </si>
  <si>
    <t>bar_short scaled</t>
  </si>
  <si>
    <t>wf_up scaled</t>
  </si>
  <si>
    <t>wf_up text</t>
  </si>
  <si>
    <t>wf_dn scaled</t>
  </si>
  <si>
    <t>wf_dn text</t>
  </si>
  <si>
    <t>New Jersey</t>
  </si>
  <si>
    <t>Ohio</t>
  </si>
  <si>
    <t>Arizona</t>
  </si>
  <si>
    <t>Pennsylvania</t>
  </si>
  <si>
    <t>Michigan</t>
  </si>
  <si>
    <t>Through Jul the underwriting result is +4,557 $m against the 96 combined ratio target - a 13.1% margin where the target implies 4.0%. Holding that margin closes the year +7,967 $m ahead of target, and the moving annual total has stayed above 10,000 $m all year</t>
  </si>
  <si>
    <t>PL month</t>
  </si>
  <si>
    <t>AC month</t>
  </si>
  <si>
    <t>FC month</t>
  </si>
  <si>
    <t>PL cumulative</t>
  </si>
  <si>
    <t>AC cumulative</t>
  </si>
  <si>
    <t>FC cumulative</t>
  </si>
  <si>
    <t>MAT</t>
  </si>
  <si>
    <t>PL month scaled</t>
  </si>
  <si>
    <t>AC month scaled</t>
  </si>
  <si>
    <t>AC month text</t>
  </si>
  <si>
    <t>FC month scaled</t>
  </si>
  <si>
    <t>FC month text</t>
  </si>
  <si>
    <t>PL cumulative scaled</t>
  </si>
  <si>
    <t>PL cumulative text</t>
  </si>
  <si>
    <t>AC cumulative scaled</t>
  </si>
  <si>
    <t>AC cumulative text</t>
  </si>
  <si>
    <t>FC cumulative scaled</t>
  </si>
  <si>
    <t>FC cumulative text</t>
  </si>
  <si>
    <t>MAT scaled</t>
  </si>
  <si>
    <t>MAT text</t>
  </si>
  <si>
    <t>PL is not reported by the entity. The 96 combined ratio target is Progressive's own and is stated in every 10-K, so a 4.0% margin is filed. Applying it month by month to produce a plan is this workbook's construction, and the target is a floor the company aims to beat rather than a forecast of what it expects. Replace these cells with your own figures and every chart on this sheet follows.</t>
  </si>
  <si>
    <t>FC is not reported by the entity. Remaining months are the prior year's months at the year-to-date pace (+6.8%), earning the year-to-date margin (13.1%). Replace these cells with your own figures and every chart on this sheet follows.</t>
  </si>
  <si>
    <t>Loss and loss adjustment expense reserves, net</t>
  </si>
  <si>
    <t>2024..2028</t>
  </si>
  <si>
    <t>Reserves built +12,301 $m over 10 quarters - losses incurred ran ahead of claims paid in 10 of them. Progressive is running a 66.2 loss ratio where its 96 combined ratio target implies 71.9, so holding the target builds reserves faster rather than slower: 56,535 $m by end 2028</t>
  </si>
  <si>
    <t>Q1</t>
  </si>
  <si>
    <t>2024</t>
  </si>
  <si>
    <t>Q2</t>
  </si>
  <si>
    <t>Q3</t>
  </si>
  <si>
    <t>Q4</t>
  </si>
  <si>
    <t>2027</t>
  </si>
  <si>
    <t>2028</t>
  </si>
  <si>
    <t>Increase</t>
  </si>
  <si>
    <t>Decrease</t>
  </si>
  <si>
    <t>Inventory change</t>
  </si>
  <si>
    <t>Inventory AC</t>
  </si>
  <si>
    <t>Inventory FC</t>
  </si>
  <si>
    <t>Inventory PL</t>
  </si>
  <si>
    <t>Decrease (drawn)</t>
  </si>
  <si>
    <t>level AC scaled</t>
  </si>
  <si>
    <t>level FC scaled</t>
  </si>
  <si>
    <t>level PL scaled</t>
  </si>
  <si>
    <t>Increase scaled</t>
  </si>
  <si>
    <t>Increase text</t>
  </si>
  <si>
    <t>Decrease drawn scaled</t>
  </si>
  <si>
    <t>Decrease drawn text</t>
  </si>
  <si>
    <t>FC is not reported by the entity. Progressive publishes no forecast. Earned premium continues the trailing four quarters' growth (+9.5% a year); losses incurred are that premium at 71.9%, the loss ratio a 96 combined ratio implies after the trailing 24.1% expense ratio; claims paid are 91.7% of losses incurred, the trailing rate. Replace these cells with your own figures and every chart on this sheet follows.</t>
  </si>
  <si>
    <t>PL is not reported by the entity. The same three rules carried through the two plan years. The 96 combined ratio target is Progressive's own and is filed; applying it to a future quarter is this workbook's construction. Replace these cells with your own figures and every chart on this sheet follows.</t>
  </si>
  <si>
    <t>$m, margin in %</t>
  </si>
  <si>
    <t>2024..2025</t>
  </si>
  <si>
    <t>17 of Agency auto's 23 months earned an underwriting result of 300 $m or more; the curves are constant result, so a point's distance beyond one is what its premium and its margin achieved together</t>
  </si>
  <si>
    <t>Underwriting margin in % of earned premium</t>
  </si>
  <si>
    <t/>
  </si>
  <si>
    <t>Agency auto at 300 mUSD or more</t>
  </si>
  <si>
    <t>stated in the message</t>
  </si>
  <si>
    <t>Iso gross profit</t>
  </si>
  <si>
    <t>Margin</t>
  </si>
  <si>
    <t>Underwriting performance by segment</t>
  </si>
  <si>
    <t>2016</t>
  </si>
  <si>
    <t>Property carries the highest combined ratio at 96.2 despite the lowest loss ratio in the group at 63.2; its expense ratio of 33.0 is 14 points above the leanest segment</t>
  </si>
  <si>
    <t>Size</t>
  </si>
  <si>
    <t>Expense ratio in %</t>
  </si>
  <si>
    <t>Loss and LAE ratio in %</t>
  </si>
  <si>
    <t>Return on equity</t>
  </si>
  <si>
    <t>%</t>
  </si>
  <si>
    <t>2019..2025</t>
  </si>
  <si>
    <t>Return on equity moved from 24.1% to 33.9% between 2019 and 2025, and the tree says which half did it: premium to equity barely moved (2.65 to 2.69) while the underwriting margin went from 9.1% to 12.6%</t>
  </si>
  <si>
    <t>2019</t>
  </si>
  <si>
    <t>2020</t>
  </si>
  <si>
    <t>2021</t>
  </si>
  <si>
    <t>2022</t>
  </si>
  <si>
    <t>Year</t>
  </si>
  <si>
    <t>Axis scenario</t>
  </si>
  <si>
    <t>Axis year</t>
  </si>
  <si>
    <t>Shareholders' equity</t>
  </si>
  <si>
    <t>Underwriting margin</t>
  </si>
  <si>
    <t>Premium to equity</t>
  </si>
  <si>
    <t>span percent</t>
  </si>
  <si>
    <t>span turnover</t>
  </si>
  <si>
    <t>span kEUR</t>
  </si>
  <si>
    <t>roi scaled</t>
  </si>
  <si>
    <t>roi text</t>
  </si>
  <si>
    <t>ros scaled</t>
  </si>
  <si>
    <t>ros text</t>
  </si>
  <si>
    <t>turnover scaled</t>
  </si>
  <si>
    <t>turnover text</t>
  </si>
  <si>
    <t>return scaled</t>
  </si>
  <si>
    <t>return text</t>
  </si>
  <si>
    <t>net_sales scaled</t>
  </si>
  <si>
    <t>net_sales text</t>
  </si>
  <si>
    <t>capital scaled</t>
  </si>
  <si>
    <t>capital text</t>
  </si>
  <si>
    <t>Profit and loss statement</t>
  </si>
  <si>
    <t>AC 2023, PY and ΔPY</t>
  </si>
  <si>
    <t>Net income rose from 722 to 3,903 $m, +441%, as an underwriting result that had nearly vanished in 2022 recovered; 3 lines move too far to be drawn to scale and carry the overflow marks</t>
  </si>
  <si>
    <t>Sign</t>
  </si>
  <si>
    <t>PY level</t>
  </si>
  <si>
    <t>PY from</t>
  </si>
  <si>
    <t>PY base</t>
  </si>
  <si>
    <t>PY adds</t>
  </si>
  <si>
    <t>PY subs</t>
  </si>
  <si>
    <t>AC level</t>
  </si>
  <si>
    <t>AC from</t>
  </si>
  <si>
    <t>AC base</t>
  </si>
  <si>
    <t>AC adds</t>
  </si>
  <si>
    <t>AC subs</t>
  </si>
  <si>
    <t>ΔPY up ok</t>
  </si>
  <si>
    <t>ΔPY up bad</t>
  </si>
  <si>
    <t>ΔPY dn ok</t>
  </si>
  <si>
    <t>ΔPY dn bad</t>
  </si>
  <si>
    <t>ΔPY% up ok</t>
  </si>
  <si>
    <t>ΔPY% up bad</t>
  </si>
  <si>
    <t>ΔPY% dn ok</t>
  </si>
  <si>
    <t>ΔPY% dn bad</t>
  </si>
  <si>
    <t>py_base scaled</t>
  </si>
  <si>
    <t>py_add scaled</t>
  </si>
  <si>
    <t>py_add text</t>
  </si>
  <si>
    <t>py_sub scaled</t>
  </si>
  <si>
    <t>py_sub text</t>
  </si>
  <si>
    <t>ac_base scaled</t>
  </si>
  <si>
    <t>ac_add scaled</t>
  </si>
  <si>
    <t>ac_add text</t>
  </si>
  <si>
    <t>ac_sub scaled</t>
  </si>
  <si>
    <t>ac_sub text</t>
  </si>
  <si>
    <t>abs_pos_good scaled</t>
  </si>
  <si>
    <t>abs_pos_bad scaled</t>
  </si>
  <si>
    <t>abs_neg_good scaled</t>
  </si>
  <si>
    <t>abs_neg_bad scaled</t>
  </si>
  <si>
    <t>var_rel clipped</t>
  </si>
  <si>
    <t>rel_pos_good clipped</t>
  </si>
  <si>
    <t>rel_pos_bad clipped</t>
  </si>
  <si>
    <t>rel_neg_good clipped</t>
  </si>
  <si>
    <t>rel_neg_bad clipped</t>
  </si>
  <si>
    <t>ΔPY% text</t>
  </si>
  <si>
    <t>Premiums earned</t>
  </si>
  <si>
    <t>Investment income</t>
  </si>
  <si>
    <t>Other revenues</t>
  </si>
  <si>
    <t>Total revenues</t>
  </si>
  <si>
    <t>Acquisition costs</t>
  </si>
  <si>
    <t>Other expenses</t>
  </si>
  <si>
    <t>Pretax income</t>
  </si>
  <si>
    <t>Income taxes</t>
  </si>
  <si>
    <t>Net income</t>
  </si>
  <si>
    <t>$m, relative variance in % from the monthly average</t>
  </si>
  <si>
    <t>2011..2025</t>
  </si>
  <si>
    <t>AVG</t>
  </si>
  <si>
    <t>Every month of 2025 sits above the fifteen-year average, Mar by +179%; the book has grown 5.5x since 2011, so the grid reads as a climb from below the line to well above it</t>
  </si>
  <si>
    <t>Location</t>
  </si>
  <si>
    <t>average 15 years</t>
  </si>
  <si>
    <t>Panel</t>
  </si>
  <si>
    <t>ΔØ %</t>
  </si>
  <si>
    <t>2011</t>
  </si>
  <si>
    <t>2012</t>
  </si>
  <si>
    <t>2013</t>
  </si>
  <si>
    <t>2014</t>
  </si>
  <si>
    <t>2015</t>
  </si>
  <si>
    <t>2017</t>
  </si>
  <si>
    <t>2018</t>
  </si>
  <si>
    <t>ENGINE - do not edit</t>
  </si>
  <si>
    <t>grid rows</t>
  </si>
  <si>
    <t>grid cols</t>
  </si>
  <si>
    <t>periods</t>
  </si>
  <si>
    <t>elements</t>
  </si>
  <si>
    <t>blocks</t>
  </si>
  <si>
    <t>bands</t>
  </si>
  <si>
    <t>sub-slots</t>
  </si>
  <si>
    <t>block slots</t>
  </si>
  <si>
    <t>spacers</t>
  </si>
  <si>
    <t>lead</t>
  </si>
  <si>
    <t>band frac</t>
  </si>
  <si>
    <t>min raw</t>
  </si>
  <si>
    <t>max raw</t>
  </si>
  <si>
    <t>step</t>
  </si>
  <si>
    <t>vmin</t>
  </si>
  <si>
    <t>vmax</t>
  </si>
  <si>
    <t>zero offset</t>
  </si>
  <si>
    <t>x</t>
  </si>
  <si>
    <t>pos</t>
  </si>
  <si>
    <t>blk</t>
  </si>
  <si>
    <t>sub</t>
  </si>
  <si>
    <t>k</t>
  </si>
  <si>
    <t>e</t>
  </si>
  <si>
    <t>sep</t>
  </si>
  <si>
    <t>kx</t>
  </si>
  <si>
    <t>blkx</t>
  </si>
  <si>
    <t>cat</t>
  </si>
  <si>
    <t>ΔØ % b0 +</t>
  </si>
  <si>
    <t>stem ΔØ % b0 +</t>
  </si>
  <si>
    <t>label ΔØ % b0 +</t>
  </si>
  <si>
    <t>ΔØ % b0 -</t>
  </si>
  <si>
    <t>stem ΔØ % b0 -</t>
  </si>
  <si>
    <t>label ΔØ % b0 -</t>
  </si>
  <si>
    <t>ΔØ % b1 +</t>
  </si>
  <si>
    <t>stem ΔØ % b1 +</t>
  </si>
  <si>
    <t>label ΔØ % b1 +</t>
  </si>
  <si>
    <t>ΔØ % b1 -</t>
  </si>
  <si>
    <t>stem ΔØ % b1 -</t>
  </si>
  <si>
    <t>label ΔØ % b1 -</t>
  </si>
  <si>
    <t>ΔØ % b2 +</t>
  </si>
  <si>
    <t>stem ΔØ % b2 +</t>
  </si>
  <si>
    <t>label ΔØ % b2 +</t>
  </si>
  <si>
    <t>ΔØ % b2 -</t>
  </si>
  <si>
    <t>stem ΔØ % b2 -</t>
  </si>
  <si>
    <t>label ΔØ % b2 -</t>
  </si>
  <si>
    <t>ΔØ % b3 +</t>
  </si>
  <si>
    <t>stem ΔØ % b3 +</t>
  </si>
  <si>
    <t>label ΔØ % b3 +</t>
  </si>
  <si>
    <t>ΔØ % b3 -</t>
  </si>
  <si>
    <t>stem ΔØ % b3 -</t>
  </si>
  <si>
    <t>label ΔØ % b3 -</t>
  </si>
  <si>
    <t>divider</t>
  </si>
  <si>
    <t>bandrule</t>
  </si>
  <si>
    <t>baseline</t>
  </si>
  <si>
    <t>ptitle</t>
  </si>
  <si>
    <t>ytick</t>
  </si>
  <si>
    <t>Jul 2026</t>
  </si>
  <si>
    <t>Every columned segment beat the 96 combined ratio target in the year to date - companywide +6,536 $m against the +1,996 the target implies. Agency contributes the largest excess (+2,037 $m) on 27% less earned premium than Direct</t>
  </si>
  <si>
    <t>Agency</t>
  </si>
  <si>
    <t>Direct</t>
  </si>
  <si>
    <t>Commercial Lines</t>
  </si>
  <si>
    <t>PL is not reported by the entity. The 96 combined ratio target on the premium each segment actually earned. The target is filed and company-wide; applying it to a single segment is this workbook's construction, and Progressive has never published a segment target. Replace these cells with your own figures and every chart on this sheet follows.</t>
  </si>
  <si>
    <t>Against the 96 combined ratio target, every columned segment is ahead for the year to date - +6,536 $m against +1,996. The bars are the gap to target, drawn at one scale for the month and the year so the two can be read against each other</t>
  </si>
  <si>
    <t>ΔPL scaled</t>
  </si>
  <si>
    <t>ΔPL text</t>
  </si>
  <si>
    <t>ΔPL good</t>
  </si>
  <si>
    <t>ΔPL bad</t>
  </si>
  <si>
    <t>ΔPL% scaled</t>
  </si>
  <si>
    <t>ΔPL% text</t>
  </si>
  <si>
    <t>ΔPL% good</t>
  </si>
  <si>
    <t>ΔPL% bad</t>
  </si>
  <si>
    <t>A 87.4 combined ratio against the 96 target left an underwriting result of +10,289 $m, +7,023 more than the target implies. The gain over 2024 is all in losses: the loss ratio fell 3.2 points while the expense ratio rose 1.8</t>
  </si>
  <si>
    <t>Losses and loss adjustment expense</t>
  </si>
  <si>
    <t>Policy acquisition costs</t>
  </si>
  <si>
    <t>Other underwriting expenses</t>
  </si>
  <si>
    <t>Underwriting expenses</t>
  </si>
  <si>
    <t>Loss and LAE ratio</t>
  </si>
  <si>
    <t>Combined ratio</t>
  </si>
  <si>
    <t>PL is not reported by the entity. The 96 combined ratio target with the expense ratio held where it actually landed, so the whole of the target falls on losses. The target is filed; resolving it into a statement line is this workbook's construction. Replace these cells with your own figures and every chart on this sheet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</si>
</sst>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 ##0"/>
    <numFmt numFmtId="165" formatCode="0.000000"/>
    <numFmt numFmtId="166" formatCode="0.0"/>
    <numFmt numFmtId="167" formatCode="\+0.0;\-0.0"/>
    <numFmt numFmtId="168" formatCode="\+0;\-0"/>
    <numFmt numFmtId="169" formatCode="\+#,##0;\-#,##0"/>
    <numFmt numFmtId="170" formatCode="#,##0.000"/>
    <numFmt numFmtId="171" formatCode="\+0;\-0;0"/>
    <numFmt numFmtId="172" formatCode="[&gt;999]#\ ##0;[&lt;-999]\-#\ ##0;0"/>
    <numFmt numFmtId="173" formatCode="[&gt;0.5]\+0;[&lt;-0.5]\-0;0"/>
    <numFmt numFmtId="174" formatCode="[&gt;0.05]\+0.0&quot;%&quot;;[&lt;-0.05]\-0.0&quot;%&quot;;0.0&quot;%&quot;"/>
    <numFmt numFmtId="175" formatCode=";;;"/>
    <numFmt numFmtId="176" formatCode="0.0&quot;%&quot;"/>
    <numFmt numFmtId="177" formatCode="\+0.0&quot;%p&quot;;\-0.0&quot;%p&quot;;0.0&quot;%p&quot;"/>
    <numFmt numFmtId="178" formatCode="\+0&quot;%&quot;;\-0&quot;%&quot;;0&quot;%&quot;"/>
  </numFmts>
  <fonts count="16" x14ac:knownFonts="1">
    <font>
      <sz val="11"/>
      <color theme="1"/>
      <name val="Aptos Narrow"/>
      <family val="2"/>
      <scheme val="minor"/>
    </font>
    <font>
      <b/>
      <sz val="11"/>
      <color theme="1"/>
      <name val="Aptos Narrow"/>
      <family val="2"/>
      <scheme val="minor"/>
    </font>
    <font>
      <b/>
      <sz val="14"/>
      <color theme="1"/>
      <name val="Aptos Narrow"/>
      <family val="2"/>
      <scheme val="minor"/>
    </font>
    <font>
      <sz val="10"/>
      <color theme="1"/>
      <name val="Aptos Narrow"/>
      <family val="2"/>
      <scheme val="minor"/>
    </font>
    <font>
      <sz val="9"/>
      <color theme="1"/>
      <name val="Aptos Narrow"/>
      <family val="2"/>
      <scheme val="minor"/>
    </font>
    <font>
      <sz val="11"/>
      <color rgb="FF7F7F7F"/>
      <name val="Aptos Narrow"/>
      <family val="2"/>
      <scheme val="minor"/>
    </font>
    <font>
      <sz val="11"/>
      <color rgb="FF808080"/>
      <name val="Aptos Narrow"/>
      <family val="2"/>
      <scheme val="minor"/>
    </font>
    <font>
      <sz val="9"/>
      <color rgb="FF808080"/>
      <name val="Aptos Narrow"/>
      <family val="2"/>
      <scheme val="minor"/>
    </font>
    <font>
      <b/>
      <sz val="11"/>
      <color rgb="FF000000"/>
      <name val="Aptos Narrow"/>
      <family val="2"/>
      <scheme val="minor"/>
    </font>
    <font>
      <b/>
      <sz val="9"/>
      <color indexed="81"/>
      <name val="Tahoma"/>
      <family val="2"/>
    </font>
    <font>
      <sz val="9"/>
      <color rgb="FF7F7F7F"/>
      <name val="Aptos Narrow"/>
      <family val="2"/>
      <scheme val="minor"/>
    </font>
    <font>
      <b/>
      <sz val="11"/>
      <color rgb="FF7F7F7F"/>
      <name val="Aptos Narrow"/>
      <family val="2"/>
      <scheme val="minor"/>
    </font>
    <font>
      <b/>
      <sz val="12"/>
      <color theme="1"/>
      <name val="Aptos Narrow"/>
      <family val="2"/>
      <scheme val="minor"/>
    </font>
    <font>
      <i/>
      <sz val="11"/>
      <color theme="1"/>
      <name val="Aptos Narrow"/>
      <family val="2"/>
      <scheme val="minor"/>
    </font>
    <font>
      <i/>
      <sz val="8"/>
      <color rgb="FF7F7F7F"/>
      <name val="Aptos Narrow"/>
      <family val="2"/>
      <scheme val="minor"/>
    </font>
    <font>
      <sz val="8"/>
      <color rgb="FF7F7F7F"/>
      <name val="Aptos Narrow"/>
      <family val="2"/>
      <scheme val="minor"/>
    </font>
  </fonts>
  <fills count="4">
    <fill>
      <patternFill patternType="none"/>
    </fill>
    <fill>
      <patternFill patternType="gray125"/>
    </fill>
    <fill>
      <patternFill patternType="solid">
        <fgColor rgb="FFDEEBF7"/>
        <bgColor indexed="64"/>
      </patternFill>
    </fill>
    <fill>
      <patternFill patternType="solid">
        <fgColor rgb="FFFFF2CC"/>
        <bgColor indexed="64"/>
      </patternFill>
    </fill>
  </fills>
  <borders count="10">
    <border>
      <left/>
      <right/>
      <top/>
      <bottom/>
      <diagonal/>
    </border>
    <border>
      <left/>
      <right/>
      <top/>
      <bottom style="thin">
        <color indexed="64"/>
      </bottom>
      <diagonal/>
    </border>
    <border>
      <left/>
      <right/>
      <top/>
      <bottom style="thick">
        <color rgb="FFA6A6A6"/>
      </bottom>
      <diagonal/>
    </border>
    <border>
      <left/>
      <right/>
      <top/>
      <bottom style="double">
        <color rgb="FF404040"/>
      </bottom>
      <diagonal/>
    </border>
    <border>
      <left/>
      <right/>
      <top/>
      <bottom style="thick">
        <color rgb="FF404040"/>
      </bottom>
      <diagonal/>
    </border>
    <border>
      <left/>
      <right/>
      <top/>
      <bottom style="thin">
        <color rgb="FF000000"/>
      </bottom>
      <diagonal/>
    </border>
    <border>
      <left/>
      <right/>
      <top/>
      <bottom style="thin">
        <color rgb="FFBDBDBD"/>
      </bottom>
      <diagonal/>
    </border>
    <border>
      <left/>
      <right/>
      <top style="thin">
        <color rgb="FFBDBDBD"/>
      </top>
      <bottom style="thin">
        <color rgb="FFBDBDBD"/>
      </bottom>
      <diagonal/>
    </border>
    <border>
      <left/>
      <right/>
      <top style="medium">
        <color rgb="FF000000"/>
      </top>
      <bottom/>
      <diagonal/>
    </border>
    <border>
      <left/>
      <right/>
      <top style="thin">
        <color rgb="FFBDBDBD"/>
      </top>
      <bottom/>
      <diagonal/>
    </border>
  </borders>
  <cellStyleXfs count="1">
    <xf numFmtId="0" fontId="0" fillId="0" borderId="0"/>
  </cellStyleXfs>
  <cellXfs count="120">
    <xf numFmtId="0" fontId="0" fillId="0" borderId="0" xfId="0"/>
    <xf numFmtId="0" fontId="2" fillId="0" borderId="0" xfId="0" applyFont="1"/>
    <xf numFmtId="0" fontId="2" fillId="0" borderId="0" xfId="0" applyFont="1" applyAlignment="1">
      <alignment wrapText="1"/>
    </xf>
    <xf numFmtId="0" fontId="0"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0" borderId="0" xfId="0" applyFont="1"/>
    <xf numFmtId="0" fontId="1" fillId="0" borderId="1" xfId="0" applyFont="1" applyBorder="1"/>
    <xf numFmtId="0" fontId="0" fillId="2" borderId="0" xfId="0" applyFill="1"/>
    <xf numFmtId="0" fontId="0" fillId="0" borderId="0" xfId="0" applyAlignment="1">
      <alignment vertical="top"/>
    </xf>
    <xf numFmtId="0" fontId="0" fillId="2" borderId="0" xfId="0" applyFill="1" applyAlignment="1">
      <alignment vertical="top"/>
    </xf>
    <xf numFmtId="0" fontId="0" fillId="0" borderId="0" xfId="0" applyAlignment="1">
      <alignment wrapText="1"/>
    </xf>
    <xf numFmtId="0" fontId="1" fillId="0" borderId="1" xfId="0" applyFont="1" applyBorder="1" applyAlignment="1">
      <alignment wrapText="1"/>
    </xf>
    <xf numFmtId="0" fontId="0" fillId="0" borderId="0" xfId="0" applyAlignment="1">
      <alignment vertical="top" wrapText="1"/>
    </xf>
    <xf numFmtId="0" fontId="0" fillId="2" borderId="0" xfId="0" applyFill="1" applyAlignment="1">
      <alignment vertical="top" wrapText="1"/>
    </xf>
    <xf numFmtId="0" fontId="5" fillId="0" borderId="0" xfId="0" applyFont="1"/>
    <xf numFmtId="0" fontId="6" fillId="0" borderId="0" xfId="0" applyFont="1"/>
    <xf numFmtId="0" fontId="0" fillId="0" borderId="0" xfId="0" applyAlignment="1">
      <alignment horizontal="left" wrapText="1"/>
    </xf>
    <xf numFmtId="49" fontId="0" fillId="3" borderId="0" xfId="0" applyNumberFormat="1" applyFill="1" applyAlignment="1">
      <alignment horizontal="left" wrapText="1"/>
    </xf>
    <xf numFmtId="0" fontId="6" fillId="0" borderId="0" xfId="0" applyFont="1" applyAlignment="1">
      <alignment horizontal="left" wrapText="1"/>
    </xf>
    <xf numFmtId="49" fontId="0" fillId="0" borderId="0" xfId="0" applyNumberFormat="1"/>
    <xf numFmtId="49" fontId="0" fillId="0" borderId="0" xfId="0" applyNumberFormat="1" applyAlignment="1">
      <alignment horizontal="right"/>
    </xf>
    <xf numFmtId="164" fontId="0" fillId="0" borderId="0" xfId="0" applyNumberFormat="1"/>
    <xf numFmtId="164" fontId="0" fillId="3" borderId="0" xfId="0" applyNumberFormat="1" applyFill="1"/>
    <xf numFmtId="49" fontId="1" fillId="0" borderId="0" xfId="0" applyNumberFormat="1" applyFont="1"/>
    <xf numFmtId="164" fontId="1" fillId="0" borderId="0" xfId="0" applyNumberFormat="1" applyFont="1"/>
    <xf numFmtId="165" fontId="0" fillId="0" borderId="0" xfId="0" applyNumberFormat="1"/>
    <xf numFmtId="49" fontId="0" fillId="3" borderId="0" xfId="0" applyNumberFormat="1" applyFill="1" applyAlignment="1">
      <alignment horizontal="left" wrapText="1"/>
    </xf>
    <xf numFmtId="0" fontId="0" fillId="0" borderId="0" xfId="0" applyAlignment="1">
      <alignment horizontal="left" wrapText="1"/>
    </xf>
    <xf numFmtId="0" fontId="6" fillId="0" borderId="0" xfId="0" applyFont="1" applyAlignment="1">
      <alignment horizontal="left" wrapText="1"/>
    </xf>
    <xf numFmtId="0" fontId="7" fillId="0" borderId="0" xfId="0" applyFont="1"/>
    <xf numFmtId="0" fontId="8" fillId="0" borderId="0" xfId="0" applyFont="1" applyAlignment="1">
      <alignment horizontal="left" wrapText="1"/>
    </xf>
    <xf numFmtId="49" fontId="3" fillId="3" borderId="0" xfId="0" applyNumberFormat="1" applyFont="1" applyFill="1" applyAlignment="1">
      <alignment horizontal="left" wrapText="1"/>
    </xf>
    <xf numFmtId="0" fontId="1" fillId="0" borderId="0" xfId="0" applyFont="1" applyAlignment="1">
      <alignment wrapText="1"/>
    </xf>
    <xf numFmtId="166" fontId="0" fillId="0" borderId="0" xfId="0" applyNumberFormat="1"/>
    <xf numFmtId="166" fontId="0" fillId="3" borderId="0" xfId="0" applyNumberFormat="1" applyFill="1"/>
    <xf numFmtId="166" fontId="0" fillId="2" borderId="0" xfId="0" applyNumberFormat="1" applyFill="1"/>
    <xf numFmtId="166" fontId="6" fillId="0" borderId="0" xfId="0" applyNumberFormat="1" applyFont="1"/>
    <xf numFmtId="167" fontId="6" fillId="0" borderId="0" xfId="0" applyNumberFormat="1" applyFont="1"/>
    <xf numFmtId="165" fontId="6" fillId="0" borderId="0" xfId="0" applyNumberFormat="1" applyFont="1"/>
    <xf numFmtId="49" fontId="10" fillId="2" borderId="0" xfId="0" applyNumberFormat="1" applyFont="1" applyFill="1" applyAlignment="1">
      <alignment horizontal="left" vertical="top" wrapText="1"/>
    </xf>
    <xf numFmtId="0" fontId="0" fillId="0" borderId="0" xfId="0" applyAlignment="1">
      <alignment horizontal="left" vertical="top" wrapText="1"/>
    </xf>
    <xf numFmtId="1" fontId="0" fillId="0" borderId="0" xfId="0" applyNumberFormat="1"/>
    <xf numFmtId="168" fontId="0" fillId="0" borderId="0" xfId="0" applyNumberFormat="1"/>
    <xf numFmtId="1" fontId="0" fillId="3" borderId="0" xfId="0" applyNumberFormat="1" applyFill="1"/>
    <xf numFmtId="168" fontId="0" fillId="2" borderId="0" xfId="0" applyNumberFormat="1" applyFill="1"/>
    <xf numFmtId="1" fontId="6" fillId="0" borderId="0" xfId="0" applyNumberFormat="1" applyFont="1"/>
    <xf numFmtId="168" fontId="6" fillId="0" borderId="0" xfId="0" applyNumberFormat="1" applyFont="1"/>
    <xf numFmtId="49" fontId="0" fillId="0" borderId="0" xfId="0" applyNumberFormat="1" applyAlignment="1">
      <alignment horizontal="left" vertical="top" wrapText="1"/>
    </xf>
    <xf numFmtId="3" fontId="0" fillId="0" borderId="0" xfId="0" applyNumberFormat="1"/>
    <xf numFmtId="3" fontId="6" fillId="2" borderId="0" xfId="0" applyNumberFormat="1" applyFont="1" applyFill="1"/>
    <xf numFmtId="3" fontId="0" fillId="3" borderId="0" xfId="0" applyNumberFormat="1" applyFill="1"/>
    <xf numFmtId="3" fontId="0" fillId="2" borderId="0" xfId="0" applyNumberFormat="1" applyFill="1"/>
    <xf numFmtId="169" fontId="0" fillId="3" borderId="0" xfId="0" applyNumberFormat="1" applyFill="1"/>
    <xf numFmtId="3" fontId="6" fillId="0" borderId="0" xfId="0" applyNumberFormat="1" applyFont="1"/>
    <xf numFmtId="3" fontId="6" fillId="3" borderId="0" xfId="0" applyNumberFormat="1" applyFont="1" applyFill="1"/>
    <xf numFmtId="167" fontId="0" fillId="3" borderId="0" xfId="0" applyNumberFormat="1" applyFill="1"/>
    <xf numFmtId="169" fontId="6" fillId="0" borderId="0" xfId="0" applyNumberFormat="1" applyFont="1"/>
    <xf numFmtId="49" fontId="5" fillId="0" borderId="0" xfId="0" applyNumberFormat="1" applyFont="1"/>
    <xf numFmtId="49" fontId="11" fillId="0" borderId="0" xfId="0" applyNumberFormat="1" applyFont="1"/>
    <xf numFmtId="2" fontId="0" fillId="0" borderId="0" xfId="0" applyNumberFormat="1"/>
    <xf numFmtId="2" fontId="0" fillId="3" borderId="0" xfId="0" applyNumberFormat="1" applyFill="1"/>
    <xf numFmtId="0" fontId="5" fillId="3" borderId="0" xfId="0" applyFont="1" applyFill="1"/>
    <xf numFmtId="49" fontId="1" fillId="0" borderId="0" xfId="0" applyNumberFormat="1" applyFont="1" applyAlignment="1">
      <alignment horizontal="left" wrapText="1"/>
    </xf>
    <xf numFmtId="49" fontId="0" fillId="3" borderId="0" xfId="0" applyNumberFormat="1" applyFill="1"/>
    <xf numFmtId="0" fontId="0" fillId="0" borderId="0" xfId="0" applyAlignment="1">
      <alignment horizontal="right"/>
    </xf>
    <xf numFmtId="49" fontId="1" fillId="0" borderId="0" xfId="0" applyNumberFormat="1" applyFont="1" applyAlignment="1">
      <alignment horizontal="center"/>
    </xf>
    <xf numFmtId="170" fontId="0" fillId="0" borderId="0" xfId="0" applyNumberFormat="1"/>
    <xf numFmtId="171" fontId="0" fillId="0" borderId="0" xfId="0" applyNumberFormat="1"/>
    <xf numFmtId="49" fontId="0" fillId="0" borderId="0" xfId="0" applyNumberFormat="1" applyFont="1"/>
    <xf numFmtId="0" fontId="12" fillId="0" borderId="0" xfId="0" applyFont="1"/>
    <xf numFmtId="0" fontId="0" fillId="0" borderId="2" xfId="0" applyBorder="1" applyAlignment="1">
      <alignment horizontal="right"/>
    </xf>
    <xf numFmtId="0" fontId="0" fillId="0" borderId="3" xfId="0" applyBorder="1" applyAlignment="1">
      <alignment horizontal="right"/>
    </xf>
    <xf numFmtId="0" fontId="0" fillId="0" borderId="4" xfId="0" applyBorder="1" applyAlignment="1">
      <alignment horizontal="right"/>
    </xf>
    <xf numFmtId="0" fontId="0" fillId="0" borderId="5" xfId="0" applyBorder="1" applyAlignment="1">
      <alignment horizontal="right"/>
    </xf>
    <xf numFmtId="0" fontId="0" fillId="0" borderId="1" xfId="0" applyBorder="1"/>
    <xf numFmtId="0" fontId="0" fillId="0" borderId="5" xfId="0" applyBorder="1" applyAlignment="1">
      <alignment horizontal="left"/>
    </xf>
    <xf numFmtId="0" fontId="0" fillId="0" borderId="5" xfId="0" applyBorder="1"/>
    <xf numFmtId="49" fontId="0" fillId="0" borderId="0" xfId="0" applyNumberFormat="1" applyFont="1" applyAlignment="1">
      <alignment horizontal="left" indent="1"/>
    </xf>
    <xf numFmtId="172" fontId="0" fillId="3" borderId="0" xfId="0" applyNumberFormat="1" applyFont="1" applyFill="1"/>
    <xf numFmtId="173" fontId="0" fillId="0" borderId="0" xfId="0" applyNumberFormat="1" applyFont="1"/>
    <xf numFmtId="174" fontId="0" fillId="0" borderId="0" xfId="0" applyNumberFormat="1" applyFont="1"/>
    <xf numFmtId="172" fontId="0" fillId="3" borderId="6" xfId="0" applyNumberFormat="1" applyFont="1" applyFill="1" applyBorder="1"/>
    <xf numFmtId="173" fontId="0" fillId="0" borderId="6" xfId="0" applyNumberFormat="1" applyFont="1" applyBorder="1"/>
    <xf numFmtId="174" fontId="0" fillId="0" borderId="6" xfId="0" applyNumberFormat="1" applyFont="1" applyBorder="1"/>
    <xf numFmtId="49" fontId="0" fillId="0" borderId="6" xfId="0" applyNumberFormat="1" applyFont="1" applyBorder="1" applyAlignment="1">
      <alignment horizontal="left" indent="1"/>
    </xf>
    <xf numFmtId="172" fontId="0" fillId="3" borderId="0" xfId="0" applyNumberFormat="1" applyFont="1" applyFill="1" applyBorder="1"/>
    <xf numFmtId="173" fontId="0" fillId="0" borderId="0" xfId="0" applyNumberFormat="1" applyFont="1" applyBorder="1"/>
    <xf numFmtId="174" fontId="0" fillId="0" borderId="0" xfId="0" applyNumberFormat="1" applyFont="1" applyBorder="1"/>
    <xf numFmtId="49" fontId="0" fillId="0" borderId="0" xfId="0" applyNumberFormat="1" applyFont="1" applyBorder="1" applyAlignment="1">
      <alignment horizontal="left" indent="1"/>
    </xf>
    <xf numFmtId="172" fontId="0" fillId="3" borderId="7" xfId="0" applyNumberFormat="1" applyFont="1" applyFill="1" applyBorder="1"/>
    <xf numFmtId="173" fontId="0" fillId="0" borderId="7" xfId="0" applyNumberFormat="1" applyFont="1" applyBorder="1"/>
    <xf numFmtId="174" fontId="0" fillId="0" borderId="7" xfId="0" applyNumberFormat="1" applyFont="1" applyBorder="1"/>
    <xf numFmtId="49" fontId="0" fillId="0" borderId="7" xfId="0" applyNumberFormat="1" applyFont="1" applyBorder="1" applyAlignment="1">
      <alignment horizontal="left" indent="1"/>
    </xf>
    <xf numFmtId="172" fontId="1" fillId="0" borderId="8" xfId="0" applyNumberFormat="1" applyFont="1" applyBorder="1"/>
    <xf numFmtId="173" fontId="1" fillId="0" borderId="8" xfId="0" applyNumberFormat="1" applyFont="1" applyBorder="1"/>
    <xf numFmtId="174" fontId="1" fillId="0" borderId="8" xfId="0" applyNumberFormat="1" applyFont="1" applyBorder="1"/>
    <xf numFmtId="49" fontId="1" fillId="0" borderId="8" xfId="0" applyNumberFormat="1" applyFont="1" applyBorder="1" applyAlignment="1">
      <alignment horizontal="left" indent="1"/>
    </xf>
    <xf numFmtId="175" fontId="0" fillId="0" borderId="0" xfId="0" applyNumberFormat="1" applyFont="1"/>
    <xf numFmtId="175" fontId="0" fillId="0" borderId="6" xfId="0" applyNumberFormat="1" applyFont="1" applyBorder="1"/>
    <xf numFmtId="175" fontId="0" fillId="0" borderId="0" xfId="0" applyNumberFormat="1" applyFont="1" applyBorder="1"/>
    <xf numFmtId="175" fontId="0" fillId="0" borderId="7" xfId="0" applyNumberFormat="1" applyFont="1" applyBorder="1"/>
    <xf numFmtId="175" fontId="1" fillId="0" borderId="8" xfId="0" applyNumberFormat="1" applyFont="1" applyBorder="1"/>
    <xf numFmtId="0" fontId="14" fillId="0" borderId="0" xfId="0" applyFont="1"/>
    <xf numFmtId="0" fontId="15" fillId="0" borderId="0" xfId="0" applyFont="1"/>
    <xf numFmtId="49" fontId="0" fillId="0" borderId="9" xfId="0" applyNumberFormat="1" applyFont="1" applyBorder="1" applyAlignment="1">
      <alignment horizontal="left" indent="1"/>
    </xf>
    <xf numFmtId="172" fontId="0" fillId="3" borderId="9" xfId="0" applyNumberFormat="1" applyFont="1" applyFill="1" applyBorder="1"/>
    <xf numFmtId="173" fontId="0" fillId="0" borderId="9" xfId="0" applyNumberFormat="1" applyFont="1" applyBorder="1"/>
    <xf numFmtId="174" fontId="0" fillId="0" borderId="9" xfId="0" applyNumberFormat="1" applyFont="1" applyBorder="1"/>
    <xf numFmtId="49" fontId="13" fillId="0" borderId="0" xfId="0" applyNumberFormat="1" applyFont="1" applyBorder="1" applyAlignment="1">
      <alignment horizontal="left" indent="1"/>
    </xf>
    <xf numFmtId="176" fontId="13" fillId="0" borderId="0" xfId="0" applyNumberFormat="1" applyFont="1" applyBorder="1"/>
    <xf numFmtId="177" fontId="13" fillId="0" borderId="0" xfId="0" applyNumberFormat="1" applyFont="1" applyBorder="1"/>
    <xf numFmtId="178" fontId="13" fillId="0" borderId="0" xfId="0" applyNumberFormat="1" applyFont="1" applyBorder="1"/>
    <xf numFmtId="49" fontId="13" fillId="0" borderId="7" xfId="0" applyNumberFormat="1" applyFont="1" applyBorder="1" applyAlignment="1">
      <alignment horizontal="left" indent="1"/>
    </xf>
    <xf numFmtId="176" fontId="13" fillId="0" borderId="7" xfId="0" applyNumberFormat="1" applyFont="1" applyBorder="1"/>
    <xf numFmtId="177" fontId="13" fillId="0" borderId="7" xfId="0" applyNumberFormat="1" applyFont="1" applyBorder="1"/>
    <xf numFmtId="178" fontId="13" fillId="0" borderId="7" xfId="0" applyNumberFormat="1" applyFont="1" applyBorder="1"/>
    <xf numFmtId="175" fontId="0" fillId="0" borderId="9" xfId="0" applyNumberFormat="1" applyFont="1" applyBorder="1"/>
    <xf numFmtId="175" fontId="13" fillId="0" borderId="0" xfId="0" applyNumberFormat="1" applyFont="1" applyBorder="1"/>
    <xf numFmtId="175" fontId="13" fillId="0" borderId="7"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latin typeface="Arial"/>
                <a:ea typeface="Arial"/>
                <a:cs typeface="Arial"/>
              </a:defRPr>
            </a:pPr>
            <a:r>
              <a:rPr lang="en-US"/>
              <a:t>By segment</a:t>
            </a:r>
          </a:p>
        </c:rich>
      </c:tx>
      <c:overlay val="0"/>
    </c:title>
    <c:autoTitleDeleted val="0"/>
    <c:plotArea>
      <c:layout/>
      <c:barChart>
        <c:barDir val="col"/>
        <c:grouping val="stacked"/>
        <c:varyColors val="0"/>
        <c:ser>
          <c:idx val="0"/>
          <c:order val="0"/>
          <c:tx>
            <c:v>Agency auto</c:v>
          </c:tx>
          <c:spPr>
            <a:solidFill>
              <a:srgbClr val="404040"/>
            </a:solidFill>
            <a:ln>
              <a:noFill/>
            </a:ln>
            <a:effectLst/>
            <a:extLst>
              <a:ext uri="{91240B29-F687-4F45-9708-019B960494DF}">
                <a14:hiddenLine xmlns:a14="http://schemas.microsoft.com/office/drawing/2010/main">
                  <a:noFill/>
                </a14:hiddenLine>
              </a:ext>
            </a:extLst>
          </c:spPr>
          <c:invertIfNegative val="0"/>
          <c:dLbls>
            <c:dLbl>
              <c:idx val="0"/>
              <c:tx>
                <c:strRef>
                  <c:f>'C01A'!$B$66</c:f>
                  <c:strCache>
                    <c:ptCount val="1"/>
                    <c:pt idx="0">
                      <c:v>17 258</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{3107DE5E-3EF2-4849-AF11-7C8B72E1E83F}</c15:txfldGUID>
                      <c15:f>'C01A'!$B$66</c15:f>
                      <c15:dlblFieldTableCache>
                        <c:ptCount val="1"/>
                        <c:pt idx="0">
                          <c:v>17 258</c:v>
                        </c:pt>
                      </c15:dlblFieldTableCache>
                    </c15:dlblFTEntry>
                  </c15:dlblFieldTable>
                  <c15:showDataLabelsRange val="0"/>
                </c:ext>
                <c:ext xmlns:c16="http://schemas.microsoft.com/office/drawing/2014/chart" uri="{C3380CC4-5D6E-409C-BE32-E72D297353CC}">
                  <c16:uniqueId val="{00000005-CFAA-4E46-B88F-E8209470E4DA}"/>
                </c:ext>
              </c:extLst>
            </c:dLbl>
            <c:dLbl>
              <c:idx val="1"/>
              <c:tx>
                <c:strRef>
                  <c:f>'C01A'!$C$66</c:f>
                  <c:strCache>
                    <c:ptCount val="1"/>
                    <c:pt idx="0">
                      <c:v>18 334</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{471F604C-639E-4AA7-B74F-29C8D959454B}</c15:txfldGUID>
                      <c15:f>'C01A'!$C$66</c15:f>
                      <c15:dlblFieldTableCache>
                        <c:ptCount val="1"/>
                        <c:pt idx="0">
                          <c:v>18 334</c:v>
                        </c:pt>
                      </c15:dlblFieldTableCache>
                    </c15:dlblFTEntry>
                  </c15:dlblFieldTable>
                  <c15:showDataLabelsRange val="0"/>
                </c:ext>
                <c:ext xmlns:c16="http://schemas.microsoft.com/office/drawing/2014/chart" uri="{C3380CC4-5D6E-409C-BE32-E72D297353CC}">
                  <c16:uniqueId val="{00000006-CFAA-4E46-B88F-E8209470E4DA}"/>
                </c:ext>
              </c:extLst>
            </c:dLbl>
            <c:dLbl>
              <c:idx val="2"/>
              <c:tx>
                <c:strRef>
                  <c:f>'C01A'!$D$66</c:f>
                  <c:strCache>
                    <c:ptCount val="1"/>
                    <c:pt idx="0">
                      <c:v>22 278</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{E3A938C6-FAF3-49D3-8C56-F2C2700F3600}</c15:txfldGUID>
                      <c15:f>'C01A'!$D$66</c15:f>
                      <c15:dlblFieldTableCache>
                        <c:ptCount val="1"/>
                        <c:pt idx="0">
                          <c:v>22 278</c:v>
                        </c:pt>
                      </c15:dlblFieldTableCache>
                    </c15:dlblFTEntry>
                  </c15:dlblFieldTable>
                  <c15:showDataLabelsRange val="0"/>
                </c:ext>
                <c:ext xmlns:c16="http://schemas.microsoft.com/office/drawing/2014/chart" uri="{C3380CC4-5D6E-409C-BE32-E72D297353CC}">
                  <c16:uniqueId val="{00000007-CFAA-4E46-B88F-E8209470E4DA}"/>
                </c:ext>
              </c:extLst>
            </c:dLbl>
            <c:dLbl>
              <c:idx val="3"/>
              <c:tx>
                <c:strRef>
                  <c:f>'C01A'!$E$66</c:f>
                  <c:strCache>
                    <c:ptCount val="1"/>
                    <c:pt idx="0">
                      <c:v>26 967</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{5D423606-C85B-4EAB-A3D8-3856019A502D}</c15:txfldGUID>
                      <c15:f>'C01A'!$E$66</c15:f>
                      <c15:dlblFieldTableCache>
                        <c:ptCount val="1"/>
                        <c:pt idx="0">
                          <c:v>26 967</c:v>
                        </c:pt>
                      </c15:dlblFieldTableCache>
                    </c15:dlblFTEntry>
                  </c15:dlblFieldTable>
                  <c15:showDataLabelsRange val="0"/>
                </c:ext>
                <c:ext xmlns:c16="http://schemas.microsoft.com/office/drawing/2014/chart" uri="{C3380CC4-5D6E-409C-BE32-E72D297353CC}">
                  <c16:uniqueId val="{00000008-CFAA-4E46-B88F-E8209470E4DA}"/>
                </c:ext>
              </c:extLst>
            </c:dLbl>
            <c:dLbl>
              <c:idx val="4"/>
              <c:tx>
                <c:strRef>
                  <c:f>'C01A'!$F$66</c:f>
                  <c:strCache>
                    <c:ptCount val="1"/>
                    <c:pt idx="0">
                      <c:v>29 825</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{B87A028E-7CAA-455D-9F73-D80DDA17F3BF}</c15:txfldGUID>
                      <c15:f>'C01A'!$F$66</c15:f>
                      <c15:dlblFieldTableCache>
                        <c:ptCount val="1"/>
                        <c:pt idx="0">
                          <c:v>29 825</c:v>
                        </c:pt>
                      </c15:dlblFieldTableCache>
                    </c15:dlblFTEntry>
                  </c15:dlblFieldTable>
                  <c15:showDataLabelsRange val="0"/>
                </c:ext>
                <c:ext xmlns:c16="http://schemas.microsoft.com/office/drawing/2014/chart" uri="{C3380CC4-5D6E-409C-BE32-E72D297353CC}">
                  <c16:uniqueId val="{00000009-CFAA-4E46-B88F-E8209470E4DA}"/>
                </c:ext>
              </c:extLst>
            </c:dLbl>
            <c:numFmt formatCode="#\ ##0" sourceLinked="0"/>
            <c:spPr>
              <a:noFill/>
              <a:ln>
                <a:noFill/>
              </a:ln>
              <a:effectLst/>
            </c:spPr>
            <c:txPr>
              <a:bodyPr wrap="squar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'C01A'!$B$9:$F$9</c:f>
              <c:strCache>
                <c:ptCount val="5"/>
                <c:pt idx="0">
                  <c:v>2021 AC</c:v>
                </c:pt>
                <c:pt idx="1">
                  <c:v>2022 AC</c:v>
                </c:pt>
                <c:pt idx="2">
                  <c:v>2023 AC</c:v>
                </c:pt>
                <c:pt idx="3">
                  <c:v>2024 AC</c:v>
                </c:pt>
                <c:pt idx="4">
                  <c:v>2025 AC</c:v>
                </c:pt>
              </c:strCache>
            </c:strRef>
          </c:cat>
          <c:val>
            <c:numRef>
              <c:f>'C01A'!$B$38:$F$38</c:f>
              <c:numCache>
                <c:formatCode>General</c:formatCode>
                <c:ptCount val="5"/>
                <c:pt idx="0">
                  <c:v>0.20749272609228844</c:v>
                </c:pt>
                <c:pt idx="1">
                  <c:v>0.22042946112967995</c:v>
                </c:pt>
                <c:pt idx="2">
                  <c:v>0.26784812561617816</c:v>
                </c:pt>
                <c:pt idx="3">
                  <c:v>0.32422391612763601</c:v>
                </c:pt>
                <c:pt idx="4">
                  <c:v>0.35858561569721309</c:v>
                </c:pt>
              </c:numCache>
            </c:numRef>
          </c:val>
          <c:extLst>
            <c:ext xmlns:c16="http://schemas.microsoft.com/office/drawing/2014/chart" uri="{C3380CC4-5D6E-409C-BE32-E72D297353CC}">
              <c16:uniqueId val="{00000004-CFAA-4E46-B88F-E8209470E4DA}"/>
            </c:ext>
          </c:extLst>
        </c:ser>
        <c:ser>
          <c:idx val="1"/>
          <c:order val="1"/>
          <c:tx>
            <c:v>Direct auto</c:v>
          </c:tx>
          <c:spPr>
            <a:solidFill>
              <a:srgbClr val="595959"/>
            </a:solidFill>
            <a:ln>
              <a:noFill/>
            </a:ln>
            <a:effectLst/>
            <a:extLst>
              <a:ext uri="{91240B29-F687-4F45-9708-019B960494DF}">
                <a14:hiddenLine xmlns:a14="http://schemas.microsoft.com/office/drawing/2010/main">
                  <a:noFill/>
                </a14:hiddenLine>
              </a:ext>
            </a:extLst>
          </c:spPr>
          <c:invertIfNegative val="0"/>
          <c:dLbls>
            <c:dLbl>
              <c:idx val="0"/>
              <c:tx>
                <c:strRef>
                  <c:f>'C01A'!$B$67</c:f>
                  <c:strCache>
                    <c:ptCount val="1"/>
                    <c:pt idx="0">
                      <c:v>18 911</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{7F39FF87-4728-485A-B85C-759668E9249B}</c15:txfldGUID>
                      <c15:f>'C01A'!$B$67</c15:f>
                      <c15:dlblFieldTableCache>
                        <c:ptCount val="1"/>
                        <c:pt idx="0">
                          <c:v>18 911</c:v>
                        </c:pt>
                      </c15:dlblFieldTableCache>
                    </c15:dlblFTEntry>
                  </c15:dlblFieldTable>
                  <c15:showDataLabelsRange val="0"/>
                </c:ext>
                <c:ext xmlns:c16="http://schemas.microsoft.com/office/drawing/2014/chart" uri="{C3380CC4-5D6E-409C-BE32-E72D297353CC}">
                  <c16:uniqueId val="{0000000B-CFAA-4E46-B88F-E8209470E4DA}"/>
                </c:ext>
              </c:extLst>
            </c:dLbl>
            <c:dLbl>
              <c:idx val="1"/>
              <c:tx>
                <c:strRef>
                  <c:f>'C01A'!$C$67</c:f>
                  <c:strCache>
                    <c:ptCount val="1"/>
                    <c:pt idx="0">
                      <c:v>20 944</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{39DF880F-76FD-4439-9FA9-F8BB8EF1CC25}</c15:txfldGUID>
                      <c15:f>'C01A'!$C$67</c15:f>
                      <c15:dlblFieldTableCache>
                        <c:ptCount val="1"/>
                        <c:pt idx="0">
                          <c:v>20 944</c:v>
                        </c:pt>
                      </c15:dlblFieldTableCache>
                    </c15:dlblFTEntry>
                  </c15:dlblFieldTable>
                  <c15:showDataLabelsRange val="0"/>
                </c:ext>
                <c:ext xmlns:c16="http://schemas.microsoft.com/office/drawing/2014/chart" uri="{C3380CC4-5D6E-409C-BE32-E72D297353CC}">
                  <c16:uniqueId val="{0000000C-CFAA-4E46-B88F-E8209470E4DA}"/>
                </c:ext>
              </c:extLst>
            </c:dLbl>
            <c:dLbl>
              <c:idx val="2"/>
              <c:tx>
                <c:strRef>
                  <c:f>'C01A'!$D$67</c:f>
                  <c:strCache>
                    <c:ptCount val="1"/>
                    <c:pt idx="0">
                      <c:v>26 303</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{82508CA3-D599-4E4A-BDAA-5EE62AE8FF19}</c15:txfldGUID>
                      <c15:f>'C01A'!$D$67</c15:f>
                      <c15:dlblFieldTableCache>
                        <c:ptCount val="1"/>
                        <c:pt idx="0">
                          <c:v>26 303</c:v>
                        </c:pt>
                      </c15:dlblFieldTableCache>
                    </c15:dlblFTEntry>
                  </c15:dlblFieldTable>
                  <c15:showDataLabelsRange val="0"/>
                </c:ext>
                <c:ext xmlns:c16="http://schemas.microsoft.com/office/drawing/2014/chart" uri="{C3380CC4-5D6E-409C-BE32-E72D297353CC}">
                  <c16:uniqueId val="{0000000D-CFAA-4E46-B88F-E8209470E4DA}"/>
                </c:ext>
              </c:extLst>
            </c:dLbl>
            <c:dLbl>
              <c:idx val="3"/>
              <c:tx>
                <c:strRef>
                  <c:f>'C01A'!$E$67</c:f>
                  <c:strCache>
                    <c:ptCount val="1"/>
                    <c:pt idx="0">
                      <c:v>33 432</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{D925E9E0-A75B-4F6F-8098-0FFB8A46B9ED}</c15:txfldGUID>
                      <c15:f>'C01A'!$E$67</c15:f>
                      <c15:dlblFieldTableCache>
                        <c:ptCount val="1"/>
                        <c:pt idx="0">
                          <c:v>33 432</c:v>
                        </c:pt>
                      </c15:dlblFieldTableCache>
                    </c15:dlblFTEntry>
                  </c15:dlblFieldTable>
                  <c15:showDataLabelsRange val="0"/>
                </c:ext>
                <c:ext xmlns:c16="http://schemas.microsoft.com/office/drawing/2014/chart" uri="{C3380CC4-5D6E-409C-BE32-E72D297353CC}">
                  <c16:uniqueId val="{0000000E-CFAA-4E46-B88F-E8209470E4DA}"/>
                </c:ext>
              </c:extLst>
            </c:dLbl>
            <c:dLbl>
              <c:idx val="4"/>
              <c:tx>
                <c:strRef>
                  <c:f>'C01A'!$F$67</c:f>
                  <c:strCache>
                    <c:ptCount val="1"/>
                    <c:pt idx="0">
                      <c:v>39 631</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{7E9DE735-6DE8-4230-9C8D-BFA8178DD001}</c15:txfldGUID>
                      <c15:f>'C01A'!$F$67</c15:f>
                      <c15:dlblFieldTableCache>
                        <c:ptCount val="1"/>
                        <c:pt idx="0">
                          <c:v>39 631</c:v>
                        </c:pt>
                      </c15:dlblFieldTableCache>
                    </c15:dlblFTEntry>
                  </c15:dlblFieldTable>
                  <c15:showDataLabelsRange val="0"/>
                </c:ext>
                <c:ext xmlns:c16="http://schemas.microsoft.com/office/drawing/2014/chart" uri="{C3380CC4-5D6E-409C-BE32-E72D297353CC}">
                  <c16:uniqueId val="{0000000F-CFAA-4E46-B88F-E8209470E4DA}"/>
                </c:ext>
              </c:extLst>
            </c:dLbl>
            <c:numFmt formatCode="#\ ##0" sourceLinked="0"/>
            <c:spPr>
              <a:noFill/>
              <a:ln>
                <a:noFill/>
              </a:ln>
              <a:effectLst/>
            </c:spPr>
            <c:txPr>
              <a:bodyPr wrap="squar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'C01A'!$B$9:$F$9</c:f>
              <c:strCache>
                <c:ptCount val="5"/>
                <c:pt idx="0">
                  <c:v>2021 AC</c:v>
                </c:pt>
                <c:pt idx="1">
                  <c:v>2022 AC</c:v>
                </c:pt>
                <c:pt idx="2">
                  <c:v>2023 AC</c:v>
                </c:pt>
                <c:pt idx="3">
                  <c:v>2024 AC</c:v>
                </c:pt>
                <c:pt idx="4">
                  <c:v>2025 AC</c:v>
                </c:pt>
              </c:strCache>
            </c:strRef>
          </c:cat>
          <c:val>
            <c:numRef>
              <c:f>'C01A'!$B$39:$F$39</c:f>
              <c:numCache>
                <c:formatCode>General</c:formatCode>
                <c:ptCount val="5"/>
                <c:pt idx="0">
                  <c:v>0.22736672517854137</c:v>
                </c:pt>
                <c:pt idx="1">
                  <c:v>0.25180945968692137</c:v>
                </c:pt>
                <c:pt idx="2">
                  <c:v>0.31624065212686658</c:v>
                </c:pt>
                <c:pt idx="3">
                  <c:v>0.40195253324356167</c:v>
                </c:pt>
                <c:pt idx="4">
                  <c:v>0.47648303556399835</c:v>
                </c:pt>
              </c:numCache>
            </c:numRef>
          </c:val>
          <c:extLst>
            <c:ext xmlns:c16="http://schemas.microsoft.com/office/drawing/2014/chart" uri="{C3380CC4-5D6E-409C-BE32-E72D297353CC}">
              <c16:uniqueId val="{0000000A-CFAA-4E46-B88F-E8209470E4DA}"/>
            </c:ext>
          </c:extLst>
        </c:ser>
        <c:ser>
          <c:idx val="2"/>
          <c:order val="2"/>
          <c:tx>
            <c:v>Property</c:v>
          </c:tx>
          <c:spPr>
            <a:solidFill>
              <a:srgbClr val="7F7F7F"/>
            </a:solidFill>
            <a:ln>
              <a:noFill/>
            </a:ln>
            <a:effectLst/>
            <a:extLst>
              <a:ext uri="{91240B29-F687-4F45-9708-019B960494DF}">
                <a14:hiddenLine xmlns:a14="http://schemas.microsoft.com/office/drawing/2010/main">
                  <a:noFill/>
                </a14:hiddenLine>
              </a:ext>
            </a:extLst>
          </c:spPr>
          <c:invertIfNegative val="0"/>
          <c:dLbls>
            <c:dLbl>
              <c:idx val="0"/>
              <c:tx>
                <c:strRef>
                  <c:f>'C01A'!$B$68</c:f>
                  <c:strCache>
                    <c:ptCount val="1"/>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{97E1B0B4-46BD-47C5-8BB0-57EC861824F8}</c15:txfldGUID>
                      <c15:f>'C01A'!$B$68</c15:f>
                      <c15:dlblFieldTableCache>
                        <c:ptCount val="1"/>
                      </c15:dlblFieldTableCache>
                    </c15:dlblFTEntry>
                  </c15:dlblFieldTable>
                  <c15:showDataLabelsRange val="0"/>
                </c:ext>
                <c:ext xmlns:c16="http://schemas.microsoft.com/office/drawing/2014/chart" uri="{C3380CC4-5D6E-409C-BE32-E72D297353CC}">
                  <c16:uniqueId val="{00000011-CFAA-4E46-B88F-E8209470E4DA}"/>
                </c:ext>
              </c:extLst>
            </c:dLbl>
            <c:dLbl>
              <c:idx val="1"/>
              <c:tx>
                <c:strRef>
                  <c:f>'C01A'!$C$68</c:f>
                  <c:strCache>
                    <c:ptCount val="1"/>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{CADDF31D-5F89-4BD3-8C7A-02CA5F3D2488}</c15:txfldGUID>
                      <c15:f>'C01A'!$C$68</c15:f>
                      <c15:dlblFieldTableCache>
                        <c:ptCount val="1"/>
                      </c15:dlblFieldTableCache>
                    </c15:dlblFTEntry>
                  </c15:dlblFieldTable>
                  <c15:showDataLabelsRange val="0"/>
                </c:ext>
                <c:ext xmlns:c16="http://schemas.microsoft.com/office/drawing/2014/chart" uri="{C3380CC4-5D6E-409C-BE32-E72D297353CC}">
                  <c16:uniqueId val="{00000012-CFAA-4E46-B88F-E8209470E4DA}"/>
                </c:ext>
              </c:extLst>
            </c:dLbl>
            <c:dLbl>
              <c:idx val="2"/>
              <c:tx>
                <c:strRef>
                  <c:f>'C01A'!$D$68</c:f>
                  <c:strCache>
                    <c:ptCount val="1"/>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{EBEE38C3-3565-412C-9D9B-3F72CFF42D15}</c15:txfldGUID>
                      <c15:f>'C01A'!$D$68</c15:f>
                      <c15:dlblFieldTableCache>
                        <c:ptCount val="1"/>
                      </c15:dlblFieldTableCache>
                    </c15:dlblFTEntry>
                  </c15:dlblFieldTable>
                  <c15:showDataLabelsRange val="0"/>
                </c:ext>
                <c:ext xmlns:c16="http://schemas.microsoft.com/office/drawing/2014/chart" uri="{C3380CC4-5D6E-409C-BE32-E72D297353CC}">
                  <c16:uniqueId val="{00000013-CFAA-4E46-B88F-E8209470E4DA}"/>
                </c:ext>
              </c:extLst>
            </c:dLbl>
            <c:dLbl>
              <c:idx val="3"/>
              <c:tx>
                <c:strRef>
                  <c:f>'C01A'!$E$68</c:f>
                  <c:strCache>
                    <c:ptCount val="1"/>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{DC6BCE0C-C90A-4B38-A31B-46511EB7E964}</c15:txfldGUID>
                      <c15:f>'C01A'!$E$68</c15:f>
                      <c15:dlblFieldTableCache>
                        <c:ptCount val="1"/>
                      </c15:dlblFieldTableCache>
                    </c15:dlblFTEntry>
                  </c15:dlblFieldTable>
                  <c15:showDataLabelsRange val="0"/>
                </c:ext>
                <c:ext xmlns:c16="http://schemas.microsoft.com/office/drawing/2014/chart" uri="{C3380CC4-5D6E-409C-BE32-E72D297353CC}">
                  <c16:uniqueId val="{00000014-CFAA-4E46-B88F-E8209470E4DA}"/>
                </c:ext>
              </c:extLst>
            </c:dLbl>
            <c:dLbl>
              <c:idx val="4"/>
              <c:tx>
                <c:strRef>
                  <c:f>'C01A'!$F$68</c:f>
                  <c:strCache>
                    <c:ptCount val="1"/>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{58AEEA4C-AA4A-46F0-95C9-A380ABB86812}</c15:txfldGUID>
                      <c15:f>'C01A'!$F$68</c15:f>
                      <c15:dlblFieldTableCache>
                        <c:ptCount val="1"/>
                      </c15:dlblFieldTableCache>
                    </c15:dlblFTEntry>
                  </c15:dlblFieldTable>
                  <c15:showDataLabelsRange val="0"/>
                </c:ext>
                <c:ext xmlns:c16="http://schemas.microsoft.com/office/drawing/2014/chart" uri="{C3380CC4-5D6E-409C-BE32-E72D297353CC}">
                  <c16:uniqueId val="{00000015-CFAA-4E46-B88F-E8209470E4DA}"/>
                </c:ext>
              </c:extLst>
            </c:dLbl>
            <c:numFmt formatCode="#\ ##0" sourceLinked="0"/>
            <c:spPr>
              <a:noFill/>
              <a:ln>
                <a:noFill/>
              </a:ln>
              <a:effectLst/>
            </c:spPr>
            <c:txPr>
              <a:bodyPr wrap="squar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'C01A'!$B$9:$F$9</c:f>
              <c:strCache>
                <c:ptCount val="5"/>
                <c:pt idx="0">
                  <c:v>2021 AC</c:v>
                </c:pt>
                <c:pt idx="1">
                  <c:v>2022 AC</c:v>
                </c:pt>
                <c:pt idx="2">
                  <c:v>2023 AC</c:v>
                </c:pt>
                <c:pt idx="3">
                  <c:v>2024 AC</c:v>
                </c:pt>
                <c:pt idx="4">
                  <c:v>2025 AC</c:v>
                </c:pt>
              </c:strCache>
            </c:strRef>
          </c:cat>
          <c:val>
            <c:numRef>
              <c:f>'C01A'!$B$40:$F$40</c:f>
              <c:numCache>
                <c:formatCode>General</c:formatCode>
                <c:ptCount val="5"/>
                <c:pt idx="0">
                  <c:v>2.6642941303772812E-2</c:v>
                </c:pt>
                <c:pt idx="1">
                  <c:v>2.8879217063024504E-2</c:v>
                </c:pt>
                <c:pt idx="2">
                  <c:v>3.4037078894846945E-2</c:v>
                </c:pt>
                <c:pt idx="3">
                  <c:v>3.6922596003558801E-2</c:v>
                </c:pt>
                <c:pt idx="4">
                  <c:v>3.7295308630100756E-2</c:v>
                </c:pt>
              </c:numCache>
            </c:numRef>
          </c:val>
          <c:extLst>
            <c:ext xmlns:c16="http://schemas.microsoft.com/office/drawing/2014/chart" uri="{C3380CC4-5D6E-409C-BE32-E72D297353CC}">
              <c16:uniqueId val="{00000010-CFAA-4E46-B88F-E8209470E4DA}"/>
            </c:ext>
          </c:extLst>
        </c:ser>
        <c:ser>
          <c:idx val="3"/>
          <c:order val="3"/>
          <c:tx>
            <c:v>Commercial</c:v>
          </c:tx>
          <c:spPr>
            <a:solidFill>
              <a:srgbClr val="BFBFBF"/>
            </a:solidFill>
            <a:ln>
              <a:noFill/>
            </a:ln>
            <a:effectLst/>
            <a:extLst>
              <a:ext uri="{91240B29-F687-4F45-9708-019B960494DF}">
                <a14:hiddenLine xmlns:a14="http://schemas.microsoft.com/office/drawing/2010/main">
                  <a:noFill/>
                </a14:hiddenLine>
              </a:ext>
            </a:extLst>
          </c:spPr>
          <c:invertIfNegative val="0"/>
          <c:dLbls>
            <c:dLbl>
              <c:idx val="0"/>
              <c:tx>
                <c:strRef>
                  <c:f>'C01A'!$B$69</c:f>
                  <c:strCache>
                    <c:ptCount val="1"/>
                    <c:pt idx="0">
                      <c:v>8 016</c:v>
                    </c:pt>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{A9C1A7EC-4194-45AF-A18A-6C9C23F77481}</c15:txfldGUID>
                      <c15:f>'C01A'!$B$69</c15:f>
                      <c15:dlblFieldTableCache>
                        <c:ptCount val="1"/>
                        <c:pt idx="0">
                          <c:v>8 016</c:v>
                        </c:pt>
                      </c15:dlblFieldTableCache>
                    </c15:dlblFTEntry>
                  </c15:dlblFieldTable>
                  <c15:showDataLabelsRange val="0"/>
                </c:ext>
                <c:ext xmlns:c16="http://schemas.microsoft.com/office/drawing/2014/chart" uri="{C3380CC4-5D6E-409C-BE32-E72D297353CC}">
                  <c16:uniqueId val="{00000017-CFAA-4E46-B88F-E8209470E4DA}"/>
                </c:ext>
              </c:extLst>
            </c:dLbl>
            <c:dLbl>
              <c:idx val="1"/>
              <c:tx>
                <c:strRef>
                  <c:f>'C01A'!$C$69</c:f>
                  <c:strCache>
                    <c:ptCount val="1"/>
                    <c:pt idx="0">
                      <c:v>9 399</c:v>
                    </c:pt>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{C0F212EB-2EE8-44FB-A0C2-E9F8BBF11DF9}</c15:txfldGUID>
                      <c15:f>'C01A'!$C$69</c15:f>
                      <c15:dlblFieldTableCache>
                        <c:ptCount val="1"/>
                        <c:pt idx="0">
                          <c:v>9 399</c:v>
                        </c:pt>
                      </c15:dlblFieldTableCache>
                    </c15:dlblFTEntry>
                  </c15:dlblFieldTable>
                  <c15:showDataLabelsRange val="0"/>
                </c:ext>
                <c:ext xmlns:c16="http://schemas.microsoft.com/office/drawing/2014/chart" uri="{C3380CC4-5D6E-409C-BE32-E72D297353CC}">
                  <c16:uniqueId val="{00000018-CFAA-4E46-B88F-E8209470E4DA}"/>
                </c:ext>
              </c:extLst>
            </c:dLbl>
            <c:dLbl>
              <c:idx val="2"/>
              <c:tx>
                <c:strRef>
                  <c:f>'C01A'!$D$69</c:f>
                  <c:strCache>
                    <c:ptCount val="1"/>
                    <c:pt idx="0">
                      <c:v>10 138</c:v>
                    </c:pt>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{304301CA-7F75-4CA6-8A18-1042574E9F45}</c15:txfldGUID>
                      <c15:f>'C01A'!$D$69</c15:f>
                      <c15:dlblFieldTableCache>
                        <c:ptCount val="1"/>
                        <c:pt idx="0">
                          <c:v>10 138</c:v>
                        </c:pt>
                      </c15:dlblFieldTableCache>
                    </c15:dlblFTEntry>
                  </c15:dlblFieldTable>
                  <c15:showDataLabelsRange val="0"/>
                </c:ext>
                <c:ext xmlns:c16="http://schemas.microsoft.com/office/drawing/2014/chart" uri="{C3380CC4-5D6E-409C-BE32-E72D297353CC}">
                  <c16:uniqueId val="{00000019-CFAA-4E46-B88F-E8209470E4DA}"/>
                </c:ext>
              </c:extLst>
            </c:dLbl>
            <c:dLbl>
              <c:idx val="3"/>
              <c:tx>
                <c:strRef>
                  <c:f>'C01A'!$E$69</c:f>
                  <c:strCache>
                    <c:ptCount val="1"/>
                    <c:pt idx="0">
                      <c:v>10 953</c:v>
                    </c:pt>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{48A2C608-CC42-4D24-AC46-04A07AC4B093}</c15:txfldGUID>
                      <c15:f>'C01A'!$E$69</c15:f>
                      <c15:dlblFieldTableCache>
                        <c:ptCount val="1"/>
                        <c:pt idx="0">
                          <c:v>10 953</c:v>
                        </c:pt>
                      </c15:dlblFieldTableCache>
                    </c15:dlblFTEntry>
                  </c15:dlblFieldTable>
                  <c15:showDataLabelsRange val="0"/>
                </c:ext>
                <c:ext xmlns:c16="http://schemas.microsoft.com/office/drawing/2014/chart" uri="{C3380CC4-5D6E-409C-BE32-E72D297353CC}">
                  <c16:uniqueId val="{0000001A-CFAA-4E46-B88F-E8209470E4DA}"/>
                </c:ext>
              </c:extLst>
            </c:dLbl>
            <c:dLbl>
              <c:idx val="4"/>
              <c:tx>
                <c:strRef>
                  <c:f>'C01A'!$F$69</c:f>
                  <c:strCache>
                    <c:ptCount val="1"/>
                    <c:pt idx="0">
                      <c:v>10 613</c:v>
                    </c:pt>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{FEEA4B4D-D8FC-481E-B3A0-8969DCE65BEA}</c15:txfldGUID>
                      <c15:f>'C01A'!$F$69</c15:f>
                      <c15:dlblFieldTableCache>
                        <c:ptCount val="1"/>
                        <c:pt idx="0">
                          <c:v>10 613</c:v>
                        </c:pt>
                      </c15:dlblFieldTableCache>
                    </c15:dlblFTEntry>
                  </c15:dlblFieldTable>
                  <c15:showDataLabelsRange val="0"/>
                </c:ext>
                <c:ext xmlns:c16="http://schemas.microsoft.com/office/drawing/2014/chart" uri="{C3380CC4-5D6E-409C-BE32-E72D297353CC}">
                  <c16:uniqueId val="{0000001B-CFAA-4E46-B88F-E8209470E4DA}"/>
                </c:ext>
              </c:extLst>
            </c:dLbl>
            <c:numFmt formatCode="#\ ##0" sourceLinked="0"/>
            <c:spPr>
              <a:noFill/>
              <a:ln>
                <a:noFill/>
              </a:ln>
              <a:effectLst/>
            </c:spPr>
            <c:txPr>
              <a:bodyPr wrap="squar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'C01A'!$B$9:$F$9</c:f>
              <c:strCache>
                <c:ptCount val="5"/>
                <c:pt idx="0">
                  <c:v>2021 AC</c:v>
                </c:pt>
                <c:pt idx="1">
                  <c:v>2022 AC</c:v>
                </c:pt>
                <c:pt idx="2">
                  <c:v>2023 AC</c:v>
                </c:pt>
                <c:pt idx="3">
                  <c:v>2024 AC</c:v>
                </c:pt>
                <c:pt idx="4">
                  <c:v>2025 AC</c:v>
                </c:pt>
              </c:strCache>
            </c:strRef>
          </c:cat>
          <c:val>
            <c:numRef>
              <c:f>'C01A'!$B$41:$F$41</c:f>
              <c:numCache>
                <c:formatCode>General</c:formatCode>
                <c:ptCount val="5"/>
                <c:pt idx="0">
                  <c:v>9.6376271430976032E-2</c:v>
                </c:pt>
                <c:pt idx="1">
                  <c:v>0.11300406376992811</c:v>
                </c:pt>
                <c:pt idx="2">
                  <c:v>0.12188905186717003</c:v>
                </c:pt>
                <c:pt idx="3">
                  <c:v>0.13168778704883738</c:v>
                </c:pt>
                <c:pt idx="4">
                  <c:v>0.12759997114482891</c:v>
                </c:pt>
              </c:numCache>
            </c:numRef>
          </c:val>
          <c:extLst>
            <c:ext xmlns:c16="http://schemas.microsoft.com/office/drawing/2014/chart" uri="{C3380CC4-5D6E-409C-BE32-E72D297353CC}">
              <c16:uniqueId val="{00000016-CFAA-4E46-B88F-E8209470E4DA}"/>
            </c:ext>
          </c:extLst>
        </c:ser>
        <c:ser>
          <c:idx val="4"/>
          <c:order val="4"/>
          <c:tx>
            <c:v>Other</c:v>
          </c:tx>
          <c:spPr>
            <a:solidFill>
              <a:srgbClr val="D9D9D9"/>
            </a:solidFill>
            <a:ln>
              <a:noFill/>
            </a:ln>
            <a:effectLst/>
            <a:extLst>
              <a:ext uri="{91240B29-F687-4F45-9708-019B960494DF}">
                <a14:hiddenLine xmlns:a14="http://schemas.microsoft.com/office/drawing/2010/main">
                  <a:noFill/>
                </a14:hiddenLine>
              </a:ext>
            </a:extLst>
          </c:spPr>
          <c:invertIfNegative val="0"/>
          <c:dLbls>
            <c:dLbl>
              <c:idx val="0"/>
              <c:tx>
                <c:strRef>
                  <c:f>'C01A'!$B$70</c:f>
                  <c:strCache>
                    <c:ptCount val="1"/>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{FDA7F726-C925-45E4-A369-87B58B2B3CC6}</c15:txfldGUID>
                      <c15:f>'C01A'!$B$70</c15:f>
                      <c15:dlblFieldTableCache>
                        <c:ptCount val="1"/>
                      </c15:dlblFieldTableCache>
                    </c15:dlblFTEntry>
                  </c15:dlblFieldTable>
                  <c15:showDataLabelsRange val="0"/>
                </c:ext>
                <c:ext xmlns:c16="http://schemas.microsoft.com/office/drawing/2014/chart" uri="{C3380CC4-5D6E-409C-BE32-E72D297353CC}">
                  <c16:uniqueId val="{0000001D-CFAA-4E46-B88F-E8209470E4DA}"/>
                </c:ext>
              </c:extLst>
            </c:dLbl>
            <c:dLbl>
              <c:idx val="1"/>
              <c:tx>
                <c:strRef>
                  <c:f>'C01A'!$C$70</c:f>
                  <c:strCache>
                    <c:ptCount val="1"/>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{797874CB-9013-4BA8-9AA2-55694D8418F9}</c15:txfldGUID>
                      <c15:f>'C01A'!$C$70</c15:f>
                      <c15:dlblFieldTableCache>
                        <c:ptCount val="1"/>
                      </c15:dlblFieldTableCache>
                    </c15:dlblFTEntry>
                  </c15:dlblFieldTable>
                  <c15:showDataLabelsRange val="0"/>
                </c:ext>
                <c:ext xmlns:c16="http://schemas.microsoft.com/office/drawing/2014/chart" uri="{C3380CC4-5D6E-409C-BE32-E72D297353CC}">
                  <c16:uniqueId val="{0000001E-CFAA-4E46-B88F-E8209470E4DA}"/>
                </c:ext>
              </c:extLst>
            </c:dLbl>
            <c:dLbl>
              <c:idx val="2"/>
              <c:tx>
                <c:strRef>
                  <c:f>'C01A'!$D$70</c:f>
                  <c:strCache>
                    <c:ptCount val="1"/>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{A0BFCC68-2308-4B03-884A-2A808B607CB7}</c15:txfldGUID>
                      <c15:f>'C01A'!$D$70</c15:f>
                      <c15:dlblFieldTableCache>
                        <c:ptCount val="1"/>
                      </c15:dlblFieldTableCache>
                    </c15:dlblFTEntry>
                  </c15:dlblFieldTable>
                  <c15:showDataLabelsRange val="0"/>
                </c:ext>
                <c:ext xmlns:c16="http://schemas.microsoft.com/office/drawing/2014/chart" uri="{C3380CC4-5D6E-409C-BE32-E72D297353CC}">
                  <c16:uniqueId val="{0000001F-CFAA-4E46-B88F-E8209470E4DA}"/>
                </c:ext>
              </c:extLst>
            </c:dLbl>
            <c:dLbl>
              <c:idx val="3"/>
              <c:tx>
                <c:strRef>
                  <c:f>'C01A'!$E$70</c:f>
                  <c:strCache>
                    <c:ptCount val="1"/>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{CBB6652B-FBE1-4BCA-A882-7C8F32B30935}</c15:txfldGUID>
                      <c15:f>'C01A'!$E$70</c15:f>
                      <c15:dlblFieldTableCache>
                        <c:ptCount val="1"/>
                      </c15:dlblFieldTableCache>
                    </c15:dlblFTEntry>
                  </c15:dlblFieldTable>
                  <c15:showDataLabelsRange val="0"/>
                </c:ext>
                <c:ext xmlns:c16="http://schemas.microsoft.com/office/drawing/2014/chart" uri="{C3380CC4-5D6E-409C-BE32-E72D297353CC}">
                  <c16:uniqueId val="{00000020-CFAA-4E46-B88F-E8209470E4DA}"/>
                </c:ext>
              </c:extLst>
            </c:dLbl>
            <c:dLbl>
              <c:idx val="4"/>
              <c:tx>
                <c:strRef>
                  <c:f>'C01A'!$F$70</c:f>
                  <c:strCache>
                    <c:ptCount val="1"/>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{E0A07DED-569F-4564-B402-43F4F25640E5}</c15:txfldGUID>
                      <c15:f>'C01A'!$F$70</c15:f>
                      <c15:dlblFieldTableCache>
                        <c:ptCount val="1"/>
                      </c15:dlblFieldTableCache>
                    </c15:dlblFTEntry>
                  </c15:dlblFieldTable>
                  <c15:showDataLabelsRange val="0"/>
                </c:ext>
                <c:ext xmlns:c16="http://schemas.microsoft.com/office/drawing/2014/chart" uri="{C3380CC4-5D6E-409C-BE32-E72D297353CC}">
                  <c16:uniqueId val="{00000021-CFAA-4E46-B88F-E8209470E4DA}"/>
                </c:ext>
              </c:extLst>
            </c:dLbl>
            <c:numFmt formatCode="#\ ##0" sourceLinked="0"/>
            <c:spPr>
              <a:noFill/>
              <a:ln>
                <a:noFill/>
              </a:ln>
              <a:effectLst/>
            </c:spPr>
            <c:txPr>
              <a:bodyPr wrap="squar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'C01A'!$B$9:$F$9</c:f>
              <c:strCache>
                <c:ptCount val="5"/>
                <c:pt idx="0">
                  <c:v>2021 AC</c:v>
                </c:pt>
                <c:pt idx="1">
                  <c:v>2022 AC</c:v>
                </c:pt>
                <c:pt idx="2">
                  <c:v>2023 AC</c:v>
                </c:pt>
                <c:pt idx="3">
                  <c:v>2024 AC</c:v>
                </c:pt>
                <c:pt idx="4">
                  <c:v>2025 AC</c:v>
                </c:pt>
              </c:strCache>
            </c:strRef>
          </c:cat>
          <c:val>
            <c:numRef>
              <c:f>'C01A'!$B$42:$F$42</c:f>
              <c:numCache>
                <c:formatCode>General</c:formatCode>
                <c:ptCount val="5"/>
                <c:pt idx="0">
                  <c:v>4.8091951811864287E-5</c:v>
                </c:pt>
                <c:pt idx="1">
                  <c:v>2.4045975905932144E-5</c:v>
                </c:pt>
                <c:pt idx="2">
                  <c:v>0</c:v>
                </c:pt>
                <c:pt idx="3">
                  <c:v>1.2022987952966072E-5</c:v>
                </c:pt>
                <c:pt idx="4">
                  <c:v>3.6068963858898214E-5</c:v>
                </c:pt>
              </c:numCache>
            </c:numRef>
          </c:val>
          <c:extLst>
            <c:ext xmlns:c16="http://schemas.microsoft.com/office/drawing/2014/chart" uri="{C3380CC4-5D6E-409C-BE32-E72D297353CC}">
              <c16:uniqueId val="{0000001C-CFAA-4E46-B88F-E8209470E4DA}"/>
            </c:ext>
          </c:extLst>
        </c:ser>
        <c:dLbls>
          <c:showLegendKey val="0"/>
          <c:showVal val="0"/>
          <c:showCatName val="0"/>
          <c:showSerName val="0"/>
          <c:showPercent val="0"/>
          <c:showBubbleSize val="0"/>
        </c:dLbls>
        <c:gapWidth val="44"/>
        <c:overlap val="100"/>
        <c:axId val="1093663152"/>
        <c:axId val="1533411472"/>
      </c:barChart>
      <c:lineChart>
        <c:grouping val="standard"/>
        <c:varyColors val="0"/>
        <c:ser>
          <c:idx val="5"/>
          <c:order val="5"/>
          <c:tx>
            <c:v>Total</c:v>
          </c:tx>
          <c:spPr>
            <a:ln w="38100" cap="rnd" cmpd="sng" algn="ctr">
              <a:noFill/>
              <a:prstDash val="solid"/>
              <a:round/>
            </a:ln>
            <a:effectLst/>
            <a:extLst>
              <a:ext uri="{91240B29-F687-4F45-9708-019B960494DF}">
                <a14:hiddenLine xmlns:a14="http://schemas.microsoft.com/office/drawing/2010/main" w="38100" cap="rnd" cmpd="sng" algn="ctr">
                  <a:solidFill>
                    <a:srgbClr val="4EA72E">
                      <a:shade val="76000"/>
                    </a:srgbClr>
                  </a:solidFill>
                  <a:prstDash val="solid"/>
                  <a:round/>
                </a14:hiddenLine>
              </a:ext>
            </a:extLst>
          </c:spPr>
          <c:marker>
            <c:symbol val="none"/>
          </c:marker>
          <c:dLbls>
            <c:dLbl>
              <c:idx val="0"/>
              <c:tx>
                <c:strRef>
                  <c:f>'C01A'!$B$71</c:f>
                  <c:strCache>
                    <c:ptCount val="1"/>
                    <c:pt idx="0">
                      <c:v>46 405</c:v>
                    </c:pt>
                  </c:strCache>
                </c:strRef>
              </c:tx>
              <c:numFmt formatCode="#\ ##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{72E97129-5966-477B-8711-AE6B0AA9948D}</c15:txfldGUID>
                      <c15:f>'C01A'!$B$71</c15:f>
                      <c15:dlblFieldTableCache>
                        <c:ptCount val="1"/>
                        <c:pt idx="0">
                          <c:v>46 405</c:v>
                        </c:pt>
                      </c15:dlblFieldTableCache>
                    </c15:dlblFTEntry>
                  </c15:dlblFieldTable>
                  <c15:showDataLabelsRange val="0"/>
                </c:ext>
                <c:ext xmlns:c16="http://schemas.microsoft.com/office/drawing/2014/chart" uri="{C3380CC4-5D6E-409C-BE32-E72D297353CC}">
                  <c16:uniqueId val="{00000023-CFAA-4E46-B88F-E8209470E4DA}"/>
                </c:ext>
              </c:extLst>
            </c:dLbl>
            <c:dLbl>
              <c:idx val="1"/>
              <c:tx>
                <c:strRef>
                  <c:f>'C01A'!$C$71</c:f>
                  <c:strCache>
                    <c:ptCount val="1"/>
                    <c:pt idx="0">
                      <c:v>51 081</c:v>
                    </c:pt>
                  </c:strCache>
                </c:strRef>
              </c:tx>
              <c:numFmt formatCode="#\ ##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{1CB9CCA3-21C1-42BB-8144-EDBFDA5DD940}</c15:txfldGUID>
                      <c15:f>'C01A'!$C$71</c15:f>
                      <c15:dlblFieldTableCache>
                        <c:ptCount val="1"/>
                        <c:pt idx="0">
                          <c:v>51 081</c:v>
                        </c:pt>
                      </c15:dlblFieldTableCache>
                    </c15:dlblFTEntry>
                  </c15:dlblFieldTable>
                  <c15:showDataLabelsRange val="0"/>
                </c:ext>
                <c:ext xmlns:c16="http://schemas.microsoft.com/office/drawing/2014/chart" uri="{C3380CC4-5D6E-409C-BE32-E72D297353CC}">
                  <c16:uniqueId val="{00000024-CFAA-4E46-B88F-E8209470E4DA}"/>
                </c:ext>
              </c:extLst>
            </c:dLbl>
            <c:dLbl>
              <c:idx val="2"/>
              <c:tx>
                <c:strRef>
                  <c:f>'C01A'!$D$71</c:f>
                  <c:strCache>
                    <c:ptCount val="1"/>
                    <c:pt idx="0">
                      <c:v>61 550</c:v>
                    </c:pt>
                  </c:strCache>
                </c:strRef>
              </c:tx>
              <c:numFmt formatCode="#\ ##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{7CD9A421-D081-4001-9E6A-4929A3FC87AE}</c15:txfldGUID>
                      <c15:f>'C01A'!$D$71</c15:f>
                      <c15:dlblFieldTableCache>
                        <c:ptCount val="1"/>
                        <c:pt idx="0">
                          <c:v>61 550</c:v>
                        </c:pt>
                      </c15:dlblFieldTableCache>
                    </c15:dlblFTEntry>
                  </c15:dlblFieldTable>
                  <c15:showDataLabelsRange val="0"/>
                </c:ext>
                <c:ext xmlns:c16="http://schemas.microsoft.com/office/drawing/2014/chart" uri="{C3380CC4-5D6E-409C-BE32-E72D297353CC}">
                  <c16:uniqueId val="{00000025-CFAA-4E46-B88F-E8209470E4DA}"/>
                </c:ext>
              </c:extLst>
            </c:dLbl>
            <c:dLbl>
              <c:idx val="3"/>
              <c:tx>
                <c:strRef>
                  <c:f>'C01A'!$E$71</c:f>
                  <c:strCache>
                    <c:ptCount val="1"/>
                    <c:pt idx="0">
                      <c:v>74 424</c:v>
                    </c:pt>
                  </c:strCache>
                </c:strRef>
              </c:tx>
              <c:numFmt formatCode="#\ ##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{32A5B624-42B0-43D5-950B-FC7F3FF7CC77}</c15:txfldGUID>
                      <c15:f>'C01A'!$E$71</c15:f>
                      <c15:dlblFieldTableCache>
                        <c:ptCount val="1"/>
                        <c:pt idx="0">
                          <c:v>74 424</c:v>
                        </c:pt>
                      </c15:dlblFieldTableCache>
                    </c15:dlblFTEntry>
                  </c15:dlblFieldTable>
                  <c15:showDataLabelsRange val="0"/>
                </c:ext>
                <c:ext xmlns:c16="http://schemas.microsoft.com/office/drawing/2014/chart" uri="{C3380CC4-5D6E-409C-BE32-E72D297353CC}">
                  <c16:uniqueId val="{00000026-CFAA-4E46-B88F-E8209470E4DA}"/>
                </c:ext>
              </c:extLst>
            </c:dLbl>
            <c:dLbl>
              <c:idx val="4"/>
              <c:tx>
                <c:strRef>
                  <c:f>'C01A'!$F$71</c:f>
                  <c:strCache>
                    <c:ptCount val="1"/>
                    <c:pt idx="0">
                      <c:v>83 174</c:v>
                    </c:pt>
                  </c:strCache>
                </c:strRef>
              </c:tx>
              <c:numFmt formatCode="#\ ##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{4BB9B850-24E9-483E-96B4-5B5E4DFF1EA1}</c15:txfldGUID>
                      <c15:f>'C01A'!$F$71</c15:f>
                      <c15:dlblFieldTableCache>
                        <c:ptCount val="1"/>
                        <c:pt idx="0">
                          <c:v>83 174</c:v>
                        </c:pt>
                      </c15:dlblFieldTableCache>
                    </c15:dlblFTEntry>
                  </c15:dlblFieldTable>
                  <c15:showDataLabelsRange val="0"/>
                </c:ext>
                <c:ext xmlns:c16="http://schemas.microsoft.com/office/drawing/2014/chart" uri="{C3380CC4-5D6E-409C-BE32-E72D297353CC}">
                  <c16:uniqueId val="{00000027-CFAA-4E46-B88F-E8209470E4DA}"/>
                </c:ext>
              </c:extLst>
            </c:dLbl>
            <c:numFmt formatCode="#\ ##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'C01A'!$B$9:$F$9</c:f>
              <c:strCache>
                <c:ptCount val="5"/>
                <c:pt idx="0">
                  <c:v>2021 AC</c:v>
                </c:pt>
                <c:pt idx="1">
                  <c:v>2022 AC</c:v>
                </c:pt>
                <c:pt idx="2">
                  <c:v>2023 AC</c:v>
                </c:pt>
                <c:pt idx="3">
                  <c:v>2024 AC</c:v>
                </c:pt>
                <c:pt idx="4">
                  <c:v>2025 AC</c:v>
                </c:pt>
              </c:strCache>
            </c:strRef>
          </c:cat>
          <c:val>
            <c:numRef>
              <c:f>'C01A'!$B$43:$F$43</c:f>
              <c:numCache>
                <c:formatCode>General</c:formatCode>
                <c:ptCount val="5"/>
                <c:pt idx="0">
                  <c:v>0.5579267559573905</c:v>
                </c:pt>
                <c:pt idx="1">
                  <c:v>0.61414624762545988</c:v>
                </c:pt>
                <c:pt idx="2">
                  <c:v>0.74001490850506169</c:v>
                </c:pt>
                <c:pt idx="3">
                  <c:v>0.89479885541154691</c:v>
                </c:pt>
                <c:pt idx="4">
                  <c:v>1</c:v>
                </c:pt>
              </c:numCache>
            </c:numRef>
          </c:val>
          <c:smooth val="0"/>
          <c:extLst>
            <c:ext xmlns:c16="http://schemas.microsoft.com/office/drawing/2014/chart" uri="{C3380CC4-5D6E-409C-BE32-E72D297353CC}">
              <c16:uniqueId val="{00000022-CFAA-4E46-B88F-E8209470E4DA}"/>
            </c:ext>
          </c:extLst>
        </c:ser>
        <c:dLbls>
          <c:showLegendKey val="0"/>
          <c:showVal val="0"/>
          <c:showCatName val="0"/>
          <c:showSerName val="0"/>
          <c:showPercent val="0"/>
          <c:showBubbleSize val="0"/>
        </c:dLbls>
        <c:marker val="1"/>
        <c:smooth val="0"/>
        <c:axId val="1093663152"/>
        <c:axId val="1533411472"/>
      </c:lineChart>
      <c:catAx>
        <c:axId val="1093663152"/>
        <c:scaling>
          <c:orientation val="minMax"/>
        </c:scaling>
        <c:delete val="0"/>
        <c:axPos val="b"/>
        <c:numFmt formatCode="General" sourceLinked="1"/>
        <c:majorTickMark val="none"/>
        <c:minorTickMark val="none"/>
        <c:tickLblPos val="low"/>
        <c:txPr>
          <a:bodyPr/>
          <a:lstStyle/>
          <a:p>
            <a:pPr>
              <a:defRPr sz="900">
                <a:latin typeface="Arial"/>
                <a:ea typeface="Arial"/>
                <a:cs typeface="Arial"/>
              </a:defRPr>
            </a:pPr>
            <a:endParaRPr lang="en-US"/>
          </a:p>
        </c:txPr>
        <c:crossAx val="1533411472"/>
        <c:crosses val="autoZero"/>
        <c:auto val="1"/>
        <c:lblAlgn val="ctr"/>
        <c:lblOffset val="100"/>
        <c:noMultiLvlLbl val="0"/>
      </c:catAx>
      <c:valAx>
        <c:axId val="1533411472"/>
        <c:scaling>
          <c:orientation val="minMax"/>
          <c:max val="1.0000721379277178"/>
          <c:min val="0"/>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093663152"/>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a:latin typeface="Arial"/>
                <a:ea typeface="Arial"/>
                <a:cs typeface="Arial"/>
              </a:defRPr>
            </a:pPr>
            <a:r>
              <a:rPr lang="en-US"/>
              <a:t>By state</a:t>
            </a:r>
          </a:p>
        </c:rich>
      </c:tx>
      <c:overlay val="0"/>
    </c:title>
    <c:autoTitleDeleted val="0"/>
    <c:plotArea>
      <c:layout/>
      <c:barChart>
        <c:barDir val="col"/>
        <c:grouping val="stacked"/>
        <c:varyColors val="0"/>
        <c:ser>
          <c:idx val="0"/>
          <c:order val="0"/>
          <c:tx>
            <c:v>Texas</c:v>
          </c:tx>
          <c:spPr>
            <a:solidFill>
              <a:srgbClr val="404040"/>
            </a:solidFill>
            <a:ln>
              <a:noFill/>
            </a:ln>
            <a:effectLst/>
            <a:extLst>
              <a:ext uri="{91240B29-F687-4F45-9708-019B960494DF}">
                <a14:hiddenLine xmlns:a14="http://schemas.microsoft.com/office/drawing/2010/main">
                  <a:noFill/>
                </a14:hiddenLine>
              </a:ext>
            </a:extLst>
          </c:spPr>
          <c:invertIfNegative val="0"/>
          <c:dLbls>
            <c:dLbl>
              <c:idx val="0"/>
              <c:tx>
                <c:strRef>
                  <c:f>'C01A'!$B$74</c:f>
                  <c:strCache>
                    <c:ptCount val="1"/>
                    <c:pt idx="0">
                      <c:v>10 315</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{A11BD48F-BACC-4921-B8DE-CF7741ED8215}</c15:txfldGUID>
                      <c15:f>'C01A'!$B$74</c15:f>
                      <c15:dlblFieldTableCache>
                        <c:ptCount val="1"/>
                        <c:pt idx="0">
                          <c:v>10 315</c:v>
                        </c:pt>
                      </c15:dlblFieldTableCache>
                    </c15:dlblFTEntry>
                  </c15:dlblFieldTable>
                  <c15:showDataLabelsRange val="0"/>
                </c:ext>
                <c:ext xmlns:c16="http://schemas.microsoft.com/office/drawing/2014/chart" uri="{C3380CC4-5D6E-409C-BE32-E72D297353CC}">
                  <c16:uniqueId val="{00000005-45AC-45C2-A76E-C33031F245D0}"/>
                </c:ext>
              </c:extLst>
            </c:dLbl>
            <c:numFmt formatCode="#\ ##0" sourceLinked="0"/>
            <c:spPr>
              <a:noFill/>
              <a:ln>
                <a:noFill/>
              </a:ln>
              <a:effectLst/>
            </c:spPr>
            <c:txPr>
              <a:bodyPr wrap="squar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'C01A'!$B$17</c:f>
              <c:strCache>
                <c:ptCount val="1"/>
                <c:pt idx="0">
                  <c:v>2025 AC</c:v>
                </c:pt>
              </c:strCache>
            </c:strRef>
          </c:cat>
          <c:val>
            <c:numRef>
              <c:f>'C01A'!$B$46</c:f>
              <c:numCache>
                <c:formatCode>General</c:formatCode>
                <c:ptCount val="1"/>
                <c:pt idx="0">
                  <c:v>0.12401712073484503</c:v>
                </c:pt>
              </c:numCache>
            </c:numRef>
          </c:val>
          <c:extLst>
            <c:ext xmlns:c16="http://schemas.microsoft.com/office/drawing/2014/chart" uri="{C3380CC4-5D6E-409C-BE32-E72D297353CC}">
              <c16:uniqueId val="{00000004-45AC-45C2-A76E-C33031F245D0}"/>
            </c:ext>
          </c:extLst>
        </c:ser>
        <c:ser>
          <c:idx val="1"/>
          <c:order val="1"/>
          <c:tx>
            <c:v>Florida</c:v>
          </c:tx>
          <c:spPr>
            <a:solidFill>
              <a:srgbClr val="595959"/>
            </a:solidFill>
            <a:ln>
              <a:noFill/>
            </a:ln>
            <a:effectLst/>
            <a:extLst>
              <a:ext uri="{91240B29-F687-4F45-9708-019B960494DF}">
                <a14:hiddenLine xmlns:a14="http://schemas.microsoft.com/office/drawing/2010/main">
                  <a:noFill/>
                </a14:hiddenLine>
              </a:ext>
            </a:extLst>
          </c:spPr>
          <c:invertIfNegative val="0"/>
          <c:dLbls>
            <c:dLbl>
              <c:idx val="0"/>
              <c:tx>
                <c:strRef>
                  <c:f>'C01A'!$B$75</c:f>
                  <c:strCache>
                    <c:ptCount val="1"/>
                    <c:pt idx="0">
                      <c:v>10 261</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{89A5BF4C-DF85-4896-98A4-4EADCD7890E5}</c15:txfldGUID>
                      <c15:f>'C01A'!$B$75</c15:f>
                      <c15:dlblFieldTableCache>
                        <c:ptCount val="1"/>
                        <c:pt idx="0">
                          <c:v>10 261</c:v>
                        </c:pt>
                      </c15:dlblFieldTableCache>
                    </c15:dlblFTEntry>
                  </c15:dlblFieldTable>
                  <c15:showDataLabelsRange val="0"/>
                </c:ext>
                <c:ext xmlns:c16="http://schemas.microsoft.com/office/drawing/2014/chart" uri="{C3380CC4-5D6E-409C-BE32-E72D297353CC}">
                  <c16:uniqueId val="{00000007-45AC-45C2-A76E-C33031F245D0}"/>
                </c:ext>
              </c:extLst>
            </c:dLbl>
            <c:numFmt formatCode="#\ ##0" sourceLinked="0"/>
            <c:spPr>
              <a:noFill/>
              <a:ln>
                <a:noFill/>
              </a:ln>
              <a:effectLst/>
            </c:spPr>
            <c:txPr>
              <a:bodyPr wrap="squar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'C01A'!$B$17</c:f>
              <c:strCache>
                <c:ptCount val="1"/>
                <c:pt idx="0">
                  <c:v>2025 AC</c:v>
                </c:pt>
              </c:strCache>
            </c:strRef>
          </c:cat>
          <c:val>
            <c:numRef>
              <c:f>'C01A'!$B$47</c:f>
              <c:numCache>
                <c:formatCode>General</c:formatCode>
                <c:ptCount val="1"/>
                <c:pt idx="0">
                  <c:v>0.12336787938538486</c:v>
                </c:pt>
              </c:numCache>
            </c:numRef>
          </c:val>
          <c:extLst>
            <c:ext xmlns:c16="http://schemas.microsoft.com/office/drawing/2014/chart" uri="{C3380CC4-5D6E-409C-BE32-E72D297353CC}">
              <c16:uniqueId val="{00000006-45AC-45C2-A76E-C33031F245D0}"/>
            </c:ext>
          </c:extLst>
        </c:ser>
        <c:ser>
          <c:idx val="2"/>
          <c:order val="2"/>
          <c:tx>
            <c:v>California</c:v>
          </c:tx>
          <c:spPr>
            <a:solidFill>
              <a:srgbClr val="7F7F7F"/>
            </a:solidFill>
            <a:ln>
              <a:noFill/>
            </a:ln>
            <a:effectLst/>
            <a:extLst>
              <a:ext uri="{91240B29-F687-4F45-9708-019B960494DF}">
                <a14:hiddenLine xmlns:a14="http://schemas.microsoft.com/office/drawing/2010/main">
                  <a:noFill/>
                </a14:hiddenLine>
              </a:ext>
            </a:extLst>
          </c:spPr>
          <c:invertIfNegative val="0"/>
          <c:dLbls>
            <c:dLbl>
              <c:idx val="0"/>
              <c:tx>
                <c:strRef>
                  <c:f>'C01A'!$B$76</c:f>
                  <c:strCache>
                    <c:ptCount val="1"/>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{19F72E7F-2435-4FE1-BB14-4030F7FCC124}</c15:txfldGUID>
                      <c15:f>'C01A'!$B$76</c15:f>
                      <c15:dlblFieldTableCache>
                        <c:ptCount val="1"/>
                      </c15:dlblFieldTableCache>
                    </c15:dlblFTEntry>
                  </c15:dlblFieldTable>
                  <c15:showDataLabelsRange val="0"/>
                </c:ext>
                <c:ext xmlns:c16="http://schemas.microsoft.com/office/drawing/2014/chart" uri="{C3380CC4-5D6E-409C-BE32-E72D297353CC}">
                  <c16:uniqueId val="{00000009-45AC-45C2-A76E-C33031F245D0}"/>
                </c:ext>
              </c:extLst>
            </c:dLbl>
            <c:numFmt formatCode="#\ ##0" sourceLinked="0"/>
            <c:spPr>
              <a:noFill/>
              <a:ln>
                <a:noFill/>
              </a:ln>
              <a:effectLst/>
            </c:spPr>
            <c:txPr>
              <a:bodyPr wrap="squar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'C01A'!$B$17</c:f>
              <c:strCache>
                <c:ptCount val="1"/>
                <c:pt idx="0">
                  <c:v>2025 AC</c:v>
                </c:pt>
              </c:strCache>
            </c:strRef>
          </c:cat>
          <c:val>
            <c:numRef>
              <c:f>'C01A'!$B$48</c:f>
              <c:numCache>
                <c:formatCode>General</c:formatCode>
                <c:ptCount val="1"/>
                <c:pt idx="0">
                  <c:v>5.743381345131892E-2</c:v>
                </c:pt>
              </c:numCache>
            </c:numRef>
          </c:val>
          <c:extLst>
            <c:ext xmlns:c16="http://schemas.microsoft.com/office/drawing/2014/chart" uri="{C3380CC4-5D6E-409C-BE32-E72D297353CC}">
              <c16:uniqueId val="{00000008-45AC-45C2-A76E-C33031F245D0}"/>
            </c:ext>
          </c:extLst>
        </c:ser>
        <c:ser>
          <c:idx val="3"/>
          <c:order val="3"/>
          <c:tx>
            <c:v>Georgia</c:v>
          </c:tx>
          <c:spPr>
            <a:solidFill>
              <a:srgbClr val="A6A6A6"/>
            </a:solidFill>
            <a:ln>
              <a:noFill/>
            </a:ln>
            <a:effectLst/>
            <a:extLst>
              <a:ext uri="{91240B29-F687-4F45-9708-019B960494DF}">
                <a14:hiddenLine xmlns:a14="http://schemas.microsoft.com/office/drawing/2010/main">
                  <a:noFill/>
                </a14:hiddenLine>
              </a:ext>
            </a:extLst>
          </c:spPr>
          <c:invertIfNegative val="0"/>
          <c:dLbls>
            <c:dLbl>
              <c:idx val="0"/>
              <c:tx>
                <c:strRef>
                  <c:f>'C01A'!$B$77</c:f>
                  <c:strCache>
                    <c:ptCount val="1"/>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{4A7F8274-0EE3-4B93-8883-170908ABF6BC}</c15:txfldGUID>
                      <c15:f>'C01A'!$B$77</c15:f>
                      <c15:dlblFieldTableCache>
                        <c:ptCount val="1"/>
                      </c15:dlblFieldTableCache>
                    </c15:dlblFTEntry>
                  </c15:dlblFieldTable>
                  <c15:showDataLabelsRange val="0"/>
                </c:ext>
                <c:ext xmlns:c16="http://schemas.microsoft.com/office/drawing/2014/chart" uri="{C3380CC4-5D6E-409C-BE32-E72D297353CC}">
                  <c16:uniqueId val="{0000000B-45AC-45C2-A76E-C33031F245D0}"/>
                </c:ext>
              </c:extLst>
            </c:dLbl>
            <c:numFmt formatCode="#\ ##0" sourceLinked="0"/>
            <c:spPr>
              <a:noFill/>
              <a:ln>
                <a:noFill/>
              </a:ln>
              <a:effectLst/>
            </c:spPr>
            <c:txPr>
              <a:bodyPr wrap="squar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'C01A'!$B$17</c:f>
              <c:strCache>
                <c:ptCount val="1"/>
                <c:pt idx="0">
                  <c:v>2025 AC</c:v>
                </c:pt>
              </c:strCache>
            </c:strRef>
          </c:cat>
          <c:val>
            <c:numRef>
              <c:f>'C01A'!$B$49</c:f>
              <c:numCache>
                <c:formatCode>General</c:formatCode>
                <c:ptCount val="1"/>
                <c:pt idx="0">
                  <c:v>4.9101882799913434E-2</c:v>
                </c:pt>
              </c:numCache>
            </c:numRef>
          </c:val>
          <c:extLst>
            <c:ext xmlns:c16="http://schemas.microsoft.com/office/drawing/2014/chart" uri="{C3380CC4-5D6E-409C-BE32-E72D297353CC}">
              <c16:uniqueId val="{0000000A-45AC-45C2-A76E-C33031F245D0}"/>
            </c:ext>
          </c:extLst>
        </c:ser>
        <c:ser>
          <c:idx val="4"/>
          <c:order val="4"/>
          <c:tx>
            <c:v>New York</c:v>
          </c:tx>
          <c:spPr>
            <a:solidFill>
              <a:srgbClr val="BFBFBF"/>
            </a:solidFill>
            <a:ln>
              <a:noFill/>
            </a:ln>
            <a:effectLst/>
            <a:extLst>
              <a:ext uri="{91240B29-F687-4F45-9708-019B960494DF}">
                <a14:hiddenLine xmlns:a14="http://schemas.microsoft.com/office/drawing/2010/main">
                  <a:noFill/>
                </a14:hiddenLine>
              </a:ext>
            </a:extLst>
          </c:spPr>
          <c:invertIfNegative val="0"/>
          <c:dLbls>
            <c:dLbl>
              <c:idx val="0"/>
              <c:tx>
                <c:strRef>
                  <c:f>'C01A'!$B$78</c:f>
                  <c:strCache>
                    <c:ptCount val="1"/>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{4991E85B-7E07-4B16-A502-8014939651DB}</c15:txfldGUID>
                      <c15:f>'C01A'!$B$78</c15:f>
                      <c15:dlblFieldTableCache>
                        <c:ptCount val="1"/>
                      </c15:dlblFieldTableCache>
                    </c15:dlblFTEntry>
                  </c15:dlblFieldTable>
                  <c15:showDataLabelsRange val="0"/>
                </c:ext>
                <c:ext xmlns:c16="http://schemas.microsoft.com/office/drawing/2014/chart" uri="{C3380CC4-5D6E-409C-BE32-E72D297353CC}">
                  <c16:uniqueId val="{0000000D-45AC-45C2-A76E-C33031F245D0}"/>
                </c:ext>
              </c:extLst>
            </c:dLbl>
            <c:numFmt formatCode="#\ ##0" sourceLinked="0"/>
            <c:spPr>
              <a:noFill/>
              <a:ln>
                <a:noFill/>
              </a:ln>
              <a:effectLst/>
            </c:spPr>
            <c:txPr>
              <a:bodyPr wrap="squar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'C01A'!$B$17</c:f>
              <c:strCache>
                <c:ptCount val="1"/>
                <c:pt idx="0">
                  <c:v>2025 AC</c:v>
                </c:pt>
              </c:strCache>
            </c:strRef>
          </c:cat>
          <c:val>
            <c:numRef>
              <c:f>'C01A'!$B$50</c:f>
              <c:numCache>
                <c:formatCode>General</c:formatCode>
                <c:ptCount val="1"/>
                <c:pt idx="0">
                  <c:v>4.038521653401303E-2</c:v>
                </c:pt>
              </c:numCache>
            </c:numRef>
          </c:val>
          <c:extLst>
            <c:ext xmlns:c16="http://schemas.microsoft.com/office/drawing/2014/chart" uri="{C3380CC4-5D6E-409C-BE32-E72D297353CC}">
              <c16:uniqueId val="{0000000C-45AC-45C2-A76E-C33031F245D0}"/>
            </c:ext>
          </c:extLst>
        </c:ser>
        <c:ser>
          <c:idx val="5"/>
          <c:order val="5"/>
          <c:tx>
            <c:v>All other</c:v>
          </c:tx>
          <c:spPr>
            <a:solidFill>
              <a:srgbClr val="D9D9D9"/>
            </a:solidFill>
            <a:ln>
              <a:noFill/>
            </a:ln>
            <a:effectLst/>
            <a:extLst>
              <a:ext uri="{91240B29-F687-4F45-9708-019B960494DF}">
                <a14:hiddenLine xmlns:a14="http://schemas.microsoft.com/office/drawing/2010/main">
                  <a:noFill/>
                </a14:hiddenLine>
              </a:ext>
            </a:extLst>
          </c:spPr>
          <c:invertIfNegative val="0"/>
          <c:dLbls>
            <c:dLbl>
              <c:idx val="0"/>
              <c:tx>
                <c:strRef>
                  <c:f>'C01A'!$B$79</c:f>
                  <c:strCache>
                    <c:ptCount val="1"/>
                    <c:pt idx="0">
                      <c:v>50 378</c:v>
                    </c:pt>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{92CBEFBB-31F2-414C-A183-C90475AFC0DC}</c15:txfldGUID>
                      <c15:f>'C01A'!$B$79</c15:f>
                      <c15:dlblFieldTableCache>
                        <c:ptCount val="1"/>
                        <c:pt idx="0">
                          <c:v>50 378</c:v>
                        </c:pt>
                      </c15:dlblFieldTableCache>
                    </c15:dlblFTEntry>
                  </c15:dlblFieldTable>
                  <c15:showDataLabelsRange val="0"/>
                </c:ext>
                <c:ext xmlns:c16="http://schemas.microsoft.com/office/drawing/2014/chart" uri="{C3380CC4-5D6E-409C-BE32-E72D297353CC}">
                  <c16:uniqueId val="{0000000F-45AC-45C2-A76E-C33031F245D0}"/>
                </c:ext>
              </c:extLst>
            </c:dLbl>
            <c:numFmt formatCode="#\ ##0" sourceLinked="0"/>
            <c:spPr>
              <a:noFill/>
              <a:ln>
                <a:noFill/>
              </a:ln>
              <a:effectLst/>
            </c:spPr>
            <c:txPr>
              <a:bodyPr wrap="squar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'C01A'!$B$17</c:f>
              <c:strCache>
                <c:ptCount val="1"/>
                <c:pt idx="0">
                  <c:v>2025 AC</c:v>
                </c:pt>
              </c:strCache>
            </c:strRef>
          </c:cat>
          <c:val>
            <c:numRef>
              <c:f>'C01A'!$B$51</c:f>
              <c:numCache>
                <c:formatCode>General</c:formatCode>
                <c:ptCount val="1"/>
                <c:pt idx="0">
                  <c:v>0.60569408709452477</c:v>
                </c:pt>
              </c:numCache>
            </c:numRef>
          </c:val>
          <c:extLst>
            <c:ext xmlns:c16="http://schemas.microsoft.com/office/drawing/2014/chart" uri="{C3380CC4-5D6E-409C-BE32-E72D297353CC}">
              <c16:uniqueId val="{0000000E-45AC-45C2-A76E-C33031F245D0}"/>
            </c:ext>
          </c:extLst>
        </c:ser>
        <c:dLbls>
          <c:showLegendKey val="0"/>
          <c:showVal val="0"/>
          <c:showCatName val="0"/>
          <c:showSerName val="0"/>
          <c:showPercent val="0"/>
          <c:showBubbleSize val="0"/>
        </c:dLbls>
        <c:gapWidth val="44"/>
        <c:overlap val="100"/>
        <c:axId val="1105394960"/>
        <c:axId val="1095925072"/>
      </c:barChart>
      <c:lineChart>
        <c:grouping val="standard"/>
        <c:varyColors val="0"/>
        <c:ser>
          <c:idx val="6"/>
          <c:order val="6"/>
          <c:tx>
            <c:v>Total</c:v>
          </c:tx>
          <c:spPr>
            <a:ln w="38100" cap="rnd" cmpd="sng" algn="ctr">
              <a:noFill/>
              <a:prstDash val="solid"/>
              <a:round/>
            </a:ln>
            <a:effectLst/>
            <a:extLst>
              <a:ext uri="{91240B29-F687-4F45-9708-019B960494DF}">
                <a14:hiddenLine xmlns:a14="http://schemas.microsoft.com/office/drawing/2010/main" w="38100" cap="rnd" cmpd="sng" algn="ctr">
                  <a:solidFill>
                    <a:srgbClr val="156082">
                      <a:tint val="77000"/>
                    </a:srgbClr>
                  </a:solidFill>
                  <a:prstDash val="solid"/>
                  <a:round/>
                </a14:hiddenLine>
              </a:ext>
            </a:extLst>
          </c:spPr>
          <c:marker>
            <c:symbol val="none"/>
          </c:marker>
          <c:dLbls>
            <c:dLbl>
              <c:idx val="0"/>
              <c:tx>
                <c:strRef>
                  <c:f>'C01A'!$B$80</c:f>
                  <c:strCache>
                    <c:ptCount val="1"/>
                    <c:pt idx="0">
                      <c:v>83 174</c:v>
                    </c:pt>
                  </c:strCache>
                </c:strRef>
              </c:tx>
              <c:numFmt formatCode="#\ ##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{C627FFD3-6B1E-437F-A20C-5F2BF60E1631}</c15:txfldGUID>
                      <c15:f>'C01A'!$B$80</c15:f>
                      <c15:dlblFieldTableCache>
                        <c:ptCount val="1"/>
                        <c:pt idx="0">
                          <c:v>83 174</c:v>
                        </c:pt>
                      </c15:dlblFieldTableCache>
                    </c15:dlblFTEntry>
                  </c15:dlblFieldTable>
                  <c15:showDataLabelsRange val="0"/>
                </c:ext>
                <c:ext xmlns:c16="http://schemas.microsoft.com/office/drawing/2014/chart" uri="{C3380CC4-5D6E-409C-BE32-E72D297353CC}">
                  <c16:uniqueId val="{00000011-45AC-45C2-A76E-C33031F245D0}"/>
                </c:ext>
              </c:extLst>
            </c:dLbl>
            <c:numFmt formatCode="#\ ##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'C01A'!$B$17</c:f>
              <c:strCache>
                <c:ptCount val="1"/>
                <c:pt idx="0">
                  <c:v>2025 AC</c:v>
                </c:pt>
              </c:strCache>
            </c:strRef>
          </c:cat>
          <c:val>
            <c:numRef>
              <c:f>'C01A'!$B$52</c:f>
              <c:numCache>
                <c:formatCode>General</c:formatCode>
                <c:ptCount val="1"/>
                <c:pt idx="0">
                  <c:v>1</c:v>
                </c:pt>
              </c:numCache>
            </c:numRef>
          </c:val>
          <c:smooth val="0"/>
          <c:extLst>
            <c:ext xmlns:c16="http://schemas.microsoft.com/office/drawing/2014/chart" uri="{C3380CC4-5D6E-409C-BE32-E72D297353CC}">
              <c16:uniqueId val="{00000010-45AC-45C2-A76E-C33031F245D0}"/>
            </c:ext>
          </c:extLst>
        </c:ser>
        <c:dLbls>
          <c:showLegendKey val="0"/>
          <c:showVal val="0"/>
          <c:showCatName val="0"/>
          <c:showSerName val="0"/>
          <c:showPercent val="0"/>
          <c:showBubbleSize val="0"/>
        </c:dLbls>
        <c:marker val="1"/>
        <c:smooth val="0"/>
        <c:axId val="1105394960"/>
        <c:axId val="1095925072"/>
      </c:lineChart>
      <c:catAx>
        <c:axId val="1105394960"/>
        <c:scaling>
          <c:orientation val="minMax"/>
        </c:scaling>
        <c:delete val="0"/>
        <c:axPos val="b"/>
        <c:numFmt formatCode="General" sourceLinked="1"/>
        <c:majorTickMark val="none"/>
        <c:minorTickMark val="none"/>
        <c:tickLblPos val="low"/>
        <c:txPr>
          <a:bodyPr/>
          <a:lstStyle/>
          <a:p>
            <a:pPr>
              <a:defRPr sz="900">
                <a:latin typeface="Arial"/>
                <a:ea typeface="Arial"/>
                <a:cs typeface="Arial"/>
              </a:defRPr>
            </a:pPr>
            <a:endParaRPr lang="en-US"/>
          </a:p>
        </c:txPr>
        <c:crossAx val="1095925072"/>
        <c:crosses val="autoZero"/>
        <c:auto val="1"/>
        <c:lblAlgn val="ctr"/>
        <c:lblOffset val="100"/>
        <c:noMultiLvlLbl val="0"/>
      </c:catAx>
      <c:valAx>
        <c:axId val="1095925072"/>
        <c:scaling>
          <c:orientation val="minMax"/>
          <c:max val="1.0000721379277178"/>
          <c:min val="0"/>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105394960"/>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v>Losses and LAE</c:v>
          </c:tx>
          <c:spPr>
            <a:solidFill>
              <a:srgbClr val="404040"/>
            </a:solidFill>
            <a:ln>
              <a:noFill/>
            </a:ln>
            <a:effectLst/>
            <a:extLst>
              <a:ext uri="{91240B29-F687-4F45-9708-019B960494DF}">
                <a14:hiddenLine xmlns:a14="http://schemas.microsoft.com/office/drawing/2010/main">
                  <a:noFill/>
                </a14:hiddenLine>
              </a:ext>
            </a:extLst>
          </c:spPr>
          <c:invertIfNegative val="0"/>
          <c:dLbls>
            <c:dLbl>
              <c:idx val="0"/>
              <c:tx>
                <c:strRef>
                  <c:f>'C02A'!$B$44</c:f>
                  <c:strCache>
                    <c:ptCount val="1"/>
                    <c:pt idx="0">
                      <c:v>19 186</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{FF4D18C5-4C74-441A-91DD-C5CFFFD81115}</c15:txfldGUID>
                      <c15:f>'C02A'!$B$44</c15:f>
                      <c15:dlblFieldTableCache>
                        <c:ptCount val="1"/>
                        <c:pt idx="0">
                          <c:v>19 186</c:v>
                        </c:pt>
                      </c15:dlblFieldTableCache>
                    </c15:dlblFTEntry>
                  </c15:dlblFieldTable>
                  <c15:showDataLabelsRange val="0"/>
                </c:ext>
                <c:ext xmlns:c16="http://schemas.microsoft.com/office/drawing/2014/chart" uri="{C3380CC4-5D6E-409C-BE32-E72D297353CC}">
                  <c16:uniqueId val="{00000005-BCE5-4C49-A478-E2FD8E6329F0}"/>
                </c:ext>
              </c:extLst>
            </c:dLbl>
            <c:dLbl>
              <c:idx val="1"/>
              <c:tx>
                <c:strRef>
                  <c:f>'C02A'!$C$44</c:f>
                  <c:strCache>
                    <c:ptCount val="1"/>
                    <c:pt idx="0">
                      <c:v>26 030</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{2DF91765-EB84-4B10-A90B-5F9944465F9B}</c15:txfldGUID>
                      <c15:f>'C02A'!$C$44</c15:f>
                      <c15:dlblFieldTableCache>
                        <c:ptCount val="1"/>
                        <c:pt idx="0">
                          <c:v>26 030</c:v>
                        </c:pt>
                      </c15:dlblFieldTableCache>
                    </c15:dlblFTEntry>
                  </c15:dlblFieldTable>
                  <c15:showDataLabelsRange val="0"/>
                </c:ext>
                <c:ext xmlns:c16="http://schemas.microsoft.com/office/drawing/2014/chart" uri="{C3380CC4-5D6E-409C-BE32-E72D297353CC}">
                  <c16:uniqueId val="{00000006-BCE5-4C49-A478-E2FD8E6329F0}"/>
                </c:ext>
              </c:extLst>
            </c:dLbl>
            <c:dLbl>
              <c:idx val="2"/>
              <c:tx>
                <c:strRef>
                  <c:f>'C02A'!$D$44</c:f>
                  <c:strCache>
                    <c:ptCount val="1"/>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{3D36E2D1-A1E9-4A31-AA50-DE9C16A9D1E8}</c15:txfldGUID>
                      <c15:f>'C02A'!$D$44</c15:f>
                      <c15:dlblFieldTableCache>
                        <c:ptCount val="1"/>
                      </c15:dlblFieldTableCache>
                    </c15:dlblFTEntry>
                  </c15:dlblFieldTable>
                  <c15:showDataLabelsRange val="0"/>
                </c:ext>
                <c:ext xmlns:c16="http://schemas.microsoft.com/office/drawing/2014/chart" uri="{C3380CC4-5D6E-409C-BE32-E72D297353CC}">
                  <c16:uniqueId val="{00000007-BCE5-4C49-A478-E2FD8E6329F0}"/>
                </c:ext>
              </c:extLst>
            </c:dLbl>
            <c:dLbl>
              <c:idx val="3"/>
              <c:tx>
                <c:strRef>
                  <c:f>'C02A'!$F$44</c:f>
                  <c:strCache>
                    <c:ptCount val="1"/>
                    <c:pt idx="0">
                      <c:v>7 225</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{0A6CD78A-10F6-4BE3-AB43-7656ABF864B3}</c15:txfldGUID>
                      <c15:f>'C02A'!$F$44</c15:f>
                      <c15:dlblFieldTableCache>
                        <c:ptCount val="1"/>
                        <c:pt idx="0">
                          <c:v>7 225</c:v>
                        </c:pt>
                      </c15:dlblFieldTableCache>
                    </c15:dlblFTEntry>
                  </c15:dlblFieldTable>
                  <c15:showDataLabelsRange val="0"/>
                </c:ext>
                <c:ext xmlns:c16="http://schemas.microsoft.com/office/drawing/2014/chart" uri="{C3380CC4-5D6E-409C-BE32-E72D297353CC}">
                  <c16:uniqueId val="{00000008-BCE5-4C49-A478-E2FD8E6329F0}"/>
                </c:ext>
              </c:extLst>
            </c:dLbl>
            <c:numFmt formatCode="#\ ##0" sourceLinked="0"/>
            <c:spPr>
              <a:noFill/>
              <a:ln>
                <a:noFill/>
              </a:ln>
              <a:effectLst/>
            </c:spPr>
            <c:txPr>
              <a:bodyPr wrap="squar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('C02A'!$B$9:$D$9,'C02A'!$F$9)</c:f>
              <c:strCache>
                <c:ptCount val="4"/>
                <c:pt idx="0">
                  <c:v>Agency auto</c:v>
                </c:pt>
                <c:pt idx="1">
                  <c:v>Direct auto</c:v>
                </c:pt>
                <c:pt idx="2">
                  <c:v>Property</c:v>
                </c:pt>
                <c:pt idx="3">
                  <c:v>Commercial</c:v>
                </c:pt>
              </c:strCache>
            </c:strRef>
          </c:cat>
          <c:val>
            <c:numRef>
              <c:f>('C02A'!$B$27:$D$27,'C02A'!$F$27)</c:f>
              <c:numCache>
                <c:formatCode>General</c:formatCode>
                <c:ptCount val="4"/>
                <c:pt idx="0">
                  <c:v>0.50120167189132703</c:v>
                </c:pt>
                <c:pt idx="1">
                  <c:v>0.67998955067920586</c:v>
                </c:pt>
                <c:pt idx="2">
                  <c:v>3.7199582027168235E-2</c:v>
                </c:pt>
                <c:pt idx="3">
                  <c:v>0.18874085684430511</c:v>
                </c:pt>
              </c:numCache>
            </c:numRef>
          </c:val>
          <c:extLst>
            <c:ext xmlns:c16="http://schemas.microsoft.com/office/drawing/2014/chart" uri="{C3380CC4-5D6E-409C-BE32-E72D297353CC}">
              <c16:uniqueId val="{00000004-BCE5-4C49-A478-E2FD8E6329F0}"/>
            </c:ext>
          </c:extLst>
        </c:ser>
        <c:ser>
          <c:idx val="1"/>
          <c:order val="1"/>
          <c:tx>
            <c:v>Expenses</c:v>
          </c:tx>
          <c:spPr>
            <a:solidFill>
              <a:srgbClr val="7F7F7F"/>
            </a:solidFill>
            <a:ln>
              <a:noFill/>
            </a:ln>
            <a:effectLst/>
            <a:extLst>
              <a:ext uri="{91240B29-F687-4F45-9708-019B960494DF}">
                <a14:hiddenLine xmlns:a14="http://schemas.microsoft.com/office/drawing/2010/main">
                  <a:noFill/>
                </a14:hiddenLine>
              </a:ext>
            </a:extLst>
          </c:spPr>
          <c:invertIfNegative val="0"/>
          <c:dLbls>
            <c:dLbl>
              <c:idx val="0"/>
              <c:tx>
                <c:strRef>
                  <c:f>'C02A'!$B$45</c:f>
                  <c:strCache>
                    <c:ptCount val="1"/>
                    <c:pt idx="0">
                      <c:v>5 906</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{970710C2-8C6F-42A4-BCCA-2910CACB1188}</c15:txfldGUID>
                      <c15:f>'C02A'!$B$45</c15:f>
                      <c15:dlblFieldTableCache>
                        <c:ptCount val="1"/>
                        <c:pt idx="0">
                          <c:v>5 906</c:v>
                        </c:pt>
                      </c15:dlblFieldTableCache>
                    </c15:dlblFTEntry>
                  </c15:dlblFieldTable>
                  <c15:showDataLabelsRange val="0"/>
                </c:ext>
                <c:ext xmlns:c16="http://schemas.microsoft.com/office/drawing/2014/chart" uri="{C3380CC4-5D6E-409C-BE32-E72D297353CC}">
                  <c16:uniqueId val="{0000000A-BCE5-4C49-A478-E2FD8E6329F0}"/>
                </c:ext>
              </c:extLst>
            </c:dLbl>
            <c:dLbl>
              <c:idx val="1"/>
              <c:tx>
                <c:strRef>
                  <c:f>'C02A'!$C$45</c:f>
                  <c:strCache>
                    <c:ptCount val="1"/>
                    <c:pt idx="0">
                      <c:v>8 460</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{D437997F-8DE3-450D-AE23-D676CAB622B9}</c15:txfldGUID>
                      <c15:f>'C02A'!$C$45</c15:f>
                      <c15:dlblFieldTableCache>
                        <c:ptCount val="1"/>
                        <c:pt idx="0">
                          <c:v>8 460</c:v>
                        </c:pt>
                      </c15:dlblFieldTableCache>
                    </c15:dlblFTEntry>
                  </c15:dlblFieldTable>
                  <c15:showDataLabelsRange val="0"/>
                </c:ext>
                <c:ext xmlns:c16="http://schemas.microsoft.com/office/drawing/2014/chart" uri="{C3380CC4-5D6E-409C-BE32-E72D297353CC}">
                  <c16:uniqueId val="{0000000B-BCE5-4C49-A478-E2FD8E6329F0}"/>
                </c:ext>
              </c:extLst>
            </c:dLbl>
            <c:dLbl>
              <c:idx val="2"/>
              <c:tx>
                <c:strRef>
                  <c:f>'C02A'!$D$45</c:f>
                  <c:strCache>
                    <c:ptCount val="1"/>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{BB64A0AF-D71A-46D3-99AB-2ED3CF4DC868}</c15:txfldGUID>
                      <c15:f>'C02A'!$D$45</c15:f>
                      <c15:dlblFieldTableCache>
                        <c:ptCount val="1"/>
                      </c15:dlblFieldTableCache>
                    </c15:dlblFTEntry>
                  </c15:dlblFieldTable>
                  <c15:showDataLabelsRange val="0"/>
                </c:ext>
                <c:ext xmlns:c16="http://schemas.microsoft.com/office/drawing/2014/chart" uri="{C3380CC4-5D6E-409C-BE32-E72D297353CC}">
                  <c16:uniqueId val="{0000000C-BCE5-4C49-A478-E2FD8E6329F0}"/>
                </c:ext>
              </c:extLst>
            </c:dLbl>
            <c:dLbl>
              <c:idx val="3"/>
              <c:tx>
                <c:strRef>
                  <c:f>'C02A'!$F$45</c:f>
                  <c:strCache>
                    <c:ptCount val="1"/>
                    <c:pt idx="0">
                      <c:v>2 241</c:v>
                    </c:pt>
                  </c:strCache>
                </c:strRef>
              </c:tx>
              <c:numFmt formatCode="#\ ##0" sourceLinked="0"/>
              <c:spPr>
                <a:noFill/>
                <a:ln>
                  <a:noFill/>
                </a:ln>
                <a:effectLst/>
              </c:spPr>
              <c:txPr>
                <a:bodyPr wrap="non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{0D769319-3640-4B57-A8E0-55D6E8555B88}</c15:txfldGUID>
                      <c15:f>'C02A'!$F$45</c15:f>
                      <c15:dlblFieldTableCache>
                        <c:ptCount val="1"/>
                        <c:pt idx="0">
                          <c:v>2 241</c:v>
                        </c:pt>
                      </c15:dlblFieldTableCache>
                    </c15:dlblFTEntry>
                  </c15:dlblFieldTable>
                  <c15:showDataLabelsRange val="0"/>
                </c:ext>
                <c:ext xmlns:c16="http://schemas.microsoft.com/office/drawing/2014/chart" uri="{C3380CC4-5D6E-409C-BE32-E72D297353CC}">
                  <c16:uniqueId val="{0000000D-BCE5-4C49-A478-E2FD8E6329F0}"/>
                </c:ext>
              </c:extLst>
            </c:dLbl>
            <c:numFmt formatCode="#\ ##0" sourceLinked="0"/>
            <c:spPr>
              <a:noFill/>
              <a:ln>
                <a:noFill/>
              </a:ln>
              <a:effectLst/>
            </c:spPr>
            <c:txPr>
              <a:bodyPr wrap="square" lIns="38100" tIns="19050" rIns="38100" bIns="19050" anchor="ctr">
                <a:spAutoFit/>
              </a:bodyPr>
              <a:lstStyle/>
              <a:p>
                <a:pPr>
                  <a:defRPr sz="900">
                    <a:solidFill>
                      <a:srgbClr val="FFFFFF"/>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('C02A'!$B$9:$D$9,'C02A'!$F$9)</c:f>
              <c:strCache>
                <c:ptCount val="4"/>
                <c:pt idx="0">
                  <c:v>Agency auto</c:v>
                </c:pt>
                <c:pt idx="1">
                  <c:v>Direct auto</c:v>
                </c:pt>
                <c:pt idx="2">
                  <c:v>Property</c:v>
                </c:pt>
                <c:pt idx="3">
                  <c:v>Commercial</c:v>
                </c:pt>
              </c:strCache>
            </c:strRef>
          </c:cat>
          <c:val>
            <c:numRef>
              <c:f>('C02A'!$B$28:$D$28,'C02A'!$F$28)</c:f>
              <c:numCache>
                <c:formatCode>General</c:formatCode>
                <c:ptCount val="4"/>
                <c:pt idx="0">
                  <c:v>0.15428422152560084</c:v>
                </c:pt>
                <c:pt idx="1">
                  <c:v>0.22100313479623823</c:v>
                </c:pt>
                <c:pt idx="2">
                  <c:v>2.392894461859979E-2</c:v>
                </c:pt>
                <c:pt idx="3">
                  <c:v>5.8542319749216302E-2</c:v>
                </c:pt>
              </c:numCache>
            </c:numRef>
          </c:val>
          <c:extLst>
            <c:ext xmlns:c16="http://schemas.microsoft.com/office/drawing/2014/chart" uri="{C3380CC4-5D6E-409C-BE32-E72D297353CC}">
              <c16:uniqueId val="{00000009-BCE5-4C49-A478-E2FD8E6329F0}"/>
            </c:ext>
          </c:extLst>
        </c:ser>
        <c:ser>
          <c:idx val="2"/>
          <c:order val="2"/>
          <c:tx>
            <c:v>Underwriting result</c:v>
          </c:tx>
          <c:spPr>
            <a:solidFill>
              <a:srgbClr val="D9D9D9"/>
            </a:solidFill>
            <a:ln>
              <a:noFill/>
            </a:ln>
            <a:effectLst/>
            <a:extLst>
              <a:ext uri="{91240B29-F687-4F45-9708-019B960494DF}">
                <a14:hiddenLine xmlns:a14="http://schemas.microsoft.com/office/drawing/2010/main">
                  <a:noFill/>
                </a14:hiddenLine>
              </a:ext>
            </a:extLst>
          </c:spPr>
          <c:invertIfNegative val="0"/>
          <c:dLbls>
            <c:dLbl>
              <c:idx val="0"/>
              <c:tx>
                <c:strRef>
                  <c:f>'C02A'!$B$46</c:f>
                  <c:strCache>
                    <c:ptCount val="1"/>
                    <c:pt idx="0">
                      <c:v>4 290</c:v>
                    </c:pt>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{21FFF87C-FBEB-4FF9-8BAB-0A86B9996AA6}</c15:txfldGUID>
                      <c15:f>'C02A'!$B$46</c15:f>
                      <c15:dlblFieldTableCache>
                        <c:ptCount val="1"/>
                        <c:pt idx="0">
                          <c:v>4 290</c:v>
                        </c:pt>
                      </c15:dlblFieldTableCache>
                    </c15:dlblFTEntry>
                  </c15:dlblFieldTable>
                  <c15:showDataLabelsRange val="0"/>
                </c:ext>
                <c:ext xmlns:c16="http://schemas.microsoft.com/office/drawing/2014/chart" uri="{C3380CC4-5D6E-409C-BE32-E72D297353CC}">
                  <c16:uniqueId val="{0000000F-BCE5-4C49-A478-E2FD8E6329F0}"/>
                </c:ext>
              </c:extLst>
            </c:dLbl>
            <c:dLbl>
              <c:idx val="1"/>
              <c:tx>
                <c:strRef>
                  <c:f>'C02A'!$C$46</c:f>
                  <c:strCache>
                    <c:ptCount val="1"/>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{2D0E7EFD-613D-4520-93E1-EC736A45AC4D}</c15:txfldGUID>
                      <c15:f>'C02A'!$C$46</c15:f>
                      <c15:dlblFieldTableCache>
                        <c:ptCount val="1"/>
                      </c15:dlblFieldTableCache>
                    </c15:dlblFTEntry>
                  </c15:dlblFieldTable>
                  <c15:showDataLabelsRange val="0"/>
                </c:ext>
                <c:ext xmlns:c16="http://schemas.microsoft.com/office/drawing/2014/chart" uri="{C3380CC4-5D6E-409C-BE32-E72D297353CC}">
                  <c16:uniqueId val="{00000010-BCE5-4C49-A478-E2FD8E6329F0}"/>
                </c:ext>
              </c:extLst>
            </c:dLbl>
            <c:dLbl>
              <c:idx val="2"/>
              <c:tx>
                <c:strRef>
                  <c:f>'C02A'!$D$46</c:f>
                  <c:strCache>
                    <c:ptCount val="1"/>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{20B96DEF-63BB-46BD-8210-D1484429141A}</c15:txfldGUID>
                      <c15:f>'C02A'!$D$46</c15:f>
                      <c15:dlblFieldTableCache>
                        <c:ptCount val="1"/>
                      </c15:dlblFieldTableCache>
                    </c15:dlblFTEntry>
                  </c15:dlblFieldTable>
                  <c15:showDataLabelsRange val="0"/>
                </c:ext>
                <c:ext xmlns:c16="http://schemas.microsoft.com/office/drawing/2014/chart" uri="{C3380CC4-5D6E-409C-BE32-E72D297353CC}">
                  <c16:uniqueId val="{00000011-BCE5-4C49-A478-E2FD8E6329F0}"/>
                </c:ext>
              </c:extLst>
            </c:dLbl>
            <c:dLbl>
              <c:idx val="3"/>
              <c:tx>
                <c:strRef>
                  <c:f>'C02A'!$F$46</c:f>
                  <c:strCache>
                    <c:ptCount val="1"/>
                  </c:strCache>
                </c:strRef>
              </c:tx>
              <c:numFmt formatCode="#\ ##0" sourceLinked="0"/>
              <c:spPr>
                <a:noFill/>
                <a:ln>
                  <a:noFill/>
                </a:ln>
                <a:effectLst/>
              </c:spPr>
              <c:txPr>
                <a:bodyPr wrap="non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{E040B048-6233-4BDE-80C4-07822877EF5A}</c15:txfldGUID>
                      <c15:f>'C02A'!$F$46</c15:f>
                      <c15:dlblFieldTableCache>
                        <c:ptCount val="1"/>
                      </c15:dlblFieldTableCache>
                    </c15:dlblFTEntry>
                  </c15:dlblFieldTable>
                  <c15:showDataLabelsRange val="0"/>
                </c:ext>
                <c:ext xmlns:c16="http://schemas.microsoft.com/office/drawing/2014/chart" uri="{C3380CC4-5D6E-409C-BE32-E72D297353CC}">
                  <c16:uniqueId val="{00000012-BCE5-4C49-A478-E2FD8E6329F0}"/>
                </c:ext>
              </c:extLst>
            </c:dLbl>
            <c:numFmt formatCode="#\ ##0" sourceLinked="0"/>
            <c:spPr>
              <a:noFill/>
              <a:ln>
                <a:noFill/>
              </a:ln>
              <a:effectLst/>
            </c:spPr>
            <c:txPr>
              <a:bodyPr wrap="square" lIns="38100" tIns="19050" rIns="38100" bIns="19050" anchor="ctr">
                <a:spAutoFit/>
              </a:bodyPr>
              <a:lstStyle/>
              <a:p>
                <a:pPr>
                  <a:defRPr sz="900">
                    <a:solidFill>
                      <a:srgbClr val="000000"/>
                    </a:solidFill>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('C02A'!$B$9:$D$9,'C02A'!$F$9)</c:f>
              <c:strCache>
                <c:ptCount val="4"/>
                <c:pt idx="0">
                  <c:v>Agency auto</c:v>
                </c:pt>
                <c:pt idx="1">
                  <c:v>Direct auto</c:v>
                </c:pt>
                <c:pt idx="2">
                  <c:v>Property</c:v>
                </c:pt>
                <c:pt idx="3">
                  <c:v>Commercial</c:v>
                </c:pt>
              </c:strCache>
            </c:strRef>
          </c:cat>
          <c:val>
            <c:numRef>
              <c:f>('C02A'!$B$29:$D$29,'C02A'!$F$29)</c:f>
              <c:numCache>
                <c:formatCode>General</c:formatCode>
                <c:ptCount val="4"/>
                <c:pt idx="0">
                  <c:v>0.11206896551724138</c:v>
                </c:pt>
                <c:pt idx="1">
                  <c:v>9.9007314524555898E-2</c:v>
                </c:pt>
                <c:pt idx="2">
                  <c:v>2.0271682340647856E-2</c:v>
                </c:pt>
                <c:pt idx="3">
                  <c:v>3.6964472309299896E-2</c:v>
                </c:pt>
              </c:numCache>
            </c:numRef>
          </c:val>
          <c:extLst>
            <c:ext xmlns:c16="http://schemas.microsoft.com/office/drawing/2014/chart" uri="{C3380CC4-5D6E-409C-BE32-E72D297353CC}">
              <c16:uniqueId val="{0000000E-BCE5-4C49-A478-E2FD8E6329F0}"/>
            </c:ext>
          </c:extLst>
        </c:ser>
        <c:ser>
          <c:idx val="3"/>
          <c:order val="3"/>
          <c:tx>
            <c:v>Total</c:v>
          </c:tx>
          <c:spPr>
            <a:noFill/>
            <a:ln>
              <a:noFill/>
            </a:ln>
            <a:effectLst/>
            <a:extLst>
              <a:ext uri="{909E8E84-426E-40DD-AFC4-6F175D3DCCD1}">
                <a14:hiddenFill xmlns:a14="http://schemas.microsoft.com/office/drawing/2010/main">
                  <a:solidFill>
                    <a:srgbClr val="0F9ED5"/>
                  </a:solidFill>
                </a14:hiddenFill>
              </a:ext>
              <a:ext uri="{91240B29-F687-4F45-9708-019B960494DF}">
                <a14:hiddenLine xmlns:a14="http://schemas.microsoft.com/office/drawing/2010/main">
                  <a:noFill/>
                </a14:hiddenLine>
              </a:ext>
            </a:extLst>
          </c:spPr>
          <c:invertIfNegative val="0"/>
          <c:dLbls>
            <c:dLbl>
              <c:idx val="0"/>
              <c:tx>
                <c:strRef>
                  <c:f>'C02A'!$B$13</c:f>
                  <c:strCache>
                    <c:ptCount val="1"/>
                    <c:pt idx="0">
                      <c:v>29 382</c:v>
                    </c:pt>
                  </c:strCache>
                </c:strRef>
              </c:tx>
              <c:spPr>
                <a:solidFill>
                  <a:srgbClr val="FFFFFF"/>
                </a:solidFill>
                <a:ln>
                  <a:noFill/>
                </a:ln>
                <a:effectLst/>
              </c:spPr>
              <c:txPr>
                <a:bodyPr wrap="none" lIns="38100" tIns="19050" rIns="38100" bIns="19050" anchor="ctr">
                  <a:spAutoFit/>
                </a:bodyPr>
                <a:lstStyle/>
                <a:p>
                  <a:pPr>
                    <a:defRPr sz="900">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{44909315-CBA6-4E48-BC92-76D476687296}</c15:txfldGUID>
                      <c15:f>'C02A'!$B$13</c15:f>
                      <c15:dlblFieldTableCache>
                        <c:ptCount val="1"/>
                        <c:pt idx="0">
                          <c:v>29 382</c:v>
                        </c:pt>
                      </c15:dlblFieldTableCache>
                    </c15:dlblFTEntry>
                  </c15:dlblFieldTable>
                  <c15:showDataLabelsRange val="0"/>
                </c:ext>
                <c:ext xmlns:c16="http://schemas.microsoft.com/office/drawing/2014/chart" uri="{C3380CC4-5D6E-409C-BE32-E72D297353CC}">
                  <c16:uniqueId val="{00000014-BCE5-4C49-A478-E2FD8E6329F0}"/>
                </c:ext>
              </c:extLst>
            </c:dLbl>
            <c:dLbl>
              <c:idx val="1"/>
              <c:tx>
                <c:strRef>
                  <c:f>'C02A'!$C$13</c:f>
                  <c:strCache>
                    <c:ptCount val="1"/>
                    <c:pt idx="0">
                      <c:v>38 280</c:v>
                    </c:pt>
                  </c:strCache>
                </c:strRef>
              </c:tx>
              <c:spPr>
                <a:solidFill>
                  <a:srgbClr val="FFFFFF"/>
                </a:solidFill>
                <a:ln>
                  <a:noFill/>
                </a:ln>
                <a:effectLst/>
              </c:spPr>
              <c:txPr>
                <a:bodyPr wrap="none" lIns="38100" tIns="19050" rIns="38100" bIns="19050" anchor="ctr">
                  <a:spAutoFit/>
                </a:bodyPr>
                <a:lstStyle/>
                <a:p>
                  <a:pPr>
                    <a:defRPr sz="900">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{64181165-97B7-4A55-B570-8692F876508E}</c15:txfldGUID>
                      <c15:f>'C02A'!$C$13</c15:f>
                      <c15:dlblFieldTableCache>
                        <c:ptCount val="1"/>
                        <c:pt idx="0">
                          <c:v>38 280</c:v>
                        </c:pt>
                      </c15:dlblFieldTableCache>
                    </c15:dlblFTEntry>
                  </c15:dlblFieldTable>
                  <c15:showDataLabelsRange val="0"/>
                </c:ext>
                <c:ext xmlns:c16="http://schemas.microsoft.com/office/drawing/2014/chart" uri="{C3380CC4-5D6E-409C-BE32-E72D297353CC}">
                  <c16:uniqueId val="{00000015-BCE5-4C49-A478-E2FD8E6329F0}"/>
                </c:ext>
              </c:extLst>
            </c:dLbl>
            <c:dLbl>
              <c:idx val="2"/>
              <c:tx>
                <c:strRef>
                  <c:f>'C02A'!$D$13</c:f>
                  <c:strCache>
                    <c:ptCount val="1"/>
                    <c:pt idx="0">
                      <c:v>3 116</c:v>
                    </c:pt>
                  </c:strCache>
                </c:strRef>
              </c:tx>
              <c:spPr>
                <a:solidFill>
                  <a:srgbClr val="FFFFFF"/>
                </a:solidFill>
                <a:ln>
                  <a:noFill/>
                </a:ln>
                <a:effectLst/>
              </c:spPr>
              <c:txPr>
                <a:bodyPr wrap="none" lIns="38100" tIns="19050" rIns="38100" bIns="19050" anchor="ctr">
                  <a:spAutoFit/>
                </a:bodyPr>
                <a:lstStyle/>
                <a:p>
                  <a:pPr>
                    <a:defRPr sz="900">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{C6B6B413-5568-4FB0-95CC-E4600096A9E7}</c15:txfldGUID>
                      <c15:f>'C02A'!$D$13</c15:f>
                      <c15:dlblFieldTableCache>
                        <c:ptCount val="1"/>
                        <c:pt idx="0">
                          <c:v>3 116</c:v>
                        </c:pt>
                      </c15:dlblFieldTableCache>
                    </c15:dlblFTEntry>
                  </c15:dlblFieldTable>
                  <c15:showDataLabelsRange val="0"/>
                </c:ext>
                <c:ext xmlns:c16="http://schemas.microsoft.com/office/drawing/2014/chart" uri="{C3380CC4-5D6E-409C-BE32-E72D297353CC}">
                  <c16:uniqueId val="{00000016-BCE5-4C49-A478-E2FD8E6329F0}"/>
                </c:ext>
              </c:extLst>
            </c:dLbl>
            <c:dLbl>
              <c:idx val="3"/>
              <c:tx>
                <c:strRef>
                  <c:f>'C02A'!$F$13</c:f>
                  <c:strCache>
                    <c:ptCount val="1"/>
                    <c:pt idx="0">
                      <c:v>10 881</c:v>
                    </c:pt>
                  </c:strCache>
                </c:strRef>
              </c:tx>
              <c:spPr>
                <a:solidFill>
                  <a:srgbClr val="FFFFFF"/>
                </a:solidFill>
                <a:ln>
                  <a:noFill/>
                </a:ln>
                <a:effectLst/>
              </c:spPr>
              <c:txPr>
                <a:bodyPr wrap="none" lIns="38100" tIns="19050" rIns="38100" bIns="19050" anchor="ctr">
                  <a:spAutoFit/>
                </a:bodyPr>
                <a:lstStyle/>
                <a:p>
                  <a:pPr>
                    <a:defRPr sz="900">
                      <a:latin typeface="Arial"/>
                      <a:ea typeface="Arial"/>
                      <a:cs typeface="Arial"/>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{9614147E-D3B9-4E93-96F3-AA3CAFFF8AA7}</c15:txfldGUID>
                      <c15:f>'C02A'!$F$13</c15:f>
                      <c15:dlblFieldTableCache>
                        <c:ptCount val="1"/>
                        <c:pt idx="0">
                          <c:v>10 881</c:v>
                        </c:pt>
                      </c15:dlblFieldTableCache>
                    </c15:dlblFTEntry>
                  </c15:dlblFieldTable>
                  <c15:showDataLabelsRange val="0"/>
                </c:ext>
                <c:ext xmlns:c16="http://schemas.microsoft.com/office/drawing/2014/chart" uri="{C3380CC4-5D6E-409C-BE32-E72D297353CC}">
                  <c16:uniqueId val="{00000017-BCE5-4C49-A478-E2FD8E6329F0}"/>
                </c:ext>
              </c:extLst>
            </c:dLbl>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('C02A'!$B$9:$D$9,'C02A'!$F$9)</c:f>
              <c:strCache>
                <c:ptCount val="4"/>
                <c:pt idx="0">
                  <c:v>Agency auto</c:v>
                </c:pt>
                <c:pt idx="1">
                  <c:v>Direct auto</c:v>
                </c:pt>
                <c:pt idx="2">
                  <c:v>Property</c:v>
                </c:pt>
                <c:pt idx="3">
                  <c:v>Commercial</c:v>
                </c:pt>
              </c:strCache>
            </c:strRef>
          </c:cat>
          <c:val>
            <c:numLit>
              <c:formatCode>General</c:formatCode>
              <c:ptCount val="4"/>
              <c:pt idx="0">
                <c:v>0</c:v>
              </c:pt>
              <c:pt idx="1">
                <c:v>0</c:v>
              </c:pt>
              <c:pt idx="2">
                <c:v>0</c:v>
              </c:pt>
              <c:pt idx="3">
                <c:v>0</c:v>
              </c:pt>
            </c:numLit>
          </c:val>
          <c:extLst>
            <c:ext xmlns:c16="http://schemas.microsoft.com/office/drawing/2014/chart" uri="{C3380CC4-5D6E-409C-BE32-E72D297353CC}">
              <c16:uniqueId val="{00000013-BCE5-4C49-A478-E2FD8E6329F0}"/>
            </c:ext>
          </c:extLst>
        </c:ser>
        <c:dLbls>
          <c:showLegendKey val="0"/>
          <c:showVal val="0"/>
          <c:showCatName val="0"/>
          <c:showSerName val="0"/>
          <c:showPercent val="0"/>
          <c:showBubbleSize val="0"/>
        </c:dLbls>
        <c:gapWidth val="26"/>
        <c:overlap val="100"/>
        <c:axId val="1194312864"/>
        <c:axId val="1096006672"/>
      </c:barChart>
      <c:catAx>
        <c:axId val="1194312864"/>
        <c:scaling>
          <c:orientation val="maxMin"/>
        </c:scaling>
        <c:delete val="0"/>
        <c:axPos val="l"/>
        <c:numFmt formatCode="General" sourceLinked="1"/>
        <c:majorTickMark val="none"/>
        <c:minorTickMark val="none"/>
        <c:tickLblPos val="low"/>
        <c:txPr>
          <a:bodyPr/>
          <a:lstStyle/>
          <a:p>
            <a:pPr>
              <a:defRPr sz="900">
                <a:latin typeface="Arial"/>
                <a:ea typeface="Arial"/>
                <a:cs typeface="Arial"/>
              </a:defRPr>
            </a:pPr>
            <a:endParaRPr lang="en-US"/>
          </a:p>
        </c:txPr>
        <c:crossAx val="1096006672"/>
        <c:crosses val="autoZero"/>
        <c:auto val="1"/>
        <c:lblAlgn val="ctr"/>
        <c:lblOffset val="100"/>
        <c:noMultiLvlLbl val="0"/>
      </c:catAx>
      <c:valAx>
        <c:axId val="1096006672"/>
        <c:scaling>
          <c:orientation val="minMax"/>
          <c:max val="1.0005224660397074"/>
          <c:min val="0"/>
        </c:scaling>
        <c:delete val="0"/>
        <c:axPos val="t"/>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194312864"/>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79532967032968"/>
          <c:y val="9.6153846153846159E-2"/>
          <c:w val="0.86923076923076925"/>
          <c:h val="0.74057692307692302"/>
        </c:manualLayout>
      </c:layout>
      <c:lineChart>
        <c:grouping val="standard"/>
        <c:varyColors val="0"/>
        <c:ser>
          <c:idx val="0"/>
          <c:order val="0"/>
          <c:tx>
            <c:v>ΔPY% up</c:v>
          </c:tx>
          <c:spPr>
            <a:ln w="38100" cap="rnd" cmpd="sng" algn="ctr">
              <a:noFill/>
              <a:prstDash val="solid"/>
              <a:round/>
            </a:ln>
            <a:effectLst/>
            <a:extLst>
              <a:ext uri="{91240B29-F687-4F45-9708-019B960494DF}">
                <a14:hiddenLine xmlns:a14="http://schemas.microsoft.com/office/drawing/2010/main" w="38100" cap="rnd" cmpd="sng" algn="ctr">
                  <a:solidFill>
                    <a:srgbClr val="156082"/>
                  </a:solidFill>
                  <a:prstDash val="solid"/>
                  <a:round/>
                </a14:hiddenLine>
              </a:ext>
            </a:extLst>
          </c:spPr>
          <c:marker>
            <c:symbol val="square"/>
            <c:size val="5"/>
            <c:spPr>
              <a:solidFill>
                <a:srgbClr val="156082"/>
              </a:solidFill>
              <a:ln w="12700" cap="flat" cmpd="sng" algn="ctr">
                <a:noFill/>
                <a:prstDash val="solid"/>
                <a:round/>
              </a:ln>
              <a:effectLst/>
              <a:extLst>
                <a:ext uri="{91240B29-F687-4F45-9708-019B960494DF}">
                  <a14:hiddenLine xmlns:a14="http://schemas.microsoft.com/office/drawing/2010/main" w="12700" cap="flat" cmpd="sng" algn="ctr">
                    <a:solidFill>
                      <a:srgbClr val="156082"/>
                    </a:solidFill>
                    <a:prstDash val="solid"/>
                    <a:round/>
                  </a14:hiddenLine>
                </a:ext>
              </a:extLst>
            </c:spPr>
          </c:marker>
          <c:dPt>
            <c:idx val="0"/>
            <c:marker>
              <c:spPr>
                <a:solidFill>
                  <a:srgbClr val="404040"/>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extLst>
              <c:ext xmlns:c16="http://schemas.microsoft.com/office/drawing/2014/chart" uri="{C3380CC4-5D6E-409C-BE32-E72D297353CC}">
                <c16:uniqueId val="{00000008-8F43-46FB-A4F1-0E34AE05E1D4}"/>
              </c:ext>
            </c:extLst>
          </c:dPt>
          <c:dPt>
            <c:idx val="1"/>
            <c:marker>
              <c:spPr>
                <a:solidFill>
                  <a:srgbClr val="404040"/>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extLst>
              <c:ext xmlns:c16="http://schemas.microsoft.com/office/drawing/2014/chart" uri="{C3380CC4-5D6E-409C-BE32-E72D297353CC}">
                <c16:uniqueId val="{00000009-8F43-46FB-A4F1-0E34AE05E1D4}"/>
              </c:ext>
            </c:extLst>
          </c:dPt>
          <c:dPt>
            <c:idx val="2"/>
            <c:marker>
              <c:spPr>
                <a:solidFill>
                  <a:srgbClr val="404040"/>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extLst>
              <c:ext xmlns:c16="http://schemas.microsoft.com/office/drawing/2014/chart" uri="{C3380CC4-5D6E-409C-BE32-E72D297353CC}">
                <c16:uniqueId val="{0000000A-8F43-46FB-A4F1-0E34AE05E1D4}"/>
              </c:ext>
            </c:extLst>
          </c:dPt>
          <c:dPt>
            <c:idx val="3"/>
            <c:marker>
              <c:spPr>
                <a:solidFill>
                  <a:srgbClr val="404040"/>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extLst>
              <c:ext xmlns:c16="http://schemas.microsoft.com/office/drawing/2014/chart" uri="{C3380CC4-5D6E-409C-BE32-E72D297353CC}">
                <c16:uniqueId val="{0000000B-8F43-46FB-A4F1-0E34AE05E1D4}"/>
              </c:ext>
            </c:extLst>
          </c:dPt>
          <c:dPt>
            <c:idx val="4"/>
            <c:marker>
              <c:spPr>
                <a:solidFill>
                  <a:srgbClr val="404040"/>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extLst>
              <c:ext xmlns:c16="http://schemas.microsoft.com/office/drawing/2014/chart" uri="{C3380CC4-5D6E-409C-BE32-E72D297353CC}">
                <c16:uniqueId val="{0000000C-8F43-46FB-A4F1-0E34AE05E1D4}"/>
              </c:ext>
            </c:extLst>
          </c:dPt>
          <c:dPt>
            <c:idx val="5"/>
            <c:marker>
              <c:spPr>
                <a:solidFill>
                  <a:srgbClr val="404040"/>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extLst>
              <c:ext xmlns:c16="http://schemas.microsoft.com/office/drawing/2014/chart" uri="{C3380CC4-5D6E-409C-BE32-E72D297353CC}">
                <c16:uniqueId val="{0000000D-8F43-46FB-A4F1-0E34AE05E1D4}"/>
              </c:ext>
            </c:extLst>
          </c:dPt>
          <c:dPt>
            <c:idx val="6"/>
            <c:marker>
              <c:spPr>
                <a:solidFill>
                  <a:srgbClr val="404040"/>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extLst>
              <c:ext xmlns:c16="http://schemas.microsoft.com/office/drawing/2014/chart" uri="{C3380CC4-5D6E-409C-BE32-E72D297353CC}">
                <c16:uniqueId val="{0000000E-8F43-46FB-A4F1-0E34AE05E1D4}"/>
              </c:ext>
            </c:extLst>
          </c:dPt>
          <c:dPt>
            <c:idx val="7"/>
            <c:marker>
              <c:spPr>
                <a:solidFill>
                  <a:srgbClr val="F2F2F2"/>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spPr>
              <a:solidFill>
                <a:srgbClr val="FFFFFF"/>
              </a:solidFill>
              <a:ln w="38100" cap="rnd" cmpd="sng" algn="ctr">
                <a:noFill/>
                <a:prstDash val="solid"/>
                <a:round/>
              </a:ln>
              <a:effectLst/>
              <a:extLst>
                <a:ext uri="{91240B29-F687-4F45-9708-019B960494DF}">
                  <a14:hiddenLine xmlns:a14="http://schemas.microsoft.com/office/drawing/2010/main" w="38100" cap="rnd" cmpd="sng" algn="ctr">
                    <a:solidFill>
                      <a:srgbClr val="156082"/>
                    </a:solidFill>
                    <a:prstDash val="solid"/>
                    <a:round/>
                  </a14:hiddenLine>
                </a:ext>
              </a:extLst>
            </c:spPr>
            <c:extLst>
              <c:ext xmlns:c16="http://schemas.microsoft.com/office/drawing/2014/chart" uri="{C3380CC4-5D6E-409C-BE32-E72D297353CC}">
                <c16:uniqueId val="{0000000F-8F43-46FB-A4F1-0E34AE05E1D4}"/>
              </c:ext>
            </c:extLst>
          </c:dPt>
          <c:dPt>
            <c:idx val="8"/>
            <c:marker>
              <c:spPr>
                <a:solidFill>
                  <a:srgbClr val="F2F2F2"/>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spPr>
              <a:solidFill>
                <a:srgbClr val="FFFFFF"/>
              </a:solidFill>
              <a:ln w="38100" cap="rnd" cmpd="sng" algn="ctr">
                <a:noFill/>
                <a:prstDash val="solid"/>
                <a:round/>
              </a:ln>
              <a:effectLst/>
              <a:extLst>
                <a:ext uri="{91240B29-F687-4F45-9708-019B960494DF}">
                  <a14:hiddenLine xmlns:a14="http://schemas.microsoft.com/office/drawing/2010/main" w="38100" cap="rnd" cmpd="sng" algn="ctr">
                    <a:solidFill>
                      <a:srgbClr val="156082"/>
                    </a:solidFill>
                    <a:prstDash val="solid"/>
                    <a:round/>
                  </a14:hiddenLine>
                </a:ext>
              </a:extLst>
            </c:spPr>
            <c:extLst>
              <c:ext xmlns:c16="http://schemas.microsoft.com/office/drawing/2014/chart" uri="{C3380CC4-5D6E-409C-BE32-E72D297353CC}">
                <c16:uniqueId val="{00000010-8F43-46FB-A4F1-0E34AE05E1D4}"/>
              </c:ext>
            </c:extLst>
          </c:dPt>
          <c:dPt>
            <c:idx val="9"/>
            <c:marker>
              <c:spPr>
                <a:solidFill>
                  <a:srgbClr val="F2F2F2"/>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spPr>
              <a:solidFill>
                <a:srgbClr val="FFFFFF"/>
              </a:solidFill>
              <a:ln w="38100" cap="rnd" cmpd="sng" algn="ctr">
                <a:noFill/>
                <a:prstDash val="solid"/>
                <a:round/>
              </a:ln>
              <a:effectLst/>
              <a:extLst>
                <a:ext uri="{91240B29-F687-4F45-9708-019B960494DF}">
                  <a14:hiddenLine xmlns:a14="http://schemas.microsoft.com/office/drawing/2010/main" w="38100" cap="rnd" cmpd="sng" algn="ctr">
                    <a:solidFill>
                      <a:srgbClr val="156082"/>
                    </a:solidFill>
                    <a:prstDash val="solid"/>
                    <a:round/>
                  </a14:hiddenLine>
                </a:ext>
              </a:extLst>
            </c:spPr>
            <c:extLst>
              <c:ext xmlns:c16="http://schemas.microsoft.com/office/drawing/2014/chart" uri="{C3380CC4-5D6E-409C-BE32-E72D297353CC}">
                <c16:uniqueId val="{00000011-8F43-46FB-A4F1-0E34AE05E1D4}"/>
              </c:ext>
            </c:extLst>
          </c:dPt>
          <c:dPt>
            <c:idx val="10"/>
            <c:marker>
              <c:spPr>
                <a:solidFill>
                  <a:srgbClr val="F2F2F2"/>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spPr>
              <a:solidFill>
                <a:srgbClr val="FFFFFF"/>
              </a:solidFill>
              <a:ln w="38100" cap="rnd" cmpd="sng" algn="ctr">
                <a:noFill/>
                <a:prstDash val="solid"/>
                <a:round/>
              </a:ln>
              <a:effectLst/>
              <a:extLst>
                <a:ext uri="{91240B29-F687-4F45-9708-019B960494DF}">
                  <a14:hiddenLine xmlns:a14="http://schemas.microsoft.com/office/drawing/2010/main" w="38100" cap="rnd" cmpd="sng" algn="ctr">
                    <a:solidFill>
                      <a:srgbClr val="156082"/>
                    </a:solidFill>
                    <a:prstDash val="solid"/>
                    <a:round/>
                  </a14:hiddenLine>
                </a:ext>
              </a:extLst>
            </c:spPr>
            <c:extLst>
              <c:ext xmlns:c16="http://schemas.microsoft.com/office/drawing/2014/chart" uri="{C3380CC4-5D6E-409C-BE32-E72D297353CC}">
                <c16:uniqueId val="{00000012-8F43-46FB-A4F1-0E34AE05E1D4}"/>
              </c:ext>
            </c:extLst>
          </c:dPt>
          <c:dPt>
            <c:idx val="11"/>
            <c:marker>
              <c:spPr>
                <a:solidFill>
                  <a:srgbClr val="F2F2F2"/>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spPr>
              <a:solidFill>
                <a:srgbClr val="FFFFFF"/>
              </a:solidFill>
              <a:ln w="38100" cap="rnd" cmpd="sng" algn="ctr">
                <a:noFill/>
                <a:prstDash val="solid"/>
                <a:round/>
              </a:ln>
              <a:effectLst/>
              <a:extLst>
                <a:ext uri="{91240B29-F687-4F45-9708-019B960494DF}">
                  <a14:hiddenLine xmlns:a14="http://schemas.microsoft.com/office/drawing/2010/main" w="38100" cap="rnd" cmpd="sng" algn="ctr">
                    <a:solidFill>
                      <a:srgbClr val="156082"/>
                    </a:solidFill>
                    <a:prstDash val="solid"/>
                    <a:round/>
                  </a14:hiddenLine>
                </a:ext>
              </a:extLst>
            </c:spPr>
            <c:extLst>
              <c:ext xmlns:c16="http://schemas.microsoft.com/office/drawing/2014/chart" uri="{C3380CC4-5D6E-409C-BE32-E72D297353CC}">
                <c16:uniqueId val="{00000013-8F43-46FB-A4F1-0E34AE05E1D4}"/>
              </c:ext>
            </c:extLst>
          </c:dPt>
          <c:dLbls>
            <c:dLbl>
              <c:idx val="0"/>
              <c:tx>
                <c:strRef>
                  <c:f>'C03A'!$Y$13</c:f>
                  <c:strCache>
                    <c:ptCount val="1"/>
                    <c:pt idx="0">
                      <c:v>+3.9</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{B0D04630-D0C9-450C-A138-0D19D4D43043}</c15:txfldGUID>
                      <c15:f>'C03A'!$Y$13</c15:f>
                      <c15:dlblFieldTableCache>
                        <c:ptCount val="1"/>
                        <c:pt idx="0">
                          <c:v>+3.9</c:v>
                        </c:pt>
                      </c15:dlblFieldTableCache>
                    </c15:dlblFTEntry>
                  </c15:dlblFieldTable>
                  <c15:showDataLabelsRange val="0"/>
                </c:ext>
                <c:ext xmlns:c16="http://schemas.microsoft.com/office/drawing/2014/chart" uri="{C3380CC4-5D6E-409C-BE32-E72D297353CC}">
                  <c16:uniqueId val="{00000008-8F43-46FB-A4F1-0E34AE05E1D4}"/>
                </c:ext>
              </c:extLst>
            </c:dLbl>
            <c:dLbl>
              <c:idx val="1"/>
              <c:tx>
                <c:strRef>
                  <c:f>'C03A'!$Y$14</c:f>
                  <c:strCache>
                    <c:ptCount val="1"/>
                    <c:pt idx="0">
                      <c:v>+4.7</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{0258E1B9-09C4-4687-8847-1B318AD7E0CF}</c15:txfldGUID>
                      <c15:f>'C03A'!$Y$14</c15:f>
                      <c15:dlblFieldTableCache>
                        <c:ptCount val="1"/>
                        <c:pt idx="0">
                          <c:v>+4.7</c:v>
                        </c:pt>
                      </c15:dlblFieldTableCache>
                    </c15:dlblFTEntry>
                  </c15:dlblFieldTable>
                  <c15:showDataLabelsRange val="0"/>
                </c:ext>
                <c:ext xmlns:c16="http://schemas.microsoft.com/office/drawing/2014/chart" uri="{C3380CC4-5D6E-409C-BE32-E72D297353CC}">
                  <c16:uniqueId val="{00000009-8F43-46FB-A4F1-0E34AE05E1D4}"/>
                </c:ext>
              </c:extLst>
            </c:dLbl>
            <c:dLbl>
              <c:idx val="2"/>
              <c:tx>
                <c:strRef>
                  <c:f>'C03A'!$Y$15</c:f>
                  <c:strCache>
                    <c:ptCount val="1"/>
                    <c:pt idx="0">
                      <c:v>+9.6</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{AD96D248-6160-44D8-8569-E4C4F485BF84}</c15:txfldGUID>
                      <c15:f>'C03A'!$Y$15</c15:f>
                      <c15:dlblFieldTableCache>
                        <c:ptCount val="1"/>
                        <c:pt idx="0">
                          <c:v>+9.6</c:v>
                        </c:pt>
                      </c15:dlblFieldTableCache>
                    </c15:dlblFTEntry>
                  </c15:dlblFieldTable>
                  <c15:showDataLabelsRange val="0"/>
                </c:ext>
                <c:ext xmlns:c16="http://schemas.microsoft.com/office/drawing/2014/chart" uri="{C3380CC4-5D6E-409C-BE32-E72D297353CC}">
                  <c16:uniqueId val="{0000000A-8F43-46FB-A4F1-0E34AE05E1D4}"/>
                </c:ext>
              </c:extLst>
            </c:dLbl>
            <c:dLbl>
              <c:idx val="3"/>
              <c:tx>
                <c:strRef>
                  <c:f>'C03A'!$Y$16</c:f>
                  <c:strCache>
                    <c:ptCount val="1"/>
                    <c:pt idx="0">
                      <c:v>+6.5</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{276A3477-A9DE-4E9F-923F-E8CC9E8C810E}</c15:txfldGUID>
                      <c15:f>'C03A'!$Y$16</c15:f>
                      <c15:dlblFieldTableCache>
                        <c:ptCount val="1"/>
                        <c:pt idx="0">
                          <c:v>+6.5</c:v>
                        </c:pt>
                      </c15:dlblFieldTableCache>
                    </c15:dlblFTEntry>
                  </c15:dlblFieldTable>
                  <c15:showDataLabelsRange val="0"/>
                </c:ext>
                <c:ext xmlns:c16="http://schemas.microsoft.com/office/drawing/2014/chart" uri="{C3380CC4-5D6E-409C-BE32-E72D297353CC}">
                  <c16:uniqueId val="{0000000B-8F43-46FB-A4F1-0E34AE05E1D4}"/>
                </c:ext>
              </c:extLst>
            </c:dLbl>
            <c:dLbl>
              <c:idx val="4"/>
              <c:tx>
                <c:strRef>
                  <c:f>'C03A'!$Y$17</c:f>
                  <c:strCache>
                    <c:ptCount val="1"/>
                    <c:pt idx="0">
                      <c:v>+5.9</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{FBA6C5C7-D37E-49B5-A973-24C05A9C305A}</c15:txfldGUID>
                      <c15:f>'C03A'!$Y$17</c15:f>
                      <c15:dlblFieldTableCache>
                        <c:ptCount val="1"/>
                        <c:pt idx="0">
                          <c:v>+5.9</c:v>
                        </c:pt>
                      </c15:dlblFieldTableCache>
                    </c15:dlblFTEntry>
                  </c15:dlblFieldTable>
                  <c15:showDataLabelsRange val="0"/>
                </c:ext>
                <c:ext xmlns:c16="http://schemas.microsoft.com/office/drawing/2014/chart" uri="{C3380CC4-5D6E-409C-BE32-E72D297353CC}">
                  <c16:uniqueId val="{0000000C-8F43-46FB-A4F1-0E34AE05E1D4}"/>
                </c:ext>
              </c:extLst>
            </c:dLbl>
            <c:dLbl>
              <c:idx val="5"/>
              <c:tx>
                <c:strRef>
                  <c:f>'C03A'!$Y$18</c:f>
                  <c:strCache>
                    <c:ptCount val="1"/>
                    <c:pt idx="0">
                      <c:v>+2.5</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{BD658133-26E4-491B-98D6-416DF4F56505}</c15:txfldGUID>
                      <c15:f>'C03A'!$Y$18</c15:f>
                      <c15:dlblFieldTableCache>
                        <c:ptCount val="1"/>
                        <c:pt idx="0">
                          <c:v>+2.5</c:v>
                        </c:pt>
                      </c15:dlblFieldTableCache>
                    </c15:dlblFTEntry>
                  </c15:dlblFieldTable>
                  <c15:showDataLabelsRange val="0"/>
                </c:ext>
                <c:ext xmlns:c16="http://schemas.microsoft.com/office/drawing/2014/chart" uri="{C3380CC4-5D6E-409C-BE32-E72D297353CC}">
                  <c16:uniqueId val="{0000000D-8F43-46FB-A4F1-0E34AE05E1D4}"/>
                </c:ext>
              </c:extLst>
            </c:dLbl>
            <c:dLbl>
              <c:idx val="6"/>
              <c:tx>
                <c:strRef>
                  <c:f>'C03A'!$Y$19</c:f>
                  <c:strCache>
                    <c:ptCount val="1"/>
                    <c:pt idx="0">
                      <c:v>+5.4</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{824A2402-51C4-4536-85E7-3B1C1C731415}</c15:txfldGUID>
                      <c15:f>'C03A'!$Y$19</c15:f>
                      <c15:dlblFieldTableCache>
                        <c:ptCount val="1"/>
                        <c:pt idx="0">
                          <c:v>+5.4</c:v>
                        </c:pt>
                      </c15:dlblFieldTableCache>
                    </c15:dlblFTEntry>
                  </c15:dlblFieldTable>
                  <c15:showDataLabelsRange val="0"/>
                </c:ext>
                <c:ext xmlns:c16="http://schemas.microsoft.com/office/drawing/2014/chart" uri="{C3380CC4-5D6E-409C-BE32-E72D297353CC}">
                  <c16:uniqueId val="{0000000E-8F43-46FB-A4F1-0E34AE05E1D4}"/>
                </c:ext>
              </c:extLst>
            </c:dLbl>
            <c:dLbl>
              <c:idx val="7"/>
              <c:tx>
                <c:strRef>
                  <c:f>'C03A'!$Y$20</c:f>
                  <c:strCache>
                    <c:ptCount val="1"/>
                    <c:pt idx="0">
                      <c:v>+5.7</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{C8A9E7AC-219B-4EB8-BD84-1D90C1F7EE91}</c15:txfldGUID>
                      <c15:f>'C03A'!$Y$20</c15:f>
                      <c15:dlblFieldTableCache>
                        <c:ptCount val="1"/>
                        <c:pt idx="0">
                          <c:v>+5.7</c:v>
                        </c:pt>
                      </c15:dlblFieldTableCache>
                    </c15:dlblFTEntry>
                  </c15:dlblFieldTable>
                  <c15:showDataLabelsRange val="0"/>
                </c:ext>
                <c:ext xmlns:c16="http://schemas.microsoft.com/office/drawing/2014/chart" uri="{C3380CC4-5D6E-409C-BE32-E72D297353CC}">
                  <c16:uniqueId val="{0000000F-8F43-46FB-A4F1-0E34AE05E1D4}"/>
                </c:ext>
              </c:extLst>
            </c:dLbl>
            <c:dLbl>
              <c:idx val="8"/>
              <c:tx>
                <c:strRef>
                  <c:f>'C03A'!$Y$21</c:f>
                  <c:strCache>
                    <c:ptCount val="1"/>
                    <c:pt idx="0">
                      <c:v>+5.7</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{5894584E-03CF-4D30-95AC-13F36D38EA05}</c15:txfldGUID>
                      <c15:f>'C03A'!$Y$21</c15:f>
                      <c15:dlblFieldTableCache>
                        <c:ptCount val="1"/>
                        <c:pt idx="0">
                          <c:v>+5.7</c:v>
                        </c:pt>
                      </c15:dlblFieldTableCache>
                    </c15:dlblFTEntry>
                  </c15:dlblFieldTable>
                  <c15:showDataLabelsRange val="0"/>
                </c:ext>
                <c:ext xmlns:c16="http://schemas.microsoft.com/office/drawing/2014/chart" uri="{C3380CC4-5D6E-409C-BE32-E72D297353CC}">
                  <c16:uniqueId val="{00000010-8F43-46FB-A4F1-0E34AE05E1D4}"/>
                </c:ext>
              </c:extLst>
            </c:dLbl>
            <c:dLbl>
              <c:idx val="9"/>
              <c:tx>
                <c:strRef>
                  <c:f>'C03A'!$Y$22</c:f>
                  <c:strCache>
                    <c:ptCount val="1"/>
                    <c:pt idx="0">
                      <c:v>+5.7</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{D61F610D-5C79-417D-B775-79B43384F84C}</c15:txfldGUID>
                      <c15:f>'C03A'!$Y$22</c15:f>
                      <c15:dlblFieldTableCache>
                        <c:ptCount val="1"/>
                        <c:pt idx="0">
                          <c:v>+5.7</c:v>
                        </c:pt>
                      </c15:dlblFieldTableCache>
                    </c15:dlblFTEntry>
                  </c15:dlblFieldTable>
                  <c15:showDataLabelsRange val="0"/>
                </c:ext>
                <c:ext xmlns:c16="http://schemas.microsoft.com/office/drawing/2014/chart" uri="{C3380CC4-5D6E-409C-BE32-E72D297353CC}">
                  <c16:uniqueId val="{00000011-8F43-46FB-A4F1-0E34AE05E1D4}"/>
                </c:ext>
              </c:extLst>
            </c:dLbl>
            <c:dLbl>
              <c:idx val="10"/>
              <c:tx>
                <c:strRef>
                  <c:f>'C03A'!$Y$23</c:f>
                  <c:strCache>
                    <c:ptCount val="1"/>
                    <c:pt idx="0">
                      <c:v>+5.7</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{7EFDD020-3923-4B96-963F-39708A4F43F0}</c15:txfldGUID>
                      <c15:f>'C03A'!$Y$23</c15:f>
                      <c15:dlblFieldTableCache>
                        <c:ptCount val="1"/>
                        <c:pt idx="0">
                          <c:v>+5.7</c:v>
                        </c:pt>
                      </c15:dlblFieldTableCache>
                    </c15:dlblFTEntry>
                  </c15:dlblFieldTable>
                  <c15:showDataLabelsRange val="0"/>
                </c:ext>
                <c:ext xmlns:c16="http://schemas.microsoft.com/office/drawing/2014/chart" uri="{C3380CC4-5D6E-409C-BE32-E72D297353CC}">
                  <c16:uniqueId val="{00000012-8F43-46FB-A4F1-0E34AE05E1D4}"/>
                </c:ext>
              </c:extLst>
            </c:dLbl>
            <c:dLbl>
              <c:idx val="11"/>
              <c:tx>
                <c:strRef>
                  <c:f>'C03A'!$Y$24</c:f>
                  <c:strCache>
                    <c:ptCount val="1"/>
                    <c:pt idx="0">
                      <c:v>+5.7</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{709E86A0-18D9-4EEF-92A0-1B4FB417E9B6}</c15:txfldGUID>
                      <c15:f>'C03A'!$Y$24</c15:f>
                      <c15:dlblFieldTableCache>
                        <c:ptCount val="1"/>
                        <c:pt idx="0">
                          <c:v>+5.7</c:v>
                        </c:pt>
                      </c15:dlblFieldTableCache>
                    </c15:dlblFTEntry>
                  </c15:dlblFieldTable>
                  <c15:showDataLabelsRange val="0"/>
                </c:ext>
                <c:ext xmlns:c16="http://schemas.microsoft.com/office/drawing/2014/chart" uri="{C3380CC4-5D6E-409C-BE32-E72D297353CC}">
                  <c16:uniqueId val="{00000013-8F43-46FB-A4F1-0E34AE05E1D4}"/>
                </c:ext>
              </c:extLst>
            </c:dLbl>
            <c:numFmt formatCode="\+0.0;\-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Dir val="y"/>
            <c:errBarType val="minus"/>
            <c:errValType val="cust"/>
            <c:noEndCap val="1"/>
            <c:minus>
              <c:numRef>
                <c:f>'C03A'!$AB$13:$AB$24</c:f>
                <c:numCache>
                  <c:formatCode>General</c:formatCode>
                  <c:ptCount val="12"/>
                  <c:pt idx="0">
                    <c:v>0.40727608730737247</c:v>
                  </c:pt>
                  <c:pt idx="1">
                    <c:v>0.48352748371475546</c:v>
                  </c:pt>
                  <c:pt idx="2">
                    <c:v>1</c:v>
                  </c:pt>
                  <c:pt idx="3">
                    <c:v>0.67030155391808266</c:v>
                  </c:pt>
                  <c:pt idx="4">
                    <c:v>0.61562223862443222</c:v>
                  </c:pt>
                  <c:pt idx="5">
                    <c:v>0.26274887537306291</c:v>
                  </c:pt>
                  <c:pt idx="6">
                    <c:v>0.565468378181605</c:v>
                  </c:pt>
                  <c:pt idx="7">
                    <c:v>0.59328977683682127</c:v>
                  </c:pt>
                  <c:pt idx="8">
                    <c:v>0.59336774513977586</c:v>
                  </c:pt>
                  <c:pt idx="9">
                    <c:v>0.5936563280770355</c:v>
                  </c:pt>
                  <c:pt idx="10">
                    <c:v>0.59401771744516896</c:v>
                  </c:pt>
                  <c:pt idx="11">
                    <c:v>0.59424923210816583</c:v>
                  </c:pt>
                </c:numCache>
              </c:numRef>
            </c:minus>
            <c:spPr>
              <a:ln w="47625">
                <a:solidFill>
                  <a:srgbClr val="8CB400"/>
                </a:solidFill>
              </a:ln>
            </c:spPr>
          </c:errBars>
          <c:cat>
            <c:strRef>
              <c:f>'C03A'!$A$13:$A$24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'C03A'!$X$13:$X$24</c:f>
              <c:numCache>
                <c:formatCode>0.000000</c:formatCode>
                <c:ptCount val="12"/>
                <c:pt idx="0">
                  <c:v>0.40727608730737247</c:v>
                </c:pt>
                <c:pt idx="1">
                  <c:v>0.48352748371475546</c:v>
                </c:pt>
                <c:pt idx="2">
                  <c:v>1</c:v>
                </c:pt>
                <c:pt idx="3">
                  <c:v>0.67030155391808266</c:v>
                </c:pt>
                <c:pt idx="4">
                  <c:v>0.61562223862443222</c:v>
                </c:pt>
                <c:pt idx="5">
                  <c:v>0.26274887537306291</c:v>
                </c:pt>
                <c:pt idx="6">
                  <c:v>0.565468378181605</c:v>
                </c:pt>
                <c:pt idx="7">
                  <c:v>0.59328977683682127</c:v>
                </c:pt>
                <c:pt idx="8">
                  <c:v>0.59336774513977586</c:v>
                </c:pt>
                <c:pt idx="9">
                  <c:v>0.5936563280770355</c:v>
                </c:pt>
                <c:pt idx="10">
                  <c:v>0.59401771744516896</c:v>
                </c:pt>
                <c:pt idx="11">
                  <c:v>0.59424923210816583</c:v>
                </c:pt>
              </c:numCache>
            </c:numRef>
          </c:val>
          <c:smooth val="0"/>
          <c:extLst>
            <c:ext xmlns:c16="http://schemas.microsoft.com/office/drawing/2014/chart" uri="{C3380CC4-5D6E-409C-BE32-E72D297353CC}">
              <c16:uniqueId val="{00000007-8F43-46FB-A4F1-0E34AE05E1D4}"/>
            </c:ext>
          </c:extLst>
        </c:ser>
        <c:ser>
          <c:idx val="1"/>
          <c:order val="1"/>
          <c:tx>
            <c:v>ΔPY% down</c:v>
          </c:tx>
          <c:spPr>
            <a:ln w="38100">
              <a:noFill/>
            </a:ln>
          </c:spPr>
          <c:marker>
            <c:symbol val="square"/>
            <c:size val="5"/>
          </c:marker>
          <c:dPt>
            <c:idx val="0"/>
            <c:marker>
              <c:spPr>
                <a:solidFill>
                  <a:srgbClr val="404040"/>
                </a:solidFill>
                <a:ln>
                  <a:solidFill>
                    <a:srgbClr val="404040"/>
                  </a:solidFill>
                  <a:prstDash val="solid"/>
                </a:ln>
              </c:spPr>
            </c:marker>
            <c:bubble3D val="0"/>
            <c:extLst>
              <c:ext xmlns:c16="http://schemas.microsoft.com/office/drawing/2014/chart" uri="{C3380CC4-5D6E-409C-BE32-E72D297353CC}">
                <c16:uniqueId val="{00000015-8F43-46FB-A4F1-0E34AE05E1D4}"/>
              </c:ext>
            </c:extLst>
          </c:dPt>
          <c:dPt>
            <c:idx val="1"/>
            <c:marker>
              <c:spPr>
                <a:solidFill>
                  <a:srgbClr val="404040"/>
                </a:solidFill>
                <a:ln>
                  <a:solidFill>
                    <a:srgbClr val="404040"/>
                  </a:solidFill>
                  <a:prstDash val="solid"/>
                </a:ln>
              </c:spPr>
            </c:marker>
            <c:bubble3D val="0"/>
            <c:extLst>
              <c:ext xmlns:c16="http://schemas.microsoft.com/office/drawing/2014/chart" uri="{C3380CC4-5D6E-409C-BE32-E72D297353CC}">
                <c16:uniqueId val="{00000016-8F43-46FB-A4F1-0E34AE05E1D4}"/>
              </c:ext>
            </c:extLst>
          </c:dPt>
          <c:dPt>
            <c:idx val="2"/>
            <c:marker>
              <c:spPr>
                <a:solidFill>
                  <a:srgbClr val="404040"/>
                </a:solidFill>
                <a:ln>
                  <a:solidFill>
                    <a:srgbClr val="404040"/>
                  </a:solidFill>
                  <a:prstDash val="solid"/>
                </a:ln>
              </c:spPr>
            </c:marker>
            <c:bubble3D val="0"/>
            <c:extLst>
              <c:ext xmlns:c16="http://schemas.microsoft.com/office/drawing/2014/chart" uri="{C3380CC4-5D6E-409C-BE32-E72D297353CC}">
                <c16:uniqueId val="{00000017-8F43-46FB-A4F1-0E34AE05E1D4}"/>
              </c:ext>
            </c:extLst>
          </c:dPt>
          <c:dPt>
            <c:idx val="3"/>
            <c:marker>
              <c:spPr>
                <a:solidFill>
                  <a:srgbClr val="404040"/>
                </a:solidFill>
                <a:ln>
                  <a:solidFill>
                    <a:srgbClr val="404040"/>
                  </a:solidFill>
                  <a:prstDash val="solid"/>
                </a:ln>
              </c:spPr>
            </c:marker>
            <c:bubble3D val="0"/>
            <c:extLst>
              <c:ext xmlns:c16="http://schemas.microsoft.com/office/drawing/2014/chart" uri="{C3380CC4-5D6E-409C-BE32-E72D297353CC}">
                <c16:uniqueId val="{00000018-8F43-46FB-A4F1-0E34AE05E1D4}"/>
              </c:ext>
            </c:extLst>
          </c:dPt>
          <c:dPt>
            <c:idx val="4"/>
            <c:marker>
              <c:spPr>
                <a:solidFill>
                  <a:srgbClr val="404040"/>
                </a:solidFill>
                <a:ln>
                  <a:solidFill>
                    <a:srgbClr val="404040"/>
                  </a:solidFill>
                  <a:prstDash val="solid"/>
                </a:ln>
              </c:spPr>
            </c:marker>
            <c:bubble3D val="0"/>
            <c:extLst>
              <c:ext xmlns:c16="http://schemas.microsoft.com/office/drawing/2014/chart" uri="{C3380CC4-5D6E-409C-BE32-E72D297353CC}">
                <c16:uniqueId val="{00000019-8F43-46FB-A4F1-0E34AE05E1D4}"/>
              </c:ext>
            </c:extLst>
          </c:dPt>
          <c:dPt>
            <c:idx val="5"/>
            <c:marker>
              <c:spPr>
                <a:solidFill>
                  <a:srgbClr val="404040"/>
                </a:solidFill>
                <a:ln>
                  <a:solidFill>
                    <a:srgbClr val="404040"/>
                  </a:solidFill>
                  <a:prstDash val="solid"/>
                </a:ln>
              </c:spPr>
            </c:marker>
            <c:bubble3D val="0"/>
            <c:extLst>
              <c:ext xmlns:c16="http://schemas.microsoft.com/office/drawing/2014/chart" uri="{C3380CC4-5D6E-409C-BE32-E72D297353CC}">
                <c16:uniqueId val="{0000001A-8F43-46FB-A4F1-0E34AE05E1D4}"/>
              </c:ext>
            </c:extLst>
          </c:dPt>
          <c:dPt>
            <c:idx val="6"/>
            <c:marker>
              <c:spPr>
                <a:solidFill>
                  <a:srgbClr val="404040"/>
                </a:solidFill>
                <a:ln>
                  <a:solidFill>
                    <a:srgbClr val="404040"/>
                  </a:solidFill>
                  <a:prstDash val="solid"/>
                </a:ln>
              </c:spPr>
            </c:marker>
            <c:bubble3D val="0"/>
            <c:extLst>
              <c:ext xmlns:c16="http://schemas.microsoft.com/office/drawing/2014/chart" uri="{C3380CC4-5D6E-409C-BE32-E72D297353CC}">
                <c16:uniqueId val="{0000001B-8F43-46FB-A4F1-0E34AE05E1D4}"/>
              </c:ext>
            </c:extLst>
          </c:dPt>
          <c:dPt>
            <c:idx val="7"/>
            <c:marker>
              <c:spPr>
                <a:solidFill>
                  <a:srgbClr val="F2F2F2"/>
                </a:solidFill>
                <a:ln>
                  <a:solidFill>
                    <a:srgbClr val="404040"/>
                  </a:solidFill>
                  <a:prstDash val="solid"/>
                </a:ln>
              </c:spPr>
            </c:marker>
            <c:bubble3D val="0"/>
            <c:spPr>
              <a:solidFill>
                <a:srgbClr val="0B0200"/>
              </a:solidFill>
              <a:ln w="38100">
                <a:noFill/>
              </a:ln>
            </c:spPr>
            <c:extLst>
              <c:ext xmlns:c16="http://schemas.microsoft.com/office/drawing/2014/chart" uri="{C3380CC4-5D6E-409C-BE32-E72D297353CC}">
                <c16:uniqueId val="{0000001C-8F43-46FB-A4F1-0E34AE05E1D4}"/>
              </c:ext>
            </c:extLst>
          </c:dPt>
          <c:dPt>
            <c:idx val="8"/>
            <c:marker>
              <c:spPr>
                <a:solidFill>
                  <a:srgbClr val="F2F2F2"/>
                </a:solidFill>
                <a:ln>
                  <a:solidFill>
                    <a:srgbClr val="404040"/>
                  </a:solidFill>
                  <a:prstDash val="solid"/>
                </a:ln>
              </c:spPr>
            </c:marker>
            <c:bubble3D val="0"/>
            <c:spPr>
              <a:solidFill>
                <a:srgbClr val="0B0200"/>
              </a:solidFill>
              <a:ln w="38100">
                <a:noFill/>
              </a:ln>
            </c:spPr>
            <c:extLst>
              <c:ext xmlns:c16="http://schemas.microsoft.com/office/drawing/2014/chart" uri="{C3380CC4-5D6E-409C-BE32-E72D297353CC}">
                <c16:uniqueId val="{0000001D-8F43-46FB-A4F1-0E34AE05E1D4}"/>
              </c:ext>
            </c:extLst>
          </c:dPt>
          <c:dPt>
            <c:idx val="9"/>
            <c:marker>
              <c:spPr>
                <a:solidFill>
                  <a:srgbClr val="F2F2F2"/>
                </a:solidFill>
                <a:ln>
                  <a:solidFill>
                    <a:srgbClr val="404040"/>
                  </a:solidFill>
                  <a:prstDash val="solid"/>
                </a:ln>
              </c:spPr>
            </c:marker>
            <c:bubble3D val="0"/>
            <c:spPr>
              <a:solidFill>
                <a:srgbClr val="0B0200"/>
              </a:solidFill>
              <a:ln w="38100">
                <a:noFill/>
              </a:ln>
            </c:spPr>
            <c:extLst>
              <c:ext xmlns:c16="http://schemas.microsoft.com/office/drawing/2014/chart" uri="{C3380CC4-5D6E-409C-BE32-E72D297353CC}">
                <c16:uniqueId val="{0000001E-8F43-46FB-A4F1-0E34AE05E1D4}"/>
              </c:ext>
            </c:extLst>
          </c:dPt>
          <c:dPt>
            <c:idx val="10"/>
            <c:marker>
              <c:spPr>
                <a:solidFill>
                  <a:srgbClr val="F2F2F2"/>
                </a:solidFill>
                <a:ln>
                  <a:solidFill>
                    <a:srgbClr val="404040"/>
                  </a:solidFill>
                  <a:prstDash val="solid"/>
                </a:ln>
              </c:spPr>
            </c:marker>
            <c:bubble3D val="0"/>
            <c:spPr>
              <a:solidFill>
                <a:srgbClr val="0B0200"/>
              </a:solidFill>
              <a:ln w="38100">
                <a:noFill/>
              </a:ln>
            </c:spPr>
            <c:extLst>
              <c:ext xmlns:c16="http://schemas.microsoft.com/office/drawing/2014/chart" uri="{C3380CC4-5D6E-409C-BE32-E72D297353CC}">
                <c16:uniqueId val="{0000001F-8F43-46FB-A4F1-0E34AE05E1D4}"/>
              </c:ext>
            </c:extLst>
          </c:dPt>
          <c:dPt>
            <c:idx val="11"/>
            <c:marker>
              <c:spPr>
                <a:solidFill>
                  <a:srgbClr val="F2F2F2"/>
                </a:solidFill>
                <a:ln>
                  <a:solidFill>
                    <a:srgbClr val="404040"/>
                  </a:solidFill>
                  <a:prstDash val="solid"/>
                </a:ln>
              </c:spPr>
            </c:marker>
            <c:bubble3D val="0"/>
            <c:spPr>
              <a:solidFill>
                <a:srgbClr val="0B0200"/>
              </a:solidFill>
              <a:ln w="38100">
                <a:noFill/>
              </a:ln>
            </c:spPr>
            <c:extLst>
              <c:ext xmlns:c16="http://schemas.microsoft.com/office/drawing/2014/chart" uri="{C3380CC4-5D6E-409C-BE32-E72D297353CC}">
                <c16:uniqueId val="{00000020-8F43-46FB-A4F1-0E34AE05E1D4}"/>
              </c:ext>
            </c:extLst>
          </c:dPt>
          <c:dLbls>
            <c:dLbl>
              <c:idx val="0"/>
              <c:tx>
                <c:strRef>
                  <c:f>'C03A'!$AA$13</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{ABB74857-CCD0-4B18-8281-AC8BC368A42A}</c15:txfldGUID>
                      <c15:f>'C03A'!$AA$13</c15:f>
                      <c15:dlblFieldTableCache>
                        <c:ptCount val="1"/>
                      </c15:dlblFieldTableCache>
                    </c15:dlblFTEntry>
                  </c15:dlblFieldTable>
                  <c15:showDataLabelsRange val="0"/>
                </c:ext>
                <c:ext xmlns:c16="http://schemas.microsoft.com/office/drawing/2014/chart" uri="{C3380CC4-5D6E-409C-BE32-E72D297353CC}">
                  <c16:uniqueId val="{00000015-8F43-46FB-A4F1-0E34AE05E1D4}"/>
                </c:ext>
              </c:extLst>
            </c:dLbl>
            <c:dLbl>
              <c:idx val="1"/>
              <c:tx>
                <c:strRef>
                  <c:f>'C03A'!$AA$14</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{F927D496-5FC0-4C0A-8441-90DC0D845770}</c15:txfldGUID>
                      <c15:f>'C03A'!$AA$14</c15:f>
                      <c15:dlblFieldTableCache>
                        <c:ptCount val="1"/>
                      </c15:dlblFieldTableCache>
                    </c15:dlblFTEntry>
                  </c15:dlblFieldTable>
                  <c15:showDataLabelsRange val="0"/>
                </c:ext>
                <c:ext xmlns:c16="http://schemas.microsoft.com/office/drawing/2014/chart" uri="{C3380CC4-5D6E-409C-BE32-E72D297353CC}">
                  <c16:uniqueId val="{00000016-8F43-46FB-A4F1-0E34AE05E1D4}"/>
                </c:ext>
              </c:extLst>
            </c:dLbl>
            <c:dLbl>
              <c:idx val="2"/>
              <c:tx>
                <c:strRef>
                  <c:f>'C03A'!$AA$15</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{29B6F661-E8B6-4B59-93DE-F3FC473DD9BE}</c15:txfldGUID>
                      <c15:f>'C03A'!$AA$15</c15:f>
                      <c15:dlblFieldTableCache>
                        <c:ptCount val="1"/>
                      </c15:dlblFieldTableCache>
                    </c15:dlblFTEntry>
                  </c15:dlblFieldTable>
                  <c15:showDataLabelsRange val="0"/>
                </c:ext>
                <c:ext xmlns:c16="http://schemas.microsoft.com/office/drawing/2014/chart" uri="{C3380CC4-5D6E-409C-BE32-E72D297353CC}">
                  <c16:uniqueId val="{00000017-8F43-46FB-A4F1-0E34AE05E1D4}"/>
                </c:ext>
              </c:extLst>
            </c:dLbl>
            <c:dLbl>
              <c:idx val="3"/>
              <c:tx>
                <c:strRef>
                  <c:f>'C03A'!$AA$16</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{52DABC56-A33E-41EF-BA08-F70C3F3FE06E}</c15:txfldGUID>
                      <c15:f>'C03A'!$AA$16</c15:f>
                      <c15:dlblFieldTableCache>
                        <c:ptCount val="1"/>
                      </c15:dlblFieldTableCache>
                    </c15:dlblFTEntry>
                  </c15:dlblFieldTable>
                  <c15:showDataLabelsRange val="0"/>
                </c:ext>
                <c:ext xmlns:c16="http://schemas.microsoft.com/office/drawing/2014/chart" uri="{C3380CC4-5D6E-409C-BE32-E72D297353CC}">
                  <c16:uniqueId val="{00000018-8F43-46FB-A4F1-0E34AE05E1D4}"/>
                </c:ext>
              </c:extLst>
            </c:dLbl>
            <c:dLbl>
              <c:idx val="4"/>
              <c:tx>
                <c:strRef>
                  <c:f>'C03A'!$AA$17</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{590CC71A-6711-4626-A7FD-DDD5DB1987D5}</c15:txfldGUID>
                      <c15:f>'C03A'!$AA$17</c15:f>
                      <c15:dlblFieldTableCache>
                        <c:ptCount val="1"/>
                      </c15:dlblFieldTableCache>
                    </c15:dlblFTEntry>
                  </c15:dlblFieldTable>
                  <c15:showDataLabelsRange val="0"/>
                </c:ext>
                <c:ext xmlns:c16="http://schemas.microsoft.com/office/drawing/2014/chart" uri="{C3380CC4-5D6E-409C-BE32-E72D297353CC}">
                  <c16:uniqueId val="{00000019-8F43-46FB-A4F1-0E34AE05E1D4}"/>
                </c:ext>
              </c:extLst>
            </c:dLbl>
            <c:dLbl>
              <c:idx val="5"/>
              <c:tx>
                <c:strRef>
                  <c:f>'C03A'!$AA$18</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{2D2427F5-5550-40B3-A464-05046E9090A1}</c15:txfldGUID>
                      <c15:f>'C03A'!$AA$18</c15:f>
                      <c15:dlblFieldTableCache>
                        <c:ptCount val="1"/>
                      </c15:dlblFieldTableCache>
                    </c15:dlblFTEntry>
                  </c15:dlblFieldTable>
                  <c15:showDataLabelsRange val="0"/>
                </c:ext>
                <c:ext xmlns:c16="http://schemas.microsoft.com/office/drawing/2014/chart" uri="{C3380CC4-5D6E-409C-BE32-E72D297353CC}">
                  <c16:uniqueId val="{0000001A-8F43-46FB-A4F1-0E34AE05E1D4}"/>
                </c:ext>
              </c:extLst>
            </c:dLbl>
            <c:dLbl>
              <c:idx val="6"/>
              <c:tx>
                <c:strRef>
                  <c:f>'C03A'!$AA$19</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{CBE7F078-620D-4E42-9A85-26803331AC0E}</c15:txfldGUID>
                      <c15:f>'C03A'!$AA$19</c15:f>
                      <c15:dlblFieldTableCache>
                        <c:ptCount val="1"/>
                      </c15:dlblFieldTableCache>
                    </c15:dlblFTEntry>
                  </c15:dlblFieldTable>
                  <c15:showDataLabelsRange val="0"/>
                </c:ext>
                <c:ext xmlns:c16="http://schemas.microsoft.com/office/drawing/2014/chart" uri="{C3380CC4-5D6E-409C-BE32-E72D297353CC}">
                  <c16:uniqueId val="{0000001B-8F43-46FB-A4F1-0E34AE05E1D4}"/>
                </c:ext>
              </c:extLst>
            </c:dLbl>
            <c:dLbl>
              <c:idx val="7"/>
              <c:tx>
                <c:strRef>
                  <c:f>'C03A'!$AA$20</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{492F6207-73B1-42B5-9BD9-E38BB01584DC}</c15:txfldGUID>
                      <c15:f>'C03A'!$AA$20</c15:f>
                      <c15:dlblFieldTableCache>
                        <c:ptCount val="1"/>
                      </c15:dlblFieldTableCache>
                    </c15:dlblFTEntry>
                  </c15:dlblFieldTable>
                  <c15:showDataLabelsRange val="0"/>
                </c:ext>
                <c:ext xmlns:c16="http://schemas.microsoft.com/office/drawing/2014/chart" uri="{C3380CC4-5D6E-409C-BE32-E72D297353CC}">
                  <c16:uniqueId val="{0000001C-8F43-46FB-A4F1-0E34AE05E1D4}"/>
                </c:ext>
              </c:extLst>
            </c:dLbl>
            <c:dLbl>
              <c:idx val="8"/>
              <c:tx>
                <c:strRef>
                  <c:f>'C03A'!$AA$21</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{2DC4A156-C40B-40D2-A3AF-BB1629E1B3EE}</c15:txfldGUID>
                      <c15:f>'C03A'!$AA$21</c15:f>
                      <c15:dlblFieldTableCache>
                        <c:ptCount val="1"/>
                      </c15:dlblFieldTableCache>
                    </c15:dlblFTEntry>
                  </c15:dlblFieldTable>
                  <c15:showDataLabelsRange val="0"/>
                </c:ext>
                <c:ext xmlns:c16="http://schemas.microsoft.com/office/drawing/2014/chart" uri="{C3380CC4-5D6E-409C-BE32-E72D297353CC}">
                  <c16:uniqueId val="{0000001D-8F43-46FB-A4F1-0E34AE05E1D4}"/>
                </c:ext>
              </c:extLst>
            </c:dLbl>
            <c:dLbl>
              <c:idx val="9"/>
              <c:tx>
                <c:strRef>
                  <c:f>'C03A'!$AA$22</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{94AB975F-0B0C-4237-A9DB-FBB3D2BECBB7}</c15:txfldGUID>
                      <c15:f>'C03A'!$AA$22</c15:f>
                      <c15:dlblFieldTableCache>
                        <c:ptCount val="1"/>
                      </c15:dlblFieldTableCache>
                    </c15:dlblFTEntry>
                  </c15:dlblFieldTable>
                  <c15:showDataLabelsRange val="0"/>
                </c:ext>
                <c:ext xmlns:c16="http://schemas.microsoft.com/office/drawing/2014/chart" uri="{C3380CC4-5D6E-409C-BE32-E72D297353CC}">
                  <c16:uniqueId val="{0000001E-8F43-46FB-A4F1-0E34AE05E1D4}"/>
                </c:ext>
              </c:extLst>
            </c:dLbl>
            <c:dLbl>
              <c:idx val="10"/>
              <c:tx>
                <c:strRef>
                  <c:f>'C03A'!$AA$23</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{F0955ED0-B9D5-44B0-9AC7-39F6F266EFCC}</c15:txfldGUID>
                      <c15:f>'C03A'!$AA$23</c15:f>
                      <c15:dlblFieldTableCache>
                        <c:ptCount val="1"/>
                      </c15:dlblFieldTableCache>
                    </c15:dlblFTEntry>
                  </c15:dlblFieldTable>
                  <c15:showDataLabelsRange val="0"/>
                </c:ext>
                <c:ext xmlns:c16="http://schemas.microsoft.com/office/drawing/2014/chart" uri="{C3380CC4-5D6E-409C-BE32-E72D297353CC}">
                  <c16:uniqueId val="{0000001F-8F43-46FB-A4F1-0E34AE05E1D4}"/>
                </c:ext>
              </c:extLst>
            </c:dLbl>
            <c:dLbl>
              <c:idx val="11"/>
              <c:tx>
                <c:strRef>
                  <c:f>'C03A'!$AA$24</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{62A9F412-CB10-4F84-80B1-A0D6D276CF66}</c15:txfldGUID>
                      <c15:f>'C03A'!$AA$24</c15:f>
                      <c15:dlblFieldTableCache>
                        <c:ptCount val="1"/>
                      </c15:dlblFieldTableCache>
                    </c15:dlblFTEntry>
                  </c15:dlblFieldTable>
                  <c15:showDataLabelsRange val="0"/>
                </c:ext>
                <c:ext xmlns:c16="http://schemas.microsoft.com/office/drawing/2014/chart" uri="{C3380CC4-5D6E-409C-BE32-E72D297353CC}">
                  <c16:uniqueId val="{00000020-8F43-46FB-A4F1-0E34AE05E1D4}"/>
                </c:ext>
              </c:extLst>
            </c:dLbl>
            <c:numFmt formatCode="\+0.0;\-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Dir val="y"/>
            <c:errBarType val="plus"/>
            <c:errValType val="cust"/>
            <c:noEndCap val="1"/>
            <c:plus>
              <c:numRef>
                <c:f>'C03A'!$AC$13:$AC$24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plus>
            <c:spPr>
              <a:ln w="47625">
                <a:solidFill>
                  <a:srgbClr val="FF0000"/>
                </a:solidFill>
              </a:ln>
            </c:spPr>
          </c:errBars>
          <c:cat>
            <c:strRef>
              <c:f>'C03A'!$A$13:$A$24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'C03A'!$Z$13:$Z$24</c:f>
              <c:numCache>
                <c:formatCode>0.000000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0"/>
          <c:extLst>
            <c:ext xmlns:c16="http://schemas.microsoft.com/office/drawing/2014/chart" uri="{C3380CC4-5D6E-409C-BE32-E72D297353CC}">
              <c16:uniqueId val="{00000014-8F43-46FB-A4F1-0E34AE05E1D4}"/>
            </c:ext>
          </c:extLst>
        </c:ser>
        <c:dLbls>
          <c:showLegendKey val="0"/>
          <c:showVal val="0"/>
          <c:showCatName val="0"/>
          <c:showSerName val="0"/>
          <c:showPercent val="0"/>
          <c:showBubbleSize val="0"/>
        </c:dLbls>
        <c:marker val="1"/>
        <c:smooth val="0"/>
        <c:axId val="1195954736"/>
        <c:axId val="1095849232"/>
      </c:lineChart>
      <c:catAx>
        <c:axId val="1195954736"/>
        <c:scaling>
          <c:orientation val="minMax"/>
        </c:scaling>
        <c:delete val="0"/>
        <c:axPos val="b"/>
        <c:numFmt formatCode="General" sourceLinked="1"/>
        <c:majorTickMark val="none"/>
        <c:minorTickMark val="none"/>
        <c:tickLblPos val="low"/>
        <c:spPr>
          <a:ln w="47625">
            <a:solidFill>
              <a:srgbClr val="808080"/>
            </a:solidFill>
          </a:ln>
        </c:spPr>
        <c:txPr>
          <a:bodyPr/>
          <a:lstStyle/>
          <a:p>
            <a:pPr>
              <a:defRPr sz="900">
                <a:latin typeface="Arial"/>
                <a:ea typeface="Arial"/>
                <a:cs typeface="Arial"/>
              </a:defRPr>
            </a:pPr>
            <a:endParaRPr lang="en-US"/>
          </a:p>
        </c:txPr>
        <c:crossAx val="1095849232"/>
        <c:crosses val="autoZero"/>
        <c:auto val="1"/>
        <c:lblAlgn val="ctr"/>
        <c:lblOffset val="100"/>
        <c:noMultiLvlLbl val="0"/>
      </c:catAx>
      <c:valAx>
        <c:axId val="1095849232"/>
        <c:scaling>
          <c:orientation val="minMax"/>
          <c:max val="1.3294797687861271"/>
          <c:min val="-0.86705202312138729"/>
        </c:scaling>
        <c:delete val="0"/>
        <c:axPos val="l"/>
        <c:numFmt formatCode="0.00000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195954736"/>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779532967032968"/>
          <c:y val="9.6153846153846159E-2"/>
          <c:w val="0.86923076923076925"/>
          <c:h val="0.80769230769230771"/>
        </c:manualLayout>
      </c:layout>
      <c:barChart>
        <c:barDir val="col"/>
        <c:grouping val="clustered"/>
        <c:varyColors val="0"/>
        <c:ser>
          <c:idx val="0"/>
          <c:order val="0"/>
          <c:tx>
            <c:v>ΔPY</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dLbls>
            <c:dLbl>
              <c:idx val="0"/>
              <c:tx>
                <c:strRef>
                  <c:f>'C03A'!$U$13</c:f>
                  <c:strCache>
                    <c:ptCount val="1"/>
                    <c:pt idx="0">
                      <c:v>+254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{83FA0C97-01DA-49C2-B48B-085C27E1CF14}</c15:txfldGUID>
                      <c15:f>'C03A'!$U$13</c15:f>
                      <c15:dlblFieldTableCache>
                        <c:ptCount val="1"/>
                        <c:pt idx="0">
                          <c:v>+254</c:v>
                        </c:pt>
                      </c15:dlblFieldTableCache>
                    </c15:dlblFTEntry>
                  </c15:dlblFieldTable>
                  <c15:showDataLabelsRange val="0"/>
                </c:ext>
                <c:ext xmlns:c16="http://schemas.microsoft.com/office/drawing/2014/chart" uri="{C3380CC4-5D6E-409C-BE32-E72D297353CC}">
                  <c16:uniqueId val="{00000008-FA65-4A04-9C0E-7B4A744509DB}"/>
                </c:ext>
              </c:extLst>
            </c:dLbl>
            <c:dLbl>
              <c:idx val="1"/>
              <c:tx>
                <c:strRef>
                  <c:f>'C03A'!$U$14</c:f>
                  <c:strCache>
                    <c:ptCount val="1"/>
                    <c:pt idx="0">
                      <c:v>+311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{F6CB934C-E0ED-466D-AF16-055FA248DD2F}</c15:txfldGUID>
                      <c15:f>'C03A'!$U$14</c15:f>
                      <c15:dlblFieldTableCache>
                        <c:ptCount val="1"/>
                        <c:pt idx="0">
                          <c:v>+311</c:v>
                        </c:pt>
                      </c15:dlblFieldTableCache>
                    </c15:dlblFTEntry>
                  </c15:dlblFieldTable>
                  <c15:showDataLabelsRange val="0"/>
                </c:ext>
                <c:ext xmlns:c16="http://schemas.microsoft.com/office/drawing/2014/chart" uri="{C3380CC4-5D6E-409C-BE32-E72D297353CC}">
                  <c16:uniqueId val="{00000009-FA65-4A04-9C0E-7B4A744509DB}"/>
                </c:ext>
              </c:extLst>
            </c:dLbl>
            <c:dLbl>
              <c:idx val="2"/>
              <c:tx>
                <c:strRef>
                  <c:f>'C03A'!$U$15</c:f>
                  <c:strCache>
                    <c:ptCount val="1"/>
                    <c:pt idx="0">
                      <c:v>+870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{03F0F589-8CE0-4409-BFCD-3C6FE7612C57}</c15:txfldGUID>
                      <c15:f>'C03A'!$U$15</c15:f>
                      <c15:dlblFieldTableCache>
                        <c:ptCount val="1"/>
                        <c:pt idx="0">
                          <c:v>+870</c:v>
                        </c:pt>
                      </c15:dlblFieldTableCache>
                    </c15:dlblFTEntry>
                  </c15:dlblFieldTable>
                  <c15:showDataLabelsRange val="0"/>
                </c:ext>
                <c:ext xmlns:c16="http://schemas.microsoft.com/office/drawing/2014/chart" uri="{C3380CC4-5D6E-409C-BE32-E72D297353CC}">
                  <c16:uniqueId val="{0000000A-FA65-4A04-9C0E-7B4A744509DB}"/>
                </c:ext>
              </c:extLst>
            </c:dLbl>
            <c:dLbl>
              <c:idx val="3"/>
              <c:tx>
                <c:strRef>
                  <c:f>'C03A'!$U$16</c:f>
                  <c:strCache>
                    <c:ptCount val="1"/>
                    <c:pt idx="0">
                      <c:v>+441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{DB91EDC4-6F32-4868-9105-9257287B1A68}</c15:txfldGUID>
                      <c15:f>'C03A'!$U$16</c15:f>
                      <c15:dlblFieldTableCache>
                        <c:ptCount val="1"/>
                        <c:pt idx="0">
                          <c:v>+441</c:v>
                        </c:pt>
                      </c15:dlblFieldTableCache>
                    </c15:dlblFTEntry>
                  </c15:dlblFieldTable>
                  <c15:showDataLabelsRange val="0"/>
                </c:ext>
                <c:ext xmlns:c16="http://schemas.microsoft.com/office/drawing/2014/chart" uri="{C3380CC4-5D6E-409C-BE32-E72D297353CC}">
                  <c16:uniqueId val="{0000000B-FA65-4A04-9C0E-7B4A744509DB}"/>
                </c:ext>
              </c:extLst>
            </c:dLbl>
            <c:dLbl>
              <c:idx val="4"/>
              <c:tx>
                <c:strRef>
                  <c:f>'C03A'!$U$17</c:f>
                  <c:strCache>
                    <c:ptCount val="1"/>
                    <c:pt idx="0">
                      <c:v>+393</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{5DFBEAF6-910C-4720-818C-4EFD4BF47E42}</c15:txfldGUID>
                      <c15:f>'C03A'!$U$17</c15:f>
                      <c15:dlblFieldTableCache>
                        <c:ptCount val="1"/>
                        <c:pt idx="0">
                          <c:v>+393</c:v>
                        </c:pt>
                      </c15:dlblFieldTableCache>
                    </c15:dlblFTEntry>
                  </c15:dlblFieldTable>
                  <c15:showDataLabelsRange val="0"/>
                </c:ext>
                <c:ext xmlns:c16="http://schemas.microsoft.com/office/drawing/2014/chart" uri="{C3380CC4-5D6E-409C-BE32-E72D297353CC}">
                  <c16:uniqueId val="{0000000C-FA65-4A04-9C0E-7B4A744509DB}"/>
                </c:ext>
              </c:extLst>
            </c:dLbl>
            <c:dLbl>
              <c:idx val="5"/>
              <c:tx>
                <c:strRef>
                  <c:f>'C03A'!$U$18</c:f>
                  <c:strCache>
                    <c:ptCount val="1"/>
                    <c:pt idx="0">
                      <c:v>+167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{5C8E154E-A63B-4140-9C79-E4EDFA429492}</c15:txfldGUID>
                      <c15:f>'C03A'!$U$18</c15:f>
                      <c15:dlblFieldTableCache>
                        <c:ptCount val="1"/>
                        <c:pt idx="0">
                          <c:v>+167</c:v>
                        </c:pt>
                      </c15:dlblFieldTableCache>
                    </c15:dlblFTEntry>
                  </c15:dlblFieldTable>
                  <c15:showDataLabelsRange val="0"/>
                </c:ext>
                <c:ext xmlns:c16="http://schemas.microsoft.com/office/drawing/2014/chart" uri="{C3380CC4-5D6E-409C-BE32-E72D297353CC}">
                  <c16:uniqueId val="{0000000D-FA65-4A04-9C0E-7B4A744509DB}"/>
                </c:ext>
              </c:extLst>
            </c:dLbl>
            <c:dLbl>
              <c:idx val="6"/>
              <c:tx>
                <c:strRef>
                  <c:f>'C03A'!$U$19</c:f>
                  <c:strCache>
                    <c:ptCount val="1"/>
                    <c:pt idx="0">
                      <c:v>+384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{CDE2866A-A6C8-4FEF-ADBF-75858152F8E8}</c15:txfldGUID>
                      <c15:f>'C03A'!$U$19</c15:f>
                      <c15:dlblFieldTableCache>
                        <c:ptCount val="1"/>
                        <c:pt idx="0">
                          <c:v>+384</c:v>
                        </c:pt>
                      </c15:dlblFieldTableCache>
                    </c15:dlblFTEntry>
                  </c15:dlblFieldTable>
                  <c15:showDataLabelsRange val="0"/>
                </c:ext>
                <c:ext xmlns:c16="http://schemas.microsoft.com/office/drawing/2014/chart" uri="{C3380CC4-5D6E-409C-BE32-E72D297353CC}">
                  <c16:uniqueId val="{0000000E-FA65-4A04-9C0E-7B4A744509DB}"/>
                </c:ext>
              </c:extLst>
            </c:dLbl>
            <c:dLbl>
              <c:idx val="7"/>
              <c:tx>
                <c:strRef>
                  <c:f>'C03A'!$U$20</c:f>
                  <c:strCache>
                    <c:ptCount val="1"/>
                    <c:pt idx="0">
                      <c:v>+411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{46E6BD67-EA06-4248-A11F-0D09120DCCA7}</c15:txfldGUID>
                      <c15:f>'C03A'!$U$20</c15:f>
                      <c15:dlblFieldTableCache>
                        <c:ptCount val="1"/>
                        <c:pt idx="0">
                          <c:v>+411</c:v>
                        </c:pt>
                      </c15:dlblFieldTableCache>
                    </c15:dlblFTEntry>
                  </c15:dlblFieldTable>
                  <c15:showDataLabelsRange val="0"/>
                </c:ext>
                <c:ext xmlns:c16="http://schemas.microsoft.com/office/drawing/2014/chart" uri="{C3380CC4-5D6E-409C-BE32-E72D297353CC}">
                  <c16:uniqueId val="{0000000F-FA65-4A04-9C0E-7B4A744509DB}"/>
                </c:ext>
              </c:extLst>
            </c:dLbl>
            <c:dLbl>
              <c:idx val="8"/>
              <c:tx>
                <c:strRef>
                  <c:f>'C03A'!$U$21</c:f>
                  <c:strCache>
                    <c:ptCount val="1"/>
                    <c:pt idx="0">
                      <c:v>+407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{DFAE3363-0976-4AD4-B5C1-5E3F348D5BED}</c15:txfldGUID>
                      <c15:f>'C03A'!$U$21</c15:f>
                      <c15:dlblFieldTableCache>
                        <c:ptCount val="1"/>
                        <c:pt idx="0">
                          <c:v>+407</c:v>
                        </c:pt>
                      </c15:dlblFieldTableCache>
                    </c15:dlblFTEntry>
                  </c15:dlblFieldTable>
                  <c15:showDataLabelsRange val="0"/>
                </c:ext>
                <c:ext xmlns:c16="http://schemas.microsoft.com/office/drawing/2014/chart" uri="{C3380CC4-5D6E-409C-BE32-E72D297353CC}">
                  <c16:uniqueId val="{00000010-FA65-4A04-9C0E-7B4A744509DB}"/>
                </c:ext>
              </c:extLst>
            </c:dLbl>
            <c:dLbl>
              <c:idx val="9"/>
              <c:tx>
                <c:strRef>
                  <c:f>'C03A'!$U$22</c:f>
                  <c:strCache>
                    <c:ptCount val="1"/>
                    <c:pt idx="0">
                      <c:v>+400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{1AFB0BCC-A85B-43B7-8E71-C8BA3E603A26}</c15:txfldGUID>
                      <c15:f>'C03A'!$U$22</c15:f>
                      <c15:dlblFieldTableCache>
                        <c:ptCount val="1"/>
                        <c:pt idx="0">
                          <c:v>+400</c:v>
                        </c:pt>
                      </c15:dlblFieldTableCache>
                    </c15:dlblFTEntry>
                  </c15:dlblFieldTable>
                  <c15:showDataLabelsRange val="0"/>
                </c:ext>
                <c:ext xmlns:c16="http://schemas.microsoft.com/office/drawing/2014/chart" uri="{C3380CC4-5D6E-409C-BE32-E72D297353CC}">
                  <c16:uniqueId val="{00000011-FA65-4A04-9C0E-7B4A744509DB}"/>
                </c:ext>
              </c:extLst>
            </c:dLbl>
            <c:dLbl>
              <c:idx val="10"/>
              <c:tx>
                <c:strRef>
                  <c:f>'C03A'!$U$23</c:f>
                  <c:strCache>
                    <c:ptCount val="1"/>
                    <c:pt idx="0">
                      <c:v>+354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{B277A35B-D447-40B3-AFC7-ACB09B4B6821}</c15:txfldGUID>
                      <c15:f>'C03A'!$U$23</c15:f>
                      <c15:dlblFieldTableCache>
                        <c:ptCount val="1"/>
                        <c:pt idx="0">
                          <c:v>+354</c:v>
                        </c:pt>
                      </c15:dlblFieldTableCache>
                    </c15:dlblFTEntry>
                  </c15:dlblFieldTable>
                  <c15:showDataLabelsRange val="0"/>
                </c:ext>
                <c:ext xmlns:c16="http://schemas.microsoft.com/office/drawing/2014/chart" uri="{C3380CC4-5D6E-409C-BE32-E72D297353CC}">
                  <c16:uniqueId val="{00000012-FA65-4A04-9C0E-7B4A744509DB}"/>
                </c:ext>
              </c:extLst>
            </c:dLbl>
            <c:dLbl>
              <c:idx val="11"/>
              <c:tx>
                <c:strRef>
                  <c:f>'C03A'!$U$24</c:f>
                  <c:strCache>
                    <c:ptCount val="1"/>
                    <c:pt idx="0">
                      <c:v>+361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{BF87E9F8-B435-410C-ABE0-5C96B8FF6664}</c15:txfldGUID>
                      <c15:f>'C03A'!$U$24</c15:f>
                      <c15:dlblFieldTableCache>
                        <c:ptCount val="1"/>
                        <c:pt idx="0">
                          <c:v>+361</c:v>
                        </c:pt>
                      </c15:dlblFieldTableCache>
                    </c15:dlblFTEntry>
                  </c15:dlblFieldTable>
                  <c15:showDataLabelsRange val="0"/>
                </c:ext>
                <c:ext xmlns:c16="http://schemas.microsoft.com/office/drawing/2014/chart" uri="{C3380CC4-5D6E-409C-BE32-E72D297353CC}">
                  <c16:uniqueId val="{00000013-FA65-4A04-9C0E-7B4A744509DB}"/>
                </c:ext>
              </c:extLst>
            </c:dLbl>
            <c:numFmt formatCode="\+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'C03A'!$A$13:$A$24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'C03A'!$T$13:$T$24</c:f>
              <c:numCache>
                <c:formatCode>0.000000</c:formatCode>
                <c:ptCount val="12"/>
                <c:pt idx="0">
                  <c:v>2.562809000100898E-2</c:v>
                </c:pt>
                <c:pt idx="1">
                  <c:v>3.1379275552416507E-2</c:v>
                </c:pt>
                <c:pt idx="2">
                  <c:v>8.7781253153062261E-2</c:v>
                </c:pt>
                <c:pt idx="3">
                  <c:v>4.4496014529310866E-2</c:v>
                </c:pt>
                <c:pt idx="4">
                  <c:v>3.9652910907072951E-2</c:v>
                </c:pt>
                <c:pt idx="5">
                  <c:v>1.6849964685702754E-2</c:v>
                </c:pt>
                <c:pt idx="6">
                  <c:v>3.8744828977903337E-2</c:v>
                </c:pt>
                <c:pt idx="7">
                  <c:v>4.1469074765412166E-2</c:v>
                </c:pt>
                <c:pt idx="8">
                  <c:v>4.1065482796892344E-2</c:v>
                </c:pt>
                <c:pt idx="9">
                  <c:v>4.0359196851982644E-2</c:v>
                </c:pt>
                <c:pt idx="10">
                  <c:v>3.5717889214004643E-2</c:v>
                </c:pt>
                <c:pt idx="11">
                  <c:v>3.6424175158914336E-2</c:v>
                </c:pt>
              </c:numCache>
            </c:numRef>
          </c:val>
          <c:extLst>
            <c:ext xmlns:c16="http://schemas.microsoft.com/office/drawing/2014/chart" uri="{C3380CC4-5D6E-409C-BE32-E72D297353CC}">
              <c16:uniqueId val="{00000007-FA65-4A04-9C0E-7B4A744509DB}"/>
            </c:ext>
          </c:extLst>
        </c:ser>
        <c:ser>
          <c:idx val="1"/>
          <c:order val="1"/>
          <c:tx>
            <c:v>ΔPY up</c:v>
          </c:tx>
          <c:spPr>
            <a:solidFill>
              <a:srgbClr val="8CB400"/>
            </a:solidFill>
            <a:ln>
              <a:noFill/>
            </a:ln>
            <a:effectLst/>
            <a:extLst>
              <a:ext uri="{91240B29-F687-4F45-9708-019B960494DF}">
                <a14:hiddenLine xmlns:a14="http://schemas.microsoft.com/office/drawing/2010/main">
                  <a:noFill/>
                </a14:hiddenLine>
              </a:ext>
            </a:extLst>
          </c:spPr>
          <c:invertIfNegative val="0"/>
          <c:dPt>
            <c:idx val="7"/>
            <c:invertIfNegative val="0"/>
            <c:bubble3D val="0"/>
            <c:spPr>
              <a:pattFill prst="wdUpDiag">
                <a:fgClr>
                  <a:srgbClr val="8CB400"/>
                </a:fgClr>
                <a:bgClr>
                  <a:srgbClr val="FFFFFF"/>
                </a:bgClr>
              </a:pattFill>
              <a:ln w="9525">
                <a:solidFill>
                  <a:schemeClr val="tx1"/>
                </a:solidFill>
              </a:ln>
              <a:effectLst/>
            </c:spPr>
            <c:extLst>
              <c:ext xmlns:c16="http://schemas.microsoft.com/office/drawing/2014/chart" uri="{C3380CC4-5D6E-409C-BE32-E72D297353CC}">
                <c16:uniqueId val="{00000015-FA65-4A04-9C0E-7B4A744509DB}"/>
              </c:ext>
            </c:extLst>
          </c:dPt>
          <c:dPt>
            <c:idx val="8"/>
            <c:invertIfNegative val="0"/>
            <c:bubble3D val="0"/>
            <c:spPr>
              <a:pattFill prst="wdUpDiag">
                <a:fgClr>
                  <a:srgbClr val="8CB400"/>
                </a:fgClr>
                <a:bgClr>
                  <a:srgbClr val="FFFFFF"/>
                </a:bgClr>
              </a:pattFill>
              <a:ln w="9525">
                <a:solidFill>
                  <a:schemeClr val="tx1"/>
                </a:solidFill>
              </a:ln>
              <a:effectLst/>
            </c:spPr>
            <c:extLst>
              <c:ext xmlns:c16="http://schemas.microsoft.com/office/drawing/2014/chart" uri="{C3380CC4-5D6E-409C-BE32-E72D297353CC}">
                <c16:uniqueId val="{00000016-FA65-4A04-9C0E-7B4A744509DB}"/>
              </c:ext>
            </c:extLst>
          </c:dPt>
          <c:dPt>
            <c:idx val="9"/>
            <c:invertIfNegative val="0"/>
            <c:bubble3D val="0"/>
            <c:spPr>
              <a:pattFill prst="wdUpDiag">
                <a:fgClr>
                  <a:srgbClr val="8CB400"/>
                </a:fgClr>
                <a:bgClr>
                  <a:srgbClr val="FFFFFF"/>
                </a:bgClr>
              </a:pattFill>
              <a:ln w="9525">
                <a:solidFill>
                  <a:schemeClr val="tx1"/>
                </a:solidFill>
              </a:ln>
              <a:effectLst/>
            </c:spPr>
            <c:extLst>
              <c:ext xmlns:c16="http://schemas.microsoft.com/office/drawing/2014/chart" uri="{C3380CC4-5D6E-409C-BE32-E72D297353CC}">
                <c16:uniqueId val="{00000017-FA65-4A04-9C0E-7B4A744509DB}"/>
              </c:ext>
            </c:extLst>
          </c:dPt>
          <c:dPt>
            <c:idx val="10"/>
            <c:invertIfNegative val="0"/>
            <c:bubble3D val="0"/>
            <c:spPr>
              <a:pattFill prst="wdUpDiag">
                <a:fgClr>
                  <a:srgbClr val="8CB400"/>
                </a:fgClr>
                <a:bgClr>
                  <a:srgbClr val="FFFFFF"/>
                </a:bgClr>
              </a:pattFill>
              <a:ln w="9525">
                <a:solidFill>
                  <a:schemeClr val="tx1"/>
                </a:solidFill>
              </a:ln>
              <a:effectLst/>
            </c:spPr>
            <c:extLst>
              <c:ext xmlns:c16="http://schemas.microsoft.com/office/drawing/2014/chart" uri="{C3380CC4-5D6E-409C-BE32-E72D297353CC}">
                <c16:uniqueId val="{00000018-FA65-4A04-9C0E-7B4A744509DB}"/>
              </c:ext>
            </c:extLst>
          </c:dPt>
          <c:dPt>
            <c:idx val="11"/>
            <c:invertIfNegative val="0"/>
            <c:bubble3D val="0"/>
            <c:spPr>
              <a:pattFill prst="wdUpDiag">
                <a:fgClr>
                  <a:srgbClr val="8CB400"/>
                </a:fgClr>
                <a:bgClr>
                  <a:srgbClr val="FFFFFF"/>
                </a:bgClr>
              </a:pattFill>
              <a:ln w="9525">
                <a:solidFill>
                  <a:schemeClr val="tx1"/>
                </a:solidFill>
              </a:ln>
              <a:effectLst/>
            </c:spPr>
            <c:extLst>
              <c:ext xmlns:c16="http://schemas.microsoft.com/office/drawing/2014/chart" uri="{C3380CC4-5D6E-409C-BE32-E72D297353CC}">
                <c16:uniqueId val="{00000019-FA65-4A04-9C0E-7B4A744509DB}"/>
              </c:ext>
            </c:extLst>
          </c:dPt>
          <c:cat>
            <c:strRef>
              <c:f>'C03A'!$A$13:$A$24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'C03A'!$V$13:$V$24</c:f>
              <c:numCache>
                <c:formatCode>0.000000</c:formatCode>
                <c:ptCount val="12"/>
                <c:pt idx="0">
                  <c:v>2.562809000100898E-2</c:v>
                </c:pt>
                <c:pt idx="1">
                  <c:v>3.1379275552416507E-2</c:v>
                </c:pt>
                <c:pt idx="2">
                  <c:v>8.7781253153062261E-2</c:v>
                </c:pt>
                <c:pt idx="3">
                  <c:v>4.4496014529310866E-2</c:v>
                </c:pt>
                <c:pt idx="4">
                  <c:v>3.9652910907072951E-2</c:v>
                </c:pt>
                <c:pt idx="5">
                  <c:v>1.6849964685702754E-2</c:v>
                </c:pt>
                <c:pt idx="6">
                  <c:v>3.8744828977903337E-2</c:v>
                </c:pt>
                <c:pt idx="7">
                  <c:v>4.1469074765412166E-2</c:v>
                </c:pt>
                <c:pt idx="8">
                  <c:v>4.1065482796892344E-2</c:v>
                </c:pt>
                <c:pt idx="9">
                  <c:v>4.0359196851982644E-2</c:v>
                </c:pt>
                <c:pt idx="10">
                  <c:v>3.5717889214004643E-2</c:v>
                </c:pt>
                <c:pt idx="11">
                  <c:v>3.6424175158914336E-2</c:v>
                </c:pt>
              </c:numCache>
            </c:numRef>
          </c:val>
          <c:extLst>
            <c:ext xmlns:c16="http://schemas.microsoft.com/office/drawing/2014/chart" uri="{C3380CC4-5D6E-409C-BE32-E72D297353CC}">
              <c16:uniqueId val="{00000014-FA65-4A04-9C0E-7B4A744509DB}"/>
            </c:ext>
          </c:extLst>
        </c:ser>
        <c:ser>
          <c:idx val="2"/>
          <c:order val="2"/>
          <c:tx>
            <c:v>ΔPY dn</c:v>
          </c:tx>
          <c:spPr>
            <a:solidFill>
              <a:srgbClr val="FF0000"/>
            </a:solidFill>
            <a:ln>
              <a:noFill/>
            </a:ln>
            <a:effectLst/>
            <a:extLst>
              <a:ext uri="{91240B29-F687-4F45-9708-019B960494DF}">
                <a14:hiddenLine xmlns:a14="http://schemas.microsoft.com/office/drawing/2010/main">
                  <a:noFill/>
                </a14:hiddenLine>
              </a:ext>
            </a:extLst>
          </c:spPr>
          <c:invertIfNegative val="0"/>
          <c:dPt>
            <c:idx val="7"/>
            <c:invertIfNegative val="0"/>
            <c:bubble3D val="0"/>
            <c:spPr>
              <a:pattFill prst="wdUpDiag">
                <a:fgClr>
                  <a:srgbClr val="FF0000"/>
                </a:fgClr>
                <a:bgClr>
                  <a:srgbClr val="FFFFFF"/>
                </a:bgClr>
              </a:pattFill>
              <a:ln w="9525">
                <a:solidFill>
                  <a:schemeClr val="tx1"/>
                </a:solidFill>
              </a:ln>
              <a:effectLst/>
            </c:spPr>
            <c:extLst>
              <c:ext xmlns:c16="http://schemas.microsoft.com/office/drawing/2014/chart" uri="{C3380CC4-5D6E-409C-BE32-E72D297353CC}">
                <c16:uniqueId val="{0000001B-FA65-4A04-9C0E-7B4A744509DB}"/>
              </c:ext>
            </c:extLst>
          </c:dPt>
          <c:dPt>
            <c:idx val="8"/>
            <c:invertIfNegative val="0"/>
            <c:bubble3D val="0"/>
            <c:spPr>
              <a:pattFill prst="wdUpDiag">
                <a:fgClr>
                  <a:srgbClr val="FF0000"/>
                </a:fgClr>
                <a:bgClr>
                  <a:srgbClr val="FFFFFF"/>
                </a:bgClr>
              </a:pattFill>
              <a:ln w="9525">
                <a:solidFill>
                  <a:schemeClr val="tx1"/>
                </a:solidFill>
              </a:ln>
              <a:effectLst/>
            </c:spPr>
            <c:extLst>
              <c:ext xmlns:c16="http://schemas.microsoft.com/office/drawing/2014/chart" uri="{C3380CC4-5D6E-409C-BE32-E72D297353CC}">
                <c16:uniqueId val="{0000001C-FA65-4A04-9C0E-7B4A744509DB}"/>
              </c:ext>
            </c:extLst>
          </c:dPt>
          <c:dPt>
            <c:idx val="9"/>
            <c:invertIfNegative val="0"/>
            <c:bubble3D val="0"/>
            <c:spPr>
              <a:pattFill prst="wdUpDiag">
                <a:fgClr>
                  <a:srgbClr val="FF0000"/>
                </a:fgClr>
                <a:bgClr>
                  <a:srgbClr val="FFFFFF"/>
                </a:bgClr>
              </a:pattFill>
              <a:ln w="9525">
                <a:solidFill>
                  <a:schemeClr val="tx1"/>
                </a:solidFill>
              </a:ln>
              <a:effectLst/>
            </c:spPr>
            <c:extLst>
              <c:ext xmlns:c16="http://schemas.microsoft.com/office/drawing/2014/chart" uri="{C3380CC4-5D6E-409C-BE32-E72D297353CC}">
                <c16:uniqueId val="{0000001D-FA65-4A04-9C0E-7B4A744509DB}"/>
              </c:ext>
            </c:extLst>
          </c:dPt>
          <c:dPt>
            <c:idx val="10"/>
            <c:invertIfNegative val="0"/>
            <c:bubble3D val="0"/>
            <c:spPr>
              <a:pattFill prst="wdUpDiag">
                <a:fgClr>
                  <a:srgbClr val="FF0000"/>
                </a:fgClr>
                <a:bgClr>
                  <a:srgbClr val="FFFFFF"/>
                </a:bgClr>
              </a:pattFill>
              <a:ln w="9525">
                <a:solidFill>
                  <a:schemeClr val="tx1"/>
                </a:solidFill>
              </a:ln>
              <a:effectLst/>
            </c:spPr>
            <c:extLst>
              <c:ext xmlns:c16="http://schemas.microsoft.com/office/drawing/2014/chart" uri="{C3380CC4-5D6E-409C-BE32-E72D297353CC}">
                <c16:uniqueId val="{0000001E-FA65-4A04-9C0E-7B4A744509DB}"/>
              </c:ext>
            </c:extLst>
          </c:dPt>
          <c:dPt>
            <c:idx val="11"/>
            <c:invertIfNegative val="0"/>
            <c:bubble3D val="0"/>
            <c:spPr>
              <a:pattFill prst="wdUpDiag">
                <a:fgClr>
                  <a:srgbClr val="FF0000"/>
                </a:fgClr>
                <a:bgClr>
                  <a:srgbClr val="FFFFFF"/>
                </a:bgClr>
              </a:pattFill>
              <a:ln w="9525">
                <a:solidFill>
                  <a:schemeClr val="tx1"/>
                </a:solidFill>
              </a:ln>
              <a:effectLst/>
            </c:spPr>
            <c:extLst>
              <c:ext xmlns:c16="http://schemas.microsoft.com/office/drawing/2014/chart" uri="{C3380CC4-5D6E-409C-BE32-E72D297353CC}">
                <c16:uniqueId val="{0000001F-FA65-4A04-9C0E-7B4A744509DB}"/>
              </c:ext>
            </c:extLst>
          </c:dPt>
          <c:cat>
            <c:strRef>
              <c:f>'C03A'!$A$13:$A$24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'C03A'!$W$13:$W$24</c:f>
              <c:numCache>
                <c:formatCode>0.000000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1A-FA65-4A04-9C0E-7B4A744509DB}"/>
            </c:ext>
          </c:extLst>
        </c:ser>
        <c:dLbls>
          <c:showLegendKey val="0"/>
          <c:showVal val="0"/>
          <c:showCatName val="0"/>
          <c:showSerName val="0"/>
          <c:showPercent val="0"/>
          <c:showBubbleSize val="0"/>
        </c:dLbls>
        <c:gapWidth val="47"/>
        <c:overlap val="100"/>
        <c:axId val="1199241584"/>
        <c:axId val="1095859312"/>
      </c:barChart>
      <c:catAx>
        <c:axId val="1199241584"/>
        <c:scaling>
          <c:orientation val="minMax"/>
        </c:scaling>
        <c:delete val="0"/>
        <c:axPos val="b"/>
        <c:numFmt formatCode="General" sourceLinked="1"/>
        <c:majorTickMark val="none"/>
        <c:minorTickMark val="none"/>
        <c:tickLblPos val="none"/>
        <c:spPr>
          <a:ln w="47625">
            <a:solidFill>
              <a:srgbClr val="808080"/>
            </a:solidFill>
          </a:ln>
        </c:spPr>
        <c:crossAx val="1095859312"/>
        <c:crosses val="autoZero"/>
        <c:auto val="1"/>
        <c:lblAlgn val="ctr"/>
        <c:lblOffset val="100"/>
        <c:noMultiLvlLbl val="0"/>
      </c:catAx>
      <c:valAx>
        <c:axId val="1095859312"/>
        <c:scaling>
          <c:orientation val="minMax"/>
          <c:max val="0.26303317535545023"/>
          <c:min val="-0.17298578199052134"/>
        </c:scaling>
        <c:delete val="0"/>
        <c:axPos val="l"/>
        <c:numFmt formatCode="0.00000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199241584"/>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6153846153846159E-2"/>
          <c:y val="4.0983606557377046E-2"/>
          <c:w val="0.86923076923076925"/>
          <c:h val="0.86065573770491799"/>
        </c:manualLayout>
      </c:layout>
      <c:barChart>
        <c:barDir val="col"/>
        <c:grouping val="clustered"/>
        <c:varyColors val="0"/>
        <c:ser>
          <c:idx val="0"/>
          <c:order val="0"/>
          <c:tx>
            <c:v>PY</c:v>
          </c:tx>
          <c:spPr>
            <a:solidFill>
              <a:srgbClr val="A6A6A6"/>
            </a:solidFill>
            <a:ln>
              <a:noFill/>
            </a:ln>
            <a:effectLst/>
            <a:extLst>
              <a:ext uri="{91240B29-F687-4F45-9708-019B960494DF}">
                <a14:hiddenLine xmlns:a14="http://schemas.microsoft.com/office/drawing/2010/main">
                  <a:noFill/>
                </a14:hiddenLine>
              </a:ext>
            </a:extLst>
          </c:spPr>
          <c:invertIfNegative val="0"/>
          <c:cat>
            <c:strRef>
              <c:f>'C03A'!$A$13:$A$24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'C03A'!$Q$13:$Q$24</c:f>
              <c:numCache>
                <c:formatCode>0.000000</c:formatCode>
                <c:ptCount val="12"/>
                <c:pt idx="0">
                  <c:v>0.65391988699424886</c:v>
                </c:pt>
                <c:pt idx="1">
                  <c:v>0.67440217939663005</c:v>
                </c:pt>
                <c:pt idx="2">
                  <c:v>0.91221874684693771</c:v>
                </c:pt>
                <c:pt idx="3">
                  <c:v>0.68983957219251335</c:v>
                </c:pt>
                <c:pt idx="4">
                  <c:v>0.66935727979013215</c:v>
                </c:pt>
                <c:pt idx="5">
                  <c:v>0.66643123801836346</c:v>
                </c:pt>
                <c:pt idx="6">
                  <c:v>0.71203713046110384</c:v>
                </c:pt>
                <c:pt idx="7">
                  <c:v>0.72636464534355771</c:v>
                </c:pt>
                <c:pt idx="8">
                  <c:v>0.71920088790233072</c:v>
                </c:pt>
                <c:pt idx="9">
                  <c:v>0.70648774089395616</c:v>
                </c:pt>
                <c:pt idx="10">
                  <c:v>0.62486126526082131</c:v>
                </c:pt>
                <c:pt idx="11">
                  <c:v>0.63696902431641611</c:v>
                </c:pt>
              </c:numCache>
            </c:numRef>
          </c:val>
          <c:extLst>
            <c:ext xmlns:c16="http://schemas.microsoft.com/office/drawing/2014/chart" uri="{C3380CC4-5D6E-409C-BE32-E72D297353CC}">
              <c16:uniqueId val="{00000007-E544-44BB-807B-3EB4E24805A0}"/>
            </c:ext>
          </c:extLst>
        </c:ser>
        <c:ser>
          <c:idx val="1"/>
          <c:order val="1"/>
          <c:tx>
            <c:v>AC</c:v>
          </c:tx>
          <c:spPr>
            <a:solidFill>
              <a:srgbClr val="404040"/>
            </a:solidFill>
            <a:ln>
              <a:noFill/>
            </a:ln>
            <a:effectLst/>
            <a:extLst>
              <a:ext uri="{91240B29-F687-4F45-9708-019B960494DF}">
                <a14:hiddenLine xmlns:a14="http://schemas.microsoft.com/office/drawing/2010/main">
                  <a:noFill/>
                </a14:hiddenLine>
              </a:ext>
            </a:extLst>
          </c:spPr>
          <c:invertIfNegative val="0"/>
          <c:dPt>
            <c:idx val="7"/>
            <c:invertIfNegative val="0"/>
            <c:bubble3D val="0"/>
            <c:spPr>
              <a:pattFill prst="wdUpDiag">
                <a:fgClr>
                  <a:srgbClr val="404040"/>
                </a:fgClr>
                <a:bgClr>
                  <a:srgbClr val="F2F2F2"/>
                </a:bgClr>
              </a:pattFill>
              <a:ln w="9525">
                <a:solidFill>
                  <a:schemeClr val="tx1"/>
                </a:solidFill>
              </a:ln>
              <a:effectLst/>
            </c:spPr>
            <c:extLst>
              <c:ext xmlns:c16="http://schemas.microsoft.com/office/drawing/2014/chart" uri="{C3380CC4-5D6E-409C-BE32-E72D297353CC}">
                <c16:uniqueId val="{00000009-E544-44BB-807B-3EB4E24805A0}"/>
              </c:ext>
            </c:extLst>
          </c:dPt>
          <c:dPt>
            <c:idx val="8"/>
            <c:invertIfNegative val="0"/>
            <c:bubble3D val="0"/>
            <c:spPr>
              <a:pattFill prst="wdUpDiag">
                <a:fgClr>
                  <a:srgbClr val="404040"/>
                </a:fgClr>
                <a:bgClr>
                  <a:srgbClr val="F2F2F2"/>
                </a:bgClr>
              </a:pattFill>
              <a:ln w="9525">
                <a:solidFill>
                  <a:schemeClr val="tx1"/>
                </a:solidFill>
              </a:ln>
              <a:effectLst/>
            </c:spPr>
            <c:extLst>
              <c:ext xmlns:c16="http://schemas.microsoft.com/office/drawing/2014/chart" uri="{C3380CC4-5D6E-409C-BE32-E72D297353CC}">
                <c16:uniqueId val="{0000000A-E544-44BB-807B-3EB4E24805A0}"/>
              </c:ext>
            </c:extLst>
          </c:dPt>
          <c:dPt>
            <c:idx val="9"/>
            <c:invertIfNegative val="0"/>
            <c:bubble3D val="0"/>
            <c:spPr>
              <a:pattFill prst="wdUpDiag">
                <a:fgClr>
                  <a:srgbClr val="404040"/>
                </a:fgClr>
                <a:bgClr>
                  <a:srgbClr val="F2F2F2"/>
                </a:bgClr>
              </a:pattFill>
              <a:ln w="9525">
                <a:solidFill>
                  <a:schemeClr val="tx1"/>
                </a:solidFill>
              </a:ln>
              <a:effectLst/>
            </c:spPr>
            <c:extLst>
              <c:ext xmlns:c16="http://schemas.microsoft.com/office/drawing/2014/chart" uri="{C3380CC4-5D6E-409C-BE32-E72D297353CC}">
                <c16:uniqueId val="{0000000B-E544-44BB-807B-3EB4E24805A0}"/>
              </c:ext>
            </c:extLst>
          </c:dPt>
          <c:dPt>
            <c:idx val="10"/>
            <c:invertIfNegative val="0"/>
            <c:bubble3D val="0"/>
            <c:spPr>
              <a:pattFill prst="wdUpDiag">
                <a:fgClr>
                  <a:srgbClr val="404040"/>
                </a:fgClr>
                <a:bgClr>
                  <a:srgbClr val="F2F2F2"/>
                </a:bgClr>
              </a:pattFill>
              <a:ln w="9525">
                <a:solidFill>
                  <a:schemeClr val="tx1"/>
                </a:solidFill>
              </a:ln>
              <a:effectLst/>
            </c:spPr>
            <c:extLst>
              <c:ext xmlns:c16="http://schemas.microsoft.com/office/drawing/2014/chart" uri="{C3380CC4-5D6E-409C-BE32-E72D297353CC}">
                <c16:uniqueId val="{0000000C-E544-44BB-807B-3EB4E24805A0}"/>
              </c:ext>
            </c:extLst>
          </c:dPt>
          <c:dPt>
            <c:idx val="11"/>
            <c:invertIfNegative val="0"/>
            <c:bubble3D val="0"/>
            <c:spPr>
              <a:pattFill prst="wdUpDiag">
                <a:fgClr>
                  <a:srgbClr val="404040"/>
                </a:fgClr>
                <a:bgClr>
                  <a:srgbClr val="F2F2F2"/>
                </a:bgClr>
              </a:pattFill>
              <a:ln w="9525">
                <a:solidFill>
                  <a:schemeClr val="tx1"/>
                </a:solidFill>
              </a:ln>
              <a:effectLst/>
            </c:spPr>
            <c:extLst>
              <c:ext xmlns:c16="http://schemas.microsoft.com/office/drawing/2014/chart" uri="{C3380CC4-5D6E-409C-BE32-E72D297353CC}">
                <c16:uniqueId val="{0000000D-E544-44BB-807B-3EB4E24805A0}"/>
              </c:ext>
            </c:extLst>
          </c:dPt>
          <c:dLbls>
            <c:dLbl>
              <c:idx val="0"/>
              <c:tx>
                <c:strRef>
                  <c:f>'C03A'!$S$13</c:f>
                  <c:strCache>
                    <c:ptCount val="1"/>
                    <c:pt idx="0">
                      <c:v>6735</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{7FA5A5CB-7420-4CB5-BCD3-330AD6A43848}</c15:txfldGUID>
                      <c15:f>'C03A'!$S$13</c15:f>
                      <c15:dlblFieldTableCache>
                        <c:ptCount val="1"/>
                        <c:pt idx="0">
                          <c:v>6735</c:v>
                        </c:pt>
                      </c15:dlblFieldTableCache>
                    </c15:dlblFTEntry>
                  </c15:dlblFieldTable>
                  <c15:showDataLabelsRange val="0"/>
                </c:ext>
                <c:ext xmlns:c16="http://schemas.microsoft.com/office/drawing/2014/chart" uri="{C3380CC4-5D6E-409C-BE32-E72D297353CC}">
                  <c16:uniqueId val="{0000000E-E544-44BB-807B-3EB4E24805A0}"/>
                </c:ext>
              </c:extLst>
            </c:dLbl>
            <c:dLbl>
              <c:idx val="1"/>
              <c:tx>
                <c:strRef>
                  <c:f>'C03A'!$S$14</c:f>
                  <c:strCache>
                    <c:ptCount val="1"/>
                    <c:pt idx="0">
                      <c:v>6995</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{D8B14F29-D39A-4E81-8B1E-9BAFBE346B9A}</c15:txfldGUID>
                      <c15:f>'C03A'!$S$14</c15:f>
                      <c15:dlblFieldTableCache>
                        <c:ptCount val="1"/>
                        <c:pt idx="0">
                          <c:v>6995</c:v>
                        </c:pt>
                      </c15:dlblFieldTableCache>
                    </c15:dlblFTEntry>
                  </c15:dlblFieldTable>
                  <c15:showDataLabelsRange val="0"/>
                </c:ext>
                <c:ext xmlns:c16="http://schemas.microsoft.com/office/drawing/2014/chart" uri="{C3380CC4-5D6E-409C-BE32-E72D297353CC}">
                  <c16:uniqueId val="{0000000F-E544-44BB-807B-3EB4E24805A0}"/>
                </c:ext>
              </c:extLst>
            </c:dLbl>
            <c:dLbl>
              <c:idx val="2"/>
              <c:tx>
                <c:strRef>
                  <c:f>'C03A'!$S$15</c:f>
                  <c:strCache>
                    <c:ptCount val="1"/>
                    <c:pt idx="0">
                      <c:v>9911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{7EE0F1F6-85C2-4670-9336-DD7F40571E87}</c15:txfldGUID>
                      <c15:f>'C03A'!$S$15</c15:f>
                      <c15:dlblFieldTableCache>
                        <c:ptCount val="1"/>
                        <c:pt idx="0">
                          <c:v>9911</c:v>
                        </c:pt>
                      </c15:dlblFieldTableCache>
                    </c15:dlblFTEntry>
                  </c15:dlblFieldTable>
                  <c15:showDataLabelsRange val="0"/>
                </c:ext>
                <c:ext xmlns:c16="http://schemas.microsoft.com/office/drawing/2014/chart" uri="{C3380CC4-5D6E-409C-BE32-E72D297353CC}">
                  <c16:uniqueId val="{00000010-E544-44BB-807B-3EB4E24805A0}"/>
                </c:ext>
              </c:extLst>
            </c:dLbl>
            <c:dLbl>
              <c:idx val="3"/>
              <c:tx>
                <c:strRef>
                  <c:f>'C03A'!$S$16</c:f>
                  <c:strCache>
                    <c:ptCount val="1"/>
                    <c:pt idx="0">
                      <c:v>7278</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{061EC388-A49F-4B7E-8F4B-4D8C4C4CEC0A}</c15:txfldGUID>
                      <c15:f>'C03A'!$S$16</c15:f>
                      <c15:dlblFieldTableCache>
                        <c:ptCount val="1"/>
                        <c:pt idx="0">
                          <c:v>7278</c:v>
                        </c:pt>
                      </c15:dlblFieldTableCache>
                    </c15:dlblFTEntry>
                  </c15:dlblFieldTable>
                  <c15:showDataLabelsRange val="0"/>
                </c:ext>
                <c:ext xmlns:c16="http://schemas.microsoft.com/office/drawing/2014/chart" uri="{C3380CC4-5D6E-409C-BE32-E72D297353CC}">
                  <c16:uniqueId val="{00000011-E544-44BB-807B-3EB4E24805A0}"/>
                </c:ext>
              </c:extLst>
            </c:dLbl>
            <c:dLbl>
              <c:idx val="4"/>
              <c:tx>
                <c:strRef>
                  <c:f>'C03A'!$S$17</c:f>
                  <c:strCache>
                    <c:ptCount val="1"/>
                    <c:pt idx="0">
                      <c:v>7027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{EAA367A4-F8EE-4CD7-870F-E838233041AA}</c15:txfldGUID>
                      <c15:f>'C03A'!$S$17</c15:f>
                      <c15:dlblFieldTableCache>
                        <c:ptCount val="1"/>
                        <c:pt idx="0">
                          <c:v>7027</c:v>
                        </c:pt>
                      </c15:dlblFieldTableCache>
                    </c15:dlblFTEntry>
                  </c15:dlblFieldTable>
                  <c15:showDataLabelsRange val="0"/>
                </c:ext>
                <c:ext xmlns:c16="http://schemas.microsoft.com/office/drawing/2014/chart" uri="{C3380CC4-5D6E-409C-BE32-E72D297353CC}">
                  <c16:uniqueId val="{00000012-E544-44BB-807B-3EB4E24805A0}"/>
                </c:ext>
              </c:extLst>
            </c:dLbl>
            <c:dLbl>
              <c:idx val="5"/>
              <c:tx>
                <c:strRef>
                  <c:f>'C03A'!$S$18</c:f>
                  <c:strCache>
                    <c:ptCount val="1"/>
                    <c:pt idx="0">
                      <c:v>6772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{C28356A6-62EA-4937-BC2D-F1B567EABE98}</c15:txfldGUID>
                      <c15:f>'C03A'!$S$18</c15:f>
                      <c15:dlblFieldTableCache>
                        <c:ptCount val="1"/>
                        <c:pt idx="0">
                          <c:v>6772</c:v>
                        </c:pt>
                      </c15:dlblFieldTableCache>
                    </c15:dlblFTEntry>
                  </c15:dlblFieldTable>
                  <c15:showDataLabelsRange val="0"/>
                </c:ext>
                <c:ext xmlns:c16="http://schemas.microsoft.com/office/drawing/2014/chart" uri="{C3380CC4-5D6E-409C-BE32-E72D297353CC}">
                  <c16:uniqueId val="{00000013-E544-44BB-807B-3EB4E24805A0}"/>
                </c:ext>
              </c:extLst>
            </c:dLbl>
            <c:dLbl>
              <c:idx val="6"/>
              <c:tx>
                <c:strRef>
                  <c:f>'C03A'!$S$19</c:f>
                  <c:strCache>
                    <c:ptCount val="1"/>
                    <c:pt idx="0">
                      <c:v>7441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{5FCD9411-62BB-4DFB-B565-6DC01DE8BEA8}</c15:txfldGUID>
                      <c15:f>'C03A'!$S$19</c15:f>
                      <c15:dlblFieldTableCache>
                        <c:ptCount val="1"/>
                        <c:pt idx="0">
                          <c:v>7441</c:v>
                        </c:pt>
                      </c15:dlblFieldTableCache>
                    </c15:dlblFTEntry>
                  </c15:dlblFieldTable>
                  <c15:showDataLabelsRange val="0"/>
                </c:ext>
                <c:ext xmlns:c16="http://schemas.microsoft.com/office/drawing/2014/chart" uri="{C3380CC4-5D6E-409C-BE32-E72D297353CC}">
                  <c16:uniqueId val="{00000014-E544-44BB-807B-3EB4E24805A0}"/>
                </c:ext>
              </c:extLst>
            </c:dLbl>
            <c:dLbl>
              <c:idx val="7"/>
              <c:tx>
                <c:strRef>
                  <c:f>'C03A'!$S$20</c:f>
                  <c:strCache>
                    <c:ptCount val="1"/>
                    <c:pt idx="0">
                      <c:v>7610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{C1518B52-3485-470D-992A-EA700DBC98F8}</c15:txfldGUID>
                      <c15:f>'C03A'!$S$20</c15:f>
                      <c15:dlblFieldTableCache>
                        <c:ptCount val="1"/>
                        <c:pt idx="0">
                          <c:v>7610</c:v>
                        </c:pt>
                      </c15:dlblFieldTableCache>
                    </c15:dlblFTEntry>
                  </c15:dlblFieldTable>
                  <c15:showDataLabelsRange val="0"/>
                </c:ext>
                <c:ext xmlns:c16="http://schemas.microsoft.com/office/drawing/2014/chart" uri="{C3380CC4-5D6E-409C-BE32-E72D297353CC}">
                  <c16:uniqueId val="{00000009-E544-44BB-807B-3EB4E24805A0}"/>
                </c:ext>
              </c:extLst>
            </c:dLbl>
            <c:dLbl>
              <c:idx val="8"/>
              <c:tx>
                <c:strRef>
                  <c:f>'C03A'!$S$21</c:f>
                  <c:strCache>
                    <c:ptCount val="1"/>
                    <c:pt idx="0">
                      <c:v>7535</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{5584F3BA-D73F-47AE-91E6-EF9247E1F725}</c15:txfldGUID>
                      <c15:f>'C03A'!$S$21</c15:f>
                      <c15:dlblFieldTableCache>
                        <c:ptCount val="1"/>
                        <c:pt idx="0">
                          <c:v>7535</c:v>
                        </c:pt>
                      </c15:dlblFieldTableCache>
                    </c15:dlblFTEntry>
                  </c15:dlblFieldTable>
                  <c15:showDataLabelsRange val="0"/>
                </c:ext>
                <c:ext xmlns:c16="http://schemas.microsoft.com/office/drawing/2014/chart" uri="{C3380CC4-5D6E-409C-BE32-E72D297353CC}">
                  <c16:uniqueId val="{0000000A-E544-44BB-807B-3EB4E24805A0}"/>
                </c:ext>
              </c:extLst>
            </c:dLbl>
            <c:dLbl>
              <c:idx val="9"/>
              <c:tx>
                <c:strRef>
                  <c:f>'C03A'!$S$22</c:f>
                  <c:strCache>
                    <c:ptCount val="1"/>
                    <c:pt idx="0">
                      <c:v>7402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{BE7BD0D9-B20C-4C03-841F-A5169E691328}</c15:txfldGUID>
                      <c15:f>'C03A'!$S$22</c15:f>
                      <c15:dlblFieldTableCache>
                        <c:ptCount val="1"/>
                        <c:pt idx="0">
                          <c:v>7402</c:v>
                        </c:pt>
                      </c15:dlblFieldTableCache>
                    </c15:dlblFTEntry>
                  </c15:dlblFieldTable>
                  <c15:showDataLabelsRange val="0"/>
                </c:ext>
                <c:ext xmlns:c16="http://schemas.microsoft.com/office/drawing/2014/chart" uri="{C3380CC4-5D6E-409C-BE32-E72D297353CC}">
                  <c16:uniqueId val="{0000000B-E544-44BB-807B-3EB4E24805A0}"/>
                </c:ext>
              </c:extLst>
            </c:dLbl>
            <c:dLbl>
              <c:idx val="10"/>
              <c:tx>
                <c:strRef>
                  <c:f>'C03A'!$S$23</c:f>
                  <c:strCache>
                    <c:ptCount val="1"/>
                    <c:pt idx="0">
                      <c:v>6547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{6F37D2F6-7698-4A43-B7C4-A6D49F72B930}</c15:txfldGUID>
                      <c15:f>'C03A'!$S$23</c15:f>
                      <c15:dlblFieldTableCache>
                        <c:ptCount val="1"/>
                        <c:pt idx="0">
                          <c:v>6547</c:v>
                        </c:pt>
                      </c15:dlblFieldTableCache>
                    </c15:dlblFTEntry>
                  </c15:dlblFieldTable>
                  <c15:showDataLabelsRange val="0"/>
                </c:ext>
                <c:ext xmlns:c16="http://schemas.microsoft.com/office/drawing/2014/chart" uri="{C3380CC4-5D6E-409C-BE32-E72D297353CC}">
                  <c16:uniqueId val="{0000000C-E544-44BB-807B-3EB4E24805A0}"/>
                </c:ext>
              </c:extLst>
            </c:dLbl>
            <c:dLbl>
              <c:idx val="11"/>
              <c:tx>
                <c:strRef>
                  <c:f>'C03A'!$S$24</c:f>
                  <c:strCache>
                    <c:ptCount val="1"/>
                    <c:pt idx="0">
                      <c:v>6674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{20AA34DD-9C02-46C8-8EBE-77F3C26A3525}</c15:txfldGUID>
                      <c15:f>'C03A'!$S$24</c15:f>
                      <c15:dlblFieldTableCache>
                        <c:ptCount val="1"/>
                        <c:pt idx="0">
                          <c:v>6674</c:v>
                        </c:pt>
                      </c15:dlblFieldTableCache>
                    </c15:dlblFTEntry>
                  </c15:dlblFieldTable>
                  <c15:showDataLabelsRange val="0"/>
                </c:ext>
                <c:ext xmlns:c16="http://schemas.microsoft.com/office/drawing/2014/chart" uri="{C3380CC4-5D6E-409C-BE32-E72D297353CC}">
                  <c16:uniqueId val="{0000000D-E544-44BB-807B-3EB4E24805A0}"/>
                </c:ext>
              </c:extLst>
            </c:dLbl>
            <c:numFmt formatCode="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'C03A'!$A$13:$A$24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'C03A'!$R$13:$R$24</c:f>
              <c:numCache>
                <c:formatCode>0.000000</c:formatCode>
                <c:ptCount val="12"/>
                <c:pt idx="0">
                  <c:v>0.67954797699525782</c:v>
                </c:pt>
                <c:pt idx="1">
                  <c:v>0.70578145494904654</c:v>
                </c:pt>
                <c:pt idx="2">
                  <c:v>1</c:v>
                </c:pt>
                <c:pt idx="3">
                  <c:v>0.7343355867218242</c:v>
                </c:pt>
                <c:pt idx="4">
                  <c:v>0.70901019069720517</c:v>
                </c:pt>
                <c:pt idx="5">
                  <c:v>0.68328120270406623</c:v>
                </c:pt>
                <c:pt idx="6">
                  <c:v>0.75078195943900716</c:v>
                </c:pt>
                <c:pt idx="7">
                  <c:v>0.76783372010896989</c:v>
                </c:pt>
                <c:pt idx="8">
                  <c:v>0.76026637069922309</c:v>
                </c:pt>
                <c:pt idx="9">
                  <c:v>0.74684693774593891</c:v>
                </c:pt>
                <c:pt idx="10">
                  <c:v>0.66057915447482596</c:v>
                </c:pt>
                <c:pt idx="11">
                  <c:v>0.6733931994753305</c:v>
                </c:pt>
              </c:numCache>
            </c:numRef>
          </c:val>
          <c:extLst>
            <c:ext xmlns:c16="http://schemas.microsoft.com/office/drawing/2014/chart" uri="{C3380CC4-5D6E-409C-BE32-E72D297353CC}">
              <c16:uniqueId val="{00000008-E544-44BB-807B-3EB4E24805A0}"/>
            </c:ext>
          </c:extLst>
        </c:ser>
        <c:dLbls>
          <c:showLegendKey val="0"/>
          <c:showVal val="0"/>
          <c:showCatName val="0"/>
          <c:showSerName val="0"/>
          <c:showPercent val="0"/>
          <c:showBubbleSize val="0"/>
        </c:dLbls>
        <c:gapWidth val="23"/>
        <c:overlap val="76"/>
        <c:axId val="1199246224"/>
        <c:axId val="1095861232"/>
      </c:barChart>
      <c:catAx>
        <c:axId val="1199246224"/>
        <c:scaling>
          <c:orientation val="minMax"/>
        </c:scaling>
        <c:delete val="0"/>
        <c:axPos val="b"/>
        <c:numFmt formatCode="General" sourceLinked="1"/>
        <c:majorTickMark val="none"/>
        <c:minorTickMark val="none"/>
        <c:tickLblPos val="none"/>
        <c:crossAx val="1095861232"/>
        <c:crosses val="autoZero"/>
        <c:auto val="1"/>
        <c:lblAlgn val="ctr"/>
        <c:lblOffset val="100"/>
        <c:noMultiLvlLbl val="0"/>
      </c:catAx>
      <c:valAx>
        <c:axId val="1095861232"/>
        <c:scaling>
          <c:orientation val="minMax"/>
          <c:max val="1.0900473933649288"/>
          <c:min val="0"/>
        </c:scaling>
        <c:delete val="0"/>
        <c:axPos val="l"/>
        <c:numFmt formatCode="0.00000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199246224"/>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6511627906976742"/>
          <c:y val="0.06"/>
          <c:w val="0.66976744186046511"/>
          <c:h val="0.91249999999999998"/>
        </c:manualLayout>
      </c:layout>
      <c:barChart>
        <c:barDir val="bar"/>
        <c:grouping val="clustered"/>
        <c:varyColors val="0"/>
        <c:ser>
          <c:idx val="0"/>
          <c:order val="0"/>
          <c:tx>
            <c:v>PL</c:v>
          </c:tx>
          <c:spPr>
            <a:solidFill>
              <a:srgbClr val="FFFFFF"/>
            </a:solidFill>
            <a:ln w="9525">
              <a:solidFill>
                <a:srgbClr val="404040"/>
              </a:solidFill>
            </a:ln>
          </c:spPr>
          <c:invertIfNegative val="0"/>
          <c:cat>
            <c:strRef>
              <c:f>'C04A'!$A$13:$A$31</c:f>
              <c:strCache>
                <c:ptCount val="14"/>
                <c:pt idx="0">
                  <c:v>Dec</c:v>
                </c:pt>
                <c:pt idx="1">
                  <c:v>Nov</c:v>
                </c:pt>
                <c:pt idx="2">
                  <c:v>Jul</c:v>
                </c:pt>
                <c:pt idx="3">
                  <c:v>Sep</c:v>
                </c:pt>
                <c:pt idx="4">
                  <c:v>Oct</c:v>
                </c:pt>
                <c:pt idx="5">
                  <c:v>Feb</c:v>
                </c:pt>
                <c:pt idx="6">
                  <c:v>Jan</c:v>
                </c:pt>
                <c:pt idx="7">
                  <c:v>Aug</c:v>
                </c:pt>
                <c:pt idx="8">
                  <c:v>Apr</c:v>
                </c:pt>
                <c:pt idx="9">
                  <c:v>May</c:v>
                </c:pt>
                <c:pt idx="10">
                  <c:v>Jun</c:v>
                </c:pt>
                <c:pt idx="11">
                  <c:v>Mar</c:v>
                </c:pt>
                <c:pt idx="13">
                  <c:v>PL is not reported by the entity. Progressive publishes no monthly plan. The target it does publish is a 96 combined ratio - a 4% underwriting margin - applied here to each month's earned premium. Replace these cells with your own figures and every chart o</c:v>
                </c:pt>
              </c:strCache>
            </c:strRef>
          </c:cat>
          <c:val>
            <c:numRef>
              <c:f>'C04A'!$O$13:$O$31</c:f>
              <c:numCache>
                <c:formatCode>0.000000</c:formatCode>
                <c:ptCount val="19"/>
                <c:pt idx="0">
                  <c:v>0.24036281179138322</c:v>
                </c:pt>
                <c:pt idx="1">
                  <c:v>0.23015873015873015</c:v>
                </c:pt>
                <c:pt idx="2">
                  <c:v>0.25623582766439912</c:v>
                </c:pt>
                <c:pt idx="3">
                  <c:v>0.21088435374149661</c:v>
                </c:pt>
                <c:pt idx="4">
                  <c:v>0.24376417233560091</c:v>
                </c:pt>
                <c:pt idx="5">
                  <c:v>0.18934240362811791</c:v>
                </c:pt>
                <c:pt idx="6">
                  <c:v>0.22902494331065759</c:v>
                </c:pt>
                <c:pt idx="7">
                  <c:v>0.20861678004535147</c:v>
                </c:pt>
                <c:pt idx="8">
                  <c:v>0.2471655328798186</c:v>
                </c:pt>
                <c:pt idx="9">
                  <c:v>0.20408163265306123</c:v>
                </c:pt>
                <c:pt idx="10">
                  <c:v>0.20521541950113378</c:v>
                </c:pt>
                <c:pt idx="11">
                  <c:v>0.19614512471655329</c:v>
                </c:pt>
              </c:numCache>
            </c:numRef>
          </c:val>
          <c:extLst>
            <c:ext xmlns:c16="http://schemas.microsoft.com/office/drawing/2014/chart" uri="{C3380CC4-5D6E-409C-BE32-E72D297353CC}">
              <c16:uniqueId val="{00000007-E60A-4C28-81A1-A34D86BBD985}"/>
            </c:ext>
          </c:extLst>
        </c:ser>
        <c:ser>
          <c:idx val="1"/>
          <c:order val="1"/>
          <c:tx>
            <c:v>AC</c:v>
          </c:tx>
          <c:spPr>
            <a:solidFill>
              <a:srgbClr val="404040"/>
            </a:solidFill>
            <a:ln>
              <a:noFill/>
            </a:ln>
            <a:effectLst/>
            <a:extLst>
              <a:ext uri="{91240B29-F687-4F45-9708-019B960494DF}">
                <a14:hiddenLine xmlns:a14="http://schemas.microsoft.com/office/drawing/2010/main">
                  <a:noFill/>
                </a14:hiddenLine>
              </a:ext>
            </a:extLst>
          </c:spPr>
          <c:invertIfNegative val="0"/>
          <c:dLbls>
            <c:dLbl>
              <c:idx val="0"/>
              <c:tx>
                <c:strRef>
                  <c:f>'C04A'!$Q$13</c:f>
                  <c:strCache>
                    <c:ptCount val="1"/>
                    <c:pt idx="0">
                      <c:v>882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{6806BB81-3BC1-4454-A6D1-57A7ED66942B}</c15:txfldGUID>
                      <c15:f>'C04A'!$Q$13</c15:f>
                      <c15:dlblFieldTableCache>
                        <c:ptCount val="1"/>
                        <c:pt idx="0">
                          <c:v>882</c:v>
                        </c:pt>
                      </c15:dlblFieldTableCache>
                    </c15:dlblFTEntry>
                  </c15:dlblFieldTable>
                  <c15:showDataLabelsRange val="0"/>
                </c:ext>
                <c:ext xmlns:c16="http://schemas.microsoft.com/office/drawing/2014/chart" uri="{C3380CC4-5D6E-409C-BE32-E72D297353CC}">
                  <c16:uniqueId val="{00000009-E60A-4C28-81A1-A34D86BBD985}"/>
                </c:ext>
              </c:extLst>
            </c:dLbl>
            <c:dLbl>
              <c:idx val="1"/>
              <c:tx>
                <c:strRef>
                  <c:f>'C04A'!$Q$14</c:f>
                  <c:strCache>
                    <c:ptCount val="1"/>
                    <c:pt idx="0">
                      <c:v>528</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{D983127A-E199-4005-9E2A-BC4740A5EA03}</c15:txfldGUID>
                      <c15:f>'C04A'!$Q$14</c15:f>
                      <c15:dlblFieldTableCache>
                        <c:ptCount val="1"/>
                        <c:pt idx="0">
                          <c:v>528</c:v>
                        </c:pt>
                      </c15:dlblFieldTableCache>
                    </c15:dlblFTEntry>
                  </c15:dlblFieldTable>
                  <c15:showDataLabelsRange val="0"/>
                </c:ext>
                <c:ext xmlns:c16="http://schemas.microsoft.com/office/drawing/2014/chart" uri="{C3380CC4-5D6E-409C-BE32-E72D297353CC}">
                  <c16:uniqueId val="{0000000A-E60A-4C28-81A1-A34D86BBD985}"/>
                </c:ext>
              </c:extLst>
            </c:dLbl>
            <c:dLbl>
              <c:idx val="2"/>
              <c:tx>
                <c:strRef>
                  <c:f>'C04A'!$Q$15</c:f>
                  <c:strCache>
                    <c:ptCount val="1"/>
                    <c:pt idx="0">
                      <c:v>531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{4EFCB2A3-118E-4906-A5DB-B38C87847937}</c15:txfldGUID>
                      <c15:f>'C04A'!$Q$15</c15:f>
                      <c15:dlblFieldTableCache>
                        <c:ptCount val="1"/>
                        <c:pt idx="0">
                          <c:v>531</c:v>
                        </c:pt>
                      </c15:dlblFieldTableCache>
                    </c15:dlblFTEntry>
                  </c15:dlblFieldTable>
                  <c15:showDataLabelsRange val="0"/>
                </c:ext>
                <c:ext xmlns:c16="http://schemas.microsoft.com/office/drawing/2014/chart" uri="{C3380CC4-5D6E-409C-BE32-E72D297353CC}">
                  <c16:uniqueId val="{0000000B-E60A-4C28-81A1-A34D86BBD985}"/>
                </c:ext>
              </c:extLst>
            </c:dLbl>
            <c:dLbl>
              <c:idx val="3"/>
              <c:tx>
                <c:strRef>
                  <c:f>'C04A'!$Q$16</c:f>
                  <c:strCache>
                    <c:ptCount val="1"/>
                    <c:pt idx="0">
                      <c:v>479</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{7CAD4617-2E2A-401E-93B5-65B72B049C3A}</c15:txfldGUID>
                      <c15:f>'C04A'!$Q$16</c15:f>
                      <c15:dlblFieldTableCache>
                        <c:ptCount val="1"/>
                        <c:pt idx="0">
                          <c:v>479</c:v>
                        </c:pt>
                      </c15:dlblFieldTableCache>
                    </c15:dlblFTEntry>
                  </c15:dlblFieldTable>
                  <c15:showDataLabelsRange val="0"/>
                </c:ext>
                <c:ext xmlns:c16="http://schemas.microsoft.com/office/drawing/2014/chart" uri="{C3380CC4-5D6E-409C-BE32-E72D297353CC}">
                  <c16:uniqueId val="{0000000C-E60A-4C28-81A1-A34D86BBD985}"/>
                </c:ext>
              </c:extLst>
            </c:dLbl>
            <c:dLbl>
              <c:idx val="4"/>
              <c:tx>
                <c:strRef>
                  <c:f>'C04A'!$Q$17</c:f>
                  <c:strCache>
                    <c:ptCount val="1"/>
                    <c:pt idx="0">
                      <c:v>323</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{AC56EAD0-93FC-44DA-BB9F-1D09F9D50410}</c15:txfldGUID>
                      <c15:f>'C04A'!$Q$17</c15:f>
                      <c15:dlblFieldTableCache>
                        <c:ptCount val="1"/>
                        <c:pt idx="0">
                          <c:v>323</c:v>
                        </c:pt>
                      </c15:dlblFieldTableCache>
                    </c15:dlblFTEntry>
                  </c15:dlblFieldTable>
                  <c15:showDataLabelsRange val="0"/>
                </c:ext>
                <c:ext xmlns:c16="http://schemas.microsoft.com/office/drawing/2014/chart" uri="{C3380CC4-5D6E-409C-BE32-E72D297353CC}">
                  <c16:uniqueId val="{0000000D-E60A-4C28-81A1-A34D86BBD985}"/>
                </c:ext>
              </c:extLst>
            </c:dLbl>
            <c:dLbl>
              <c:idx val="5"/>
              <c:tx>
                <c:strRef>
                  <c:f>'C04A'!$Q$18</c:f>
                  <c:strCache>
                    <c:ptCount val="1"/>
                    <c:pt idx="0">
                      <c:v>204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{356A1144-6362-446F-B56F-A95D2125F37C}</c15:txfldGUID>
                      <c15:f>'C04A'!$Q$18</c15:f>
                      <c15:dlblFieldTableCache>
                        <c:ptCount val="1"/>
                        <c:pt idx="0">
                          <c:v>204</c:v>
                        </c:pt>
                      </c15:dlblFieldTableCache>
                    </c15:dlblFTEntry>
                  </c15:dlblFieldTable>
                  <c15:showDataLabelsRange val="0"/>
                </c:ext>
                <c:ext xmlns:c16="http://schemas.microsoft.com/office/drawing/2014/chart" uri="{C3380CC4-5D6E-409C-BE32-E72D297353CC}">
                  <c16:uniqueId val="{0000000E-E60A-4C28-81A1-A34D86BBD985}"/>
                </c:ext>
              </c:extLst>
            </c:dLbl>
            <c:dLbl>
              <c:idx val="6"/>
              <c:tx>
                <c:strRef>
                  <c:f>'C04A'!$Q$19</c:f>
                  <c:strCache>
                    <c:ptCount val="1"/>
                    <c:pt idx="0">
                      <c:v>202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{DD96EB3C-C6D1-4453-8B18-E05283DEB633}</c15:txfldGUID>
                      <c15:f>'C04A'!$Q$19</c15:f>
                      <c15:dlblFieldTableCache>
                        <c:ptCount val="1"/>
                        <c:pt idx="0">
                          <c:v>202</c:v>
                        </c:pt>
                      </c15:dlblFieldTableCache>
                    </c15:dlblFTEntry>
                  </c15:dlblFieldTable>
                  <c15:showDataLabelsRange val="0"/>
                </c:ext>
                <c:ext xmlns:c16="http://schemas.microsoft.com/office/drawing/2014/chart" uri="{C3380CC4-5D6E-409C-BE32-E72D297353CC}">
                  <c16:uniqueId val="{0000000F-E60A-4C28-81A1-A34D86BBD985}"/>
                </c:ext>
              </c:extLst>
            </c:dLbl>
            <c:dLbl>
              <c:idx val="7"/>
              <c:tx>
                <c:strRef>
                  <c:f>'C04A'!$Q$20</c:f>
                  <c:strCache>
                    <c:ptCount val="1"/>
                    <c:pt idx="0">
                      <c:v>129</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{0D6036E5-40D1-42BA-820A-25E69601B565}</c15:txfldGUID>
                      <c15:f>'C04A'!$Q$20</c15:f>
                      <c15:dlblFieldTableCache>
                        <c:ptCount val="1"/>
                        <c:pt idx="0">
                          <c:v>129</c:v>
                        </c:pt>
                      </c15:dlblFieldTableCache>
                    </c15:dlblFTEntry>
                  </c15:dlblFieldTable>
                  <c15:showDataLabelsRange val="0"/>
                </c:ext>
                <c:ext xmlns:c16="http://schemas.microsoft.com/office/drawing/2014/chart" uri="{C3380CC4-5D6E-409C-BE32-E72D297353CC}">
                  <c16:uniqueId val="{00000010-E60A-4C28-81A1-A34D86BBD985}"/>
                </c:ext>
              </c:extLst>
            </c:dLbl>
            <c:dLbl>
              <c:idx val="8"/>
              <c:tx>
                <c:strRef>
                  <c:f>'C04A'!$Q$21</c:f>
                  <c:strCache>
                    <c:ptCount val="1"/>
                    <c:pt idx="0">
                      <c:v>115</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{05F9EFC2-E6AE-4BB5-A3FD-8717BAE6579D}</c15:txfldGUID>
                      <c15:f>'C04A'!$Q$21</c15:f>
                      <c15:dlblFieldTableCache>
                        <c:ptCount val="1"/>
                        <c:pt idx="0">
                          <c:v>115</c:v>
                        </c:pt>
                      </c15:dlblFieldTableCache>
                    </c15:dlblFTEntry>
                  </c15:dlblFieldTable>
                  <c15:showDataLabelsRange val="0"/>
                </c:ext>
                <c:ext xmlns:c16="http://schemas.microsoft.com/office/drawing/2014/chart" uri="{C3380CC4-5D6E-409C-BE32-E72D297353CC}">
                  <c16:uniqueId val="{00000011-E60A-4C28-81A1-A34D86BBD985}"/>
                </c:ext>
              </c:extLst>
            </c:dLbl>
            <c:dLbl>
              <c:idx val="9"/>
              <c:tx>
                <c:strRef>
                  <c:f>'C04A'!$Q$22</c:f>
                  <c:strCache>
                    <c:ptCount val="1"/>
                    <c:pt idx="0">
                      <c:v>45</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{2E23BA46-74C9-40A3-82A9-AAFBC8E87B84}</c15:txfldGUID>
                      <c15:f>'C04A'!$Q$22</c15:f>
                      <c15:dlblFieldTableCache>
                        <c:ptCount val="1"/>
                        <c:pt idx="0">
                          <c:v>45</c:v>
                        </c:pt>
                      </c15:dlblFieldTableCache>
                    </c15:dlblFTEntry>
                  </c15:dlblFieldTable>
                  <c15:showDataLabelsRange val="0"/>
                </c:ext>
                <c:ext xmlns:c16="http://schemas.microsoft.com/office/drawing/2014/chart" uri="{C3380CC4-5D6E-409C-BE32-E72D297353CC}">
                  <c16:uniqueId val="{00000012-E60A-4C28-81A1-A34D86BBD985}"/>
                </c:ext>
              </c:extLst>
            </c:dLbl>
            <c:dLbl>
              <c:idx val="10"/>
              <c:tx>
                <c:strRef>
                  <c:f>'C04A'!$Q$23</c:f>
                  <c:strCache>
                    <c:ptCount val="1"/>
                    <c:pt idx="0">
                      <c:v>-221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{AA794B7B-4EB4-41F3-A3CE-2605A57BE52E}</c15:txfldGUID>
                      <c15:f>'C04A'!$Q$23</c15:f>
                      <c15:dlblFieldTableCache>
                        <c:ptCount val="1"/>
                        <c:pt idx="0">
                          <c:v>-221</c:v>
                        </c:pt>
                      </c15:dlblFieldTableCache>
                    </c15:dlblFTEntry>
                  </c15:dlblFieldTable>
                  <c15:showDataLabelsRange val="0"/>
                </c:ext>
                <c:ext xmlns:c16="http://schemas.microsoft.com/office/drawing/2014/chart" uri="{C3380CC4-5D6E-409C-BE32-E72D297353CC}">
                  <c16:uniqueId val="{00000013-E60A-4C28-81A1-A34D86BBD985}"/>
                </c:ext>
              </c:extLst>
            </c:dLbl>
            <c:dLbl>
              <c:idx val="11"/>
              <c:tx>
                <c:strRef>
                  <c:f>'C04A'!$Q$24</c:f>
                  <c:strCache>
                    <c:ptCount val="1"/>
                    <c:pt idx="0">
                      <c:v>-268</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{CFEA14AE-84FF-4E52-A885-17D989CDF8CF}</c15:txfldGUID>
                      <c15:f>'C04A'!$Q$24</c15:f>
                      <c15:dlblFieldTableCache>
                        <c:ptCount val="1"/>
                        <c:pt idx="0">
                          <c:v>-268</c:v>
                        </c:pt>
                      </c15:dlblFieldTableCache>
                    </c15:dlblFTEntry>
                  </c15:dlblFieldTable>
                  <c15:showDataLabelsRange val="0"/>
                </c:ext>
                <c:ext xmlns:c16="http://schemas.microsoft.com/office/drawing/2014/chart" uri="{C3380CC4-5D6E-409C-BE32-E72D297353CC}">
                  <c16:uniqueId val="{00000014-E60A-4C28-81A1-A34D86BBD985}"/>
                </c:ext>
              </c:extLst>
            </c:dLbl>
            <c:dLbl>
              <c:idx val="12"/>
              <c:tx>
                <c:strRef>
                  <c:f>'C04A'!$Q$25</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{C46E5E94-3155-4C8C-B7DD-9772E1A64A60}</c15:txfldGUID>
                      <c15:f>'C04A'!$Q$25</c15:f>
                      <c15:dlblFieldTableCache>
                        <c:ptCount val="1"/>
                      </c15:dlblFieldTableCache>
                    </c15:dlblFTEntry>
                  </c15:dlblFieldTable>
                  <c15:showDataLabelsRange val="0"/>
                </c:ext>
                <c:ext xmlns:c16="http://schemas.microsoft.com/office/drawing/2014/chart" uri="{C3380CC4-5D6E-409C-BE32-E72D297353CC}">
                  <c16:uniqueId val="{00000015-E60A-4C28-81A1-A34D86BBD985}"/>
                </c:ext>
              </c:extLst>
            </c:dLbl>
            <c:dLbl>
              <c:idx val="13"/>
              <c:tx>
                <c:strRef>
                  <c:f>'C04A'!$Q$26</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{873487BC-31DD-4CCF-89D4-00A401BD633C}</c15:txfldGUID>
                      <c15:f>'C04A'!$Q$26</c15:f>
                      <c15:dlblFieldTableCache>
                        <c:ptCount val="1"/>
                      </c15:dlblFieldTableCache>
                    </c15:dlblFTEntry>
                  </c15:dlblFieldTable>
                  <c15:showDataLabelsRange val="0"/>
                </c:ext>
                <c:ext xmlns:c16="http://schemas.microsoft.com/office/drawing/2014/chart" uri="{C3380CC4-5D6E-409C-BE32-E72D297353CC}">
                  <c16:uniqueId val="{00000016-E60A-4C28-81A1-A34D86BBD985}"/>
                </c:ext>
              </c:extLst>
            </c:dLbl>
            <c:dLbl>
              <c:idx val="14"/>
              <c:tx>
                <c:strRef>
                  <c:f>'C04A'!$Q$27</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{2F4B5D41-2FCA-4650-A80D-7893923AF537}</c15:txfldGUID>
                      <c15:f>'C04A'!$Q$27</c15:f>
                      <c15:dlblFieldTableCache>
                        <c:ptCount val="1"/>
                      </c15:dlblFieldTableCache>
                    </c15:dlblFTEntry>
                  </c15:dlblFieldTable>
                  <c15:showDataLabelsRange val="0"/>
                </c:ext>
                <c:ext xmlns:c16="http://schemas.microsoft.com/office/drawing/2014/chart" uri="{C3380CC4-5D6E-409C-BE32-E72D297353CC}">
                  <c16:uniqueId val="{00000017-E60A-4C28-81A1-A34D86BBD985}"/>
                </c:ext>
              </c:extLst>
            </c:dLbl>
            <c:dLbl>
              <c:idx val="15"/>
              <c:tx>
                <c:strRef>
                  <c:f>'C04A'!$Q$28</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{B21F102B-7080-4454-A465-365CBF082681}</c15:txfldGUID>
                      <c15:f>'C04A'!$Q$28</c15:f>
                      <c15:dlblFieldTableCache>
                        <c:ptCount val="1"/>
                      </c15:dlblFieldTableCache>
                    </c15:dlblFTEntry>
                  </c15:dlblFieldTable>
                  <c15:showDataLabelsRange val="0"/>
                </c:ext>
                <c:ext xmlns:c16="http://schemas.microsoft.com/office/drawing/2014/chart" uri="{C3380CC4-5D6E-409C-BE32-E72D297353CC}">
                  <c16:uniqueId val="{00000018-E60A-4C28-81A1-A34D86BBD985}"/>
                </c:ext>
              </c:extLst>
            </c:dLbl>
            <c:dLbl>
              <c:idx val="16"/>
              <c:tx>
                <c:strRef>
                  <c:f>'C04A'!$Q$29</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{99E31FFD-5106-410C-B2F8-7F16380A8D38}</c15:txfldGUID>
                      <c15:f>'C04A'!$Q$29</c15:f>
                      <c15:dlblFieldTableCache>
                        <c:ptCount val="1"/>
                      </c15:dlblFieldTableCache>
                    </c15:dlblFTEntry>
                  </c15:dlblFieldTable>
                  <c15:showDataLabelsRange val="0"/>
                </c:ext>
                <c:ext xmlns:c16="http://schemas.microsoft.com/office/drawing/2014/chart" uri="{C3380CC4-5D6E-409C-BE32-E72D297353CC}">
                  <c16:uniqueId val="{00000019-E60A-4C28-81A1-A34D86BBD985}"/>
                </c:ext>
              </c:extLst>
            </c:dLbl>
            <c:dLbl>
              <c:idx val="17"/>
              <c:tx>
                <c:strRef>
                  <c:f>'C04A'!$Q$30</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{7AD65A08-857F-44A0-A06D-027FAB59F9B6}</c15:txfldGUID>
                      <c15:f>'C04A'!$Q$30</c15:f>
                      <c15:dlblFieldTableCache>
                        <c:ptCount val="1"/>
                      </c15:dlblFieldTableCache>
                    </c15:dlblFTEntry>
                  </c15:dlblFieldTable>
                  <c15:showDataLabelsRange val="0"/>
                </c:ext>
                <c:ext xmlns:c16="http://schemas.microsoft.com/office/drawing/2014/chart" uri="{C3380CC4-5D6E-409C-BE32-E72D297353CC}">
                  <c16:uniqueId val="{0000001A-E60A-4C28-81A1-A34D86BBD985}"/>
                </c:ext>
              </c:extLst>
            </c:dLbl>
            <c:dLbl>
              <c:idx val="18"/>
              <c:tx>
                <c:strRef>
                  <c:f>'C04A'!$Q$31</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{1ACD72EF-1BB8-493C-968E-F71423B342C5}</c15:txfldGUID>
                      <c15:f>'C04A'!$Q$31</c15:f>
                      <c15:dlblFieldTableCache>
                        <c:ptCount val="1"/>
                      </c15:dlblFieldTableCache>
                    </c15:dlblFTEntry>
                  </c15:dlblFieldTable>
                  <c15:showDataLabelsRange val="0"/>
                </c:ext>
                <c:ext xmlns:c16="http://schemas.microsoft.com/office/drawing/2014/chart" uri="{C3380CC4-5D6E-409C-BE32-E72D297353CC}">
                  <c16:uniqueId val="{0000001B-E60A-4C28-81A1-A34D86BBD985}"/>
                </c:ext>
              </c:extLst>
            </c:dLbl>
            <c:numFmt formatCode="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'C04A'!$A$13:$A$31</c:f>
              <c:strCache>
                <c:ptCount val="14"/>
                <c:pt idx="0">
                  <c:v>Dec</c:v>
                </c:pt>
                <c:pt idx="1">
                  <c:v>Nov</c:v>
                </c:pt>
                <c:pt idx="2">
                  <c:v>Jul</c:v>
                </c:pt>
                <c:pt idx="3">
                  <c:v>Sep</c:v>
                </c:pt>
                <c:pt idx="4">
                  <c:v>Oct</c:v>
                </c:pt>
                <c:pt idx="5">
                  <c:v>Feb</c:v>
                </c:pt>
                <c:pt idx="6">
                  <c:v>Jan</c:v>
                </c:pt>
                <c:pt idx="7">
                  <c:v>Aug</c:v>
                </c:pt>
                <c:pt idx="8">
                  <c:v>Apr</c:v>
                </c:pt>
                <c:pt idx="9">
                  <c:v>May</c:v>
                </c:pt>
                <c:pt idx="10">
                  <c:v>Jun</c:v>
                </c:pt>
                <c:pt idx="11">
                  <c:v>Mar</c:v>
                </c:pt>
                <c:pt idx="13">
                  <c:v>PL is not reported by the entity. Progressive publishes no monthly plan. The target it does publish is a 96 combined ratio - a 4% underwriting margin - applied here to each month's earned premium. Replace these cells with your own figures and every chart o</c:v>
                </c:pt>
              </c:strCache>
            </c:strRef>
          </c:cat>
          <c:val>
            <c:numRef>
              <c:f>'C04A'!$P$13:$P$31</c:f>
              <c:numCache>
                <c:formatCode>0.000000</c:formatCode>
                <c:ptCount val="19"/>
                <c:pt idx="0">
                  <c:v>1</c:v>
                </c:pt>
                <c:pt idx="1">
                  <c:v>0.59863945578231292</c:v>
                </c:pt>
                <c:pt idx="2">
                  <c:v>0.60204081632653061</c:v>
                </c:pt>
                <c:pt idx="3">
                  <c:v>0.54308390022675734</c:v>
                </c:pt>
                <c:pt idx="4">
                  <c:v>0.36621315192743764</c:v>
                </c:pt>
                <c:pt idx="5">
                  <c:v>0.23129251700680273</c:v>
                </c:pt>
                <c:pt idx="6">
                  <c:v>0.22902494331065759</c:v>
                </c:pt>
                <c:pt idx="7">
                  <c:v>0.14625850340136054</c:v>
                </c:pt>
                <c:pt idx="8">
                  <c:v>0.13038548752834467</c:v>
                </c:pt>
                <c:pt idx="9">
                  <c:v>5.1020408163265307E-2</c:v>
                </c:pt>
                <c:pt idx="10">
                  <c:v>-0.25056689342403626</c:v>
                </c:pt>
                <c:pt idx="11">
                  <c:v>-0.30385487528344673</c:v>
                </c:pt>
              </c:numCache>
            </c:numRef>
          </c:val>
          <c:extLst>
            <c:ext xmlns:c16="http://schemas.microsoft.com/office/drawing/2014/chart" uri="{C3380CC4-5D6E-409C-BE32-E72D297353CC}">
              <c16:uniqueId val="{00000008-E60A-4C28-81A1-A34D86BBD985}"/>
            </c:ext>
          </c:extLst>
        </c:ser>
        <c:dLbls>
          <c:showLegendKey val="0"/>
          <c:showVal val="0"/>
          <c:showCatName val="0"/>
          <c:showSerName val="0"/>
          <c:showPercent val="0"/>
          <c:showBubbleSize val="0"/>
        </c:dLbls>
        <c:gapWidth val="20"/>
        <c:overlap val="76"/>
        <c:axId val="1201650368"/>
        <c:axId val="1095950032"/>
      </c:barChart>
      <c:catAx>
        <c:axId val="1201650368"/>
        <c:scaling>
          <c:orientation val="maxMin"/>
        </c:scaling>
        <c:delete val="0"/>
        <c:axPos val="l"/>
        <c:numFmt formatCode="General" sourceLinked="1"/>
        <c:majorTickMark val="none"/>
        <c:minorTickMark val="none"/>
        <c:tickLblPos val="low"/>
        <c:txPr>
          <a:bodyPr/>
          <a:lstStyle/>
          <a:p>
            <a:pPr>
              <a:defRPr sz="900">
                <a:latin typeface="Arial"/>
                <a:ea typeface="Arial"/>
                <a:cs typeface="Arial"/>
              </a:defRPr>
            </a:pPr>
            <a:endParaRPr lang="en-US"/>
          </a:p>
        </c:txPr>
        <c:crossAx val="1095950032"/>
        <c:crosses val="autoZero"/>
        <c:auto val="1"/>
        <c:lblAlgn val="ctr"/>
        <c:lblOffset val="100"/>
        <c:noMultiLvlLbl val="0"/>
      </c:catAx>
      <c:valAx>
        <c:axId val="1095950032"/>
        <c:scaling>
          <c:orientation val="minMax"/>
          <c:max val="1.8260000000000001"/>
          <c:min val="-0.35"/>
        </c:scaling>
        <c:delete val="0"/>
        <c:axPos val="b"/>
        <c:numFmt formatCode="0.00000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01650368"/>
        <c:crosses val="max"/>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599999999999999"/>
          <c:y val="0.06"/>
          <c:w val="0.72"/>
          <c:h val="0.91249999999999998"/>
        </c:manualLayout>
      </c:layout>
      <c:barChart>
        <c:barDir val="bar"/>
        <c:grouping val="clustered"/>
        <c:varyColors val="0"/>
        <c:ser>
          <c:idx val="0"/>
          <c:order val="0"/>
          <c:tx>
            <c:v>ΔPL</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dLbls>
            <c:dLbl>
              <c:idx val="0"/>
              <c:tx>
                <c:strRef>
                  <c:f>'C04A'!$S$13</c:f>
                  <c:strCache>
                    <c:ptCount val="1"/>
                    <c:pt idx="0">
                      <c:v>+670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{7B222F09-9B62-403F-B07C-2ECD13D172D4}</c15:txfldGUID>
                      <c15:f>'C04A'!$S$13</c15:f>
                      <c15:dlblFieldTableCache>
                        <c:ptCount val="1"/>
                        <c:pt idx="0">
                          <c:v>+670</c:v>
                        </c:pt>
                      </c15:dlblFieldTableCache>
                    </c15:dlblFTEntry>
                  </c15:dlblFieldTable>
                  <c15:showDataLabelsRange val="0"/>
                </c:ext>
                <c:ext xmlns:c16="http://schemas.microsoft.com/office/drawing/2014/chart" uri="{C3380CC4-5D6E-409C-BE32-E72D297353CC}">
                  <c16:uniqueId val="{00000008-6CD4-4211-898B-A97915C89E8F}"/>
                </c:ext>
              </c:extLst>
            </c:dLbl>
            <c:dLbl>
              <c:idx val="1"/>
              <c:tx>
                <c:strRef>
                  <c:f>'C04A'!$S$14</c:f>
                  <c:strCache>
                    <c:ptCount val="1"/>
                    <c:pt idx="0">
                      <c:v>+325</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{FBC70BBF-9C48-4D7F-8D9E-6DA21E2D6146}</c15:txfldGUID>
                      <c15:f>'C04A'!$S$14</c15:f>
                      <c15:dlblFieldTableCache>
                        <c:ptCount val="1"/>
                        <c:pt idx="0">
                          <c:v>+325</c:v>
                        </c:pt>
                      </c15:dlblFieldTableCache>
                    </c15:dlblFTEntry>
                  </c15:dlblFieldTable>
                  <c15:showDataLabelsRange val="0"/>
                </c:ext>
                <c:ext xmlns:c16="http://schemas.microsoft.com/office/drawing/2014/chart" uri="{C3380CC4-5D6E-409C-BE32-E72D297353CC}">
                  <c16:uniqueId val="{00000009-6CD4-4211-898B-A97915C89E8F}"/>
                </c:ext>
              </c:extLst>
            </c:dLbl>
            <c:dLbl>
              <c:idx val="2"/>
              <c:tx>
                <c:strRef>
                  <c:f>'C04A'!$S$15</c:f>
                  <c:strCache>
                    <c:ptCount val="1"/>
                    <c:pt idx="0">
                      <c:v>+305</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{8086F16C-3440-46E6-9FEE-2D165F0BCE2D}</c15:txfldGUID>
                      <c15:f>'C04A'!$S$15</c15:f>
                      <c15:dlblFieldTableCache>
                        <c:ptCount val="1"/>
                        <c:pt idx="0">
                          <c:v>+305</c:v>
                        </c:pt>
                      </c15:dlblFieldTableCache>
                    </c15:dlblFTEntry>
                  </c15:dlblFieldTable>
                  <c15:showDataLabelsRange val="0"/>
                </c:ext>
                <c:ext xmlns:c16="http://schemas.microsoft.com/office/drawing/2014/chart" uri="{C3380CC4-5D6E-409C-BE32-E72D297353CC}">
                  <c16:uniqueId val="{0000000A-6CD4-4211-898B-A97915C89E8F}"/>
                </c:ext>
              </c:extLst>
            </c:dLbl>
            <c:dLbl>
              <c:idx val="3"/>
              <c:tx>
                <c:strRef>
                  <c:f>'C04A'!$S$16</c:f>
                  <c:strCache>
                    <c:ptCount val="1"/>
                    <c:pt idx="0">
                      <c:v>+293</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{9D9F053B-0D85-428C-9965-E7D57B63DD94}</c15:txfldGUID>
                      <c15:f>'C04A'!$S$16</c15:f>
                      <c15:dlblFieldTableCache>
                        <c:ptCount val="1"/>
                        <c:pt idx="0">
                          <c:v>+293</c:v>
                        </c:pt>
                      </c15:dlblFieldTableCache>
                    </c15:dlblFTEntry>
                  </c15:dlblFieldTable>
                  <c15:showDataLabelsRange val="0"/>
                </c:ext>
                <c:ext xmlns:c16="http://schemas.microsoft.com/office/drawing/2014/chart" uri="{C3380CC4-5D6E-409C-BE32-E72D297353CC}">
                  <c16:uniqueId val="{0000000B-6CD4-4211-898B-A97915C89E8F}"/>
                </c:ext>
              </c:extLst>
            </c:dLbl>
            <c:dLbl>
              <c:idx val="4"/>
              <c:tx>
                <c:strRef>
                  <c:f>'C04A'!$S$17</c:f>
                  <c:strCache>
                    <c:ptCount val="1"/>
                    <c:pt idx="0">
                      <c:v>+108</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{0FB534C0-5FC5-4236-80D2-D57B681B9D55}</c15:txfldGUID>
                      <c15:f>'C04A'!$S$17</c15:f>
                      <c15:dlblFieldTableCache>
                        <c:ptCount val="1"/>
                        <c:pt idx="0">
                          <c:v>+108</c:v>
                        </c:pt>
                      </c15:dlblFieldTableCache>
                    </c15:dlblFTEntry>
                  </c15:dlblFieldTable>
                  <c15:showDataLabelsRange val="0"/>
                </c:ext>
                <c:ext xmlns:c16="http://schemas.microsoft.com/office/drawing/2014/chart" uri="{C3380CC4-5D6E-409C-BE32-E72D297353CC}">
                  <c16:uniqueId val="{0000000C-6CD4-4211-898B-A97915C89E8F}"/>
                </c:ext>
              </c:extLst>
            </c:dLbl>
            <c:dLbl>
              <c:idx val="5"/>
              <c:tx>
                <c:strRef>
                  <c:f>'C04A'!$S$18</c:f>
                  <c:strCache>
                    <c:ptCount val="1"/>
                    <c:pt idx="0">
                      <c:v>+37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{47364DF7-F8AC-4250-B97E-6B33E66D98C3}</c15:txfldGUID>
                      <c15:f>'C04A'!$S$18</c15:f>
                      <c15:dlblFieldTableCache>
                        <c:ptCount val="1"/>
                        <c:pt idx="0">
                          <c:v>+37</c:v>
                        </c:pt>
                      </c15:dlblFieldTableCache>
                    </c15:dlblFTEntry>
                  </c15:dlblFieldTable>
                  <c15:showDataLabelsRange val="0"/>
                </c:ext>
                <c:ext xmlns:c16="http://schemas.microsoft.com/office/drawing/2014/chart" uri="{C3380CC4-5D6E-409C-BE32-E72D297353CC}">
                  <c16:uniqueId val="{0000000D-6CD4-4211-898B-A97915C89E8F}"/>
                </c:ext>
              </c:extLst>
            </c:dLbl>
            <c:dLbl>
              <c:idx val="6"/>
              <c:tx>
                <c:strRef>
                  <c:f>'C04A'!$S$19</c:f>
                  <c:strCache>
                    <c:ptCount val="1"/>
                    <c:pt idx="0">
                      <c:v>+0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{351D4C7C-0410-47D5-BFE9-3EF1B7715A9E}</c15:txfldGUID>
                      <c15:f>'C04A'!$S$19</c15:f>
                      <c15:dlblFieldTableCache>
                        <c:ptCount val="1"/>
                        <c:pt idx="0">
                          <c:v>+0</c:v>
                        </c:pt>
                      </c15:dlblFieldTableCache>
                    </c15:dlblFTEntry>
                  </c15:dlblFieldTable>
                  <c15:showDataLabelsRange val="0"/>
                </c:ext>
                <c:ext xmlns:c16="http://schemas.microsoft.com/office/drawing/2014/chart" uri="{C3380CC4-5D6E-409C-BE32-E72D297353CC}">
                  <c16:uniqueId val="{0000000E-6CD4-4211-898B-A97915C89E8F}"/>
                </c:ext>
              </c:extLst>
            </c:dLbl>
            <c:dLbl>
              <c:idx val="7"/>
              <c:tx>
                <c:strRef>
                  <c:f>'C04A'!$S$20</c:f>
                  <c:strCache>
                    <c:ptCount val="1"/>
                    <c:pt idx="0">
                      <c:v>-55</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{C2FE8731-67F1-4F72-A5EF-99B2100DC310}</c15:txfldGUID>
                      <c15:f>'C04A'!$S$20</c15:f>
                      <c15:dlblFieldTableCache>
                        <c:ptCount val="1"/>
                        <c:pt idx="0">
                          <c:v>-55</c:v>
                        </c:pt>
                      </c15:dlblFieldTableCache>
                    </c15:dlblFTEntry>
                  </c15:dlblFieldTable>
                  <c15:showDataLabelsRange val="0"/>
                </c:ext>
                <c:ext xmlns:c16="http://schemas.microsoft.com/office/drawing/2014/chart" uri="{C3380CC4-5D6E-409C-BE32-E72D297353CC}">
                  <c16:uniqueId val="{0000000F-6CD4-4211-898B-A97915C89E8F}"/>
                </c:ext>
              </c:extLst>
            </c:dLbl>
            <c:dLbl>
              <c:idx val="8"/>
              <c:tx>
                <c:strRef>
                  <c:f>'C04A'!$S$21</c:f>
                  <c:strCache>
                    <c:ptCount val="1"/>
                    <c:pt idx="0">
                      <c:v>-103</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{0F7E6D36-C566-4600-9DEA-3994392AB213}</c15:txfldGUID>
                      <c15:f>'C04A'!$S$21</c15:f>
                      <c15:dlblFieldTableCache>
                        <c:ptCount val="1"/>
                        <c:pt idx="0">
                          <c:v>-103</c:v>
                        </c:pt>
                      </c15:dlblFieldTableCache>
                    </c15:dlblFTEntry>
                  </c15:dlblFieldTable>
                  <c15:showDataLabelsRange val="0"/>
                </c:ext>
                <c:ext xmlns:c16="http://schemas.microsoft.com/office/drawing/2014/chart" uri="{C3380CC4-5D6E-409C-BE32-E72D297353CC}">
                  <c16:uniqueId val="{00000010-6CD4-4211-898B-A97915C89E8F}"/>
                </c:ext>
              </c:extLst>
            </c:dLbl>
            <c:dLbl>
              <c:idx val="9"/>
              <c:tx>
                <c:strRef>
                  <c:f>'C04A'!$S$22</c:f>
                  <c:strCache>
                    <c:ptCount val="1"/>
                    <c:pt idx="0">
                      <c:v>-135</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{9FB5F361-3DBB-45B0-8AF0-B83DD952DF61}</c15:txfldGUID>
                      <c15:f>'C04A'!$S$22</c15:f>
                      <c15:dlblFieldTableCache>
                        <c:ptCount val="1"/>
                        <c:pt idx="0">
                          <c:v>-135</c:v>
                        </c:pt>
                      </c15:dlblFieldTableCache>
                    </c15:dlblFTEntry>
                  </c15:dlblFieldTable>
                  <c15:showDataLabelsRange val="0"/>
                </c:ext>
                <c:ext xmlns:c16="http://schemas.microsoft.com/office/drawing/2014/chart" uri="{C3380CC4-5D6E-409C-BE32-E72D297353CC}">
                  <c16:uniqueId val="{00000011-6CD4-4211-898B-A97915C89E8F}"/>
                </c:ext>
              </c:extLst>
            </c:dLbl>
            <c:dLbl>
              <c:idx val="10"/>
              <c:tx>
                <c:strRef>
                  <c:f>'C04A'!$S$23</c:f>
                  <c:strCache>
                    <c:ptCount val="1"/>
                    <c:pt idx="0">
                      <c:v>-402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{6C43B8FB-C85F-478D-9BAE-B3DF0EABB93B}</c15:txfldGUID>
                      <c15:f>'C04A'!$S$23</c15:f>
                      <c15:dlblFieldTableCache>
                        <c:ptCount val="1"/>
                        <c:pt idx="0">
                          <c:v>-402</c:v>
                        </c:pt>
                      </c15:dlblFieldTableCache>
                    </c15:dlblFTEntry>
                  </c15:dlblFieldTable>
                  <c15:showDataLabelsRange val="0"/>
                </c:ext>
                <c:ext xmlns:c16="http://schemas.microsoft.com/office/drawing/2014/chart" uri="{C3380CC4-5D6E-409C-BE32-E72D297353CC}">
                  <c16:uniqueId val="{00000012-6CD4-4211-898B-A97915C89E8F}"/>
                </c:ext>
              </c:extLst>
            </c:dLbl>
            <c:dLbl>
              <c:idx val="11"/>
              <c:tx>
                <c:strRef>
                  <c:f>'C04A'!$S$24</c:f>
                  <c:strCache>
                    <c:ptCount val="1"/>
                    <c:pt idx="0">
                      <c:v>-441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{D6220B76-8B72-4A20-BD68-CC8ACB5376EA}</c15:txfldGUID>
                      <c15:f>'C04A'!$S$24</c15:f>
                      <c15:dlblFieldTableCache>
                        <c:ptCount val="1"/>
                        <c:pt idx="0">
                          <c:v>-441</c:v>
                        </c:pt>
                      </c15:dlblFieldTableCache>
                    </c15:dlblFTEntry>
                  </c15:dlblFieldTable>
                  <c15:showDataLabelsRange val="0"/>
                </c:ext>
                <c:ext xmlns:c16="http://schemas.microsoft.com/office/drawing/2014/chart" uri="{C3380CC4-5D6E-409C-BE32-E72D297353CC}">
                  <c16:uniqueId val="{00000013-6CD4-4211-898B-A97915C89E8F}"/>
                </c:ext>
              </c:extLst>
            </c:dLbl>
            <c:dLbl>
              <c:idx val="12"/>
              <c:tx>
                <c:strRef>
                  <c:f>'C04A'!$S$25</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{238D0609-799C-40F0-BA24-884C66B5A152}</c15:txfldGUID>
                      <c15:f>'C04A'!$S$25</c15:f>
                      <c15:dlblFieldTableCache>
                        <c:ptCount val="1"/>
                      </c15:dlblFieldTableCache>
                    </c15:dlblFTEntry>
                  </c15:dlblFieldTable>
                  <c15:showDataLabelsRange val="0"/>
                </c:ext>
                <c:ext xmlns:c16="http://schemas.microsoft.com/office/drawing/2014/chart" uri="{C3380CC4-5D6E-409C-BE32-E72D297353CC}">
                  <c16:uniqueId val="{00000014-6CD4-4211-898B-A97915C89E8F}"/>
                </c:ext>
              </c:extLst>
            </c:dLbl>
            <c:dLbl>
              <c:idx val="13"/>
              <c:tx>
                <c:strRef>
                  <c:f>'C04A'!$S$26</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{E56BDDE9-9110-4DEF-955E-FC1D699665E5}</c15:txfldGUID>
                      <c15:f>'C04A'!$S$26</c15:f>
                      <c15:dlblFieldTableCache>
                        <c:ptCount val="1"/>
                      </c15:dlblFieldTableCache>
                    </c15:dlblFTEntry>
                  </c15:dlblFieldTable>
                  <c15:showDataLabelsRange val="0"/>
                </c:ext>
                <c:ext xmlns:c16="http://schemas.microsoft.com/office/drawing/2014/chart" uri="{C3380CC4-5D6E-409C-BE32-E72D297353CC}">
                  <c16:uniqueId val="{00000015-6CD4-4211-898B-A97915C89E8F}"/>
                </c:ext>
              </c:extLst>
            </c:dLbl>
            <c:dLbl>
              <c:idx val="14"/>
              <c:tx>
                <c:strRef>
                  <c:f>'C04A'!$S$27</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{4387172B-EE7E-475C-A938-E6E9949C3883}</c15:txfldGUID>
                      <c15:f>'C04A'!$S$27</c15:f>
                      <c15:dlblFieldTableCache>
                        <c:ptCount val="1"/>
                      </c15:dlblFieldTableCache>
                    </c15:dlblFTEntry>
                  </c15:dlblFieldTable>
                  <c15:showDataLabelsRange val="0"/>
                </c:ext>
                <c:ext xmlns:c16="http://schemas.microsoft.com/office/drawing/2014/chart" uri="{C3380CC4-5D6E-409C-BE32-E72D297353CC}">
                  <c16:uniqueId val="{00000016-6CD4-4211-898B-A97915C89E8F}"/>
                </c:ext>
              </c:extLst>
            </c:dLbl>
            <c:dLbl>
              <c:idx val="15"/>
              <c:tx>
                <c:strRef>
                  <c:f>'C04A'!$S$28</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{C6FBAF3A-30AA-47C2-B7E0-024579261954}</c15:txfldGUID>
                      <c15:f>'C04A'!$S$28</c15:f>
                      <c15:dlblFieldTableCache>
                        <c:ptCount val="1"/>
                      </c15:dlblFieldTableCache>
                    </c15:dlblFTEntry>
                  </c15:dlblFieldTable>
                  <c15:showDataLabelsRange val="0"/>
                </c:ext>
                <c:ext xmlns:c16="http://schemas.microsoft.com/office/drawing/2014/chart" uri="{C3380CC4-5D6E-409C-BE32-E72D297353CC}">
                  <c16:uniqueId val="{00000017-6CD4-4211-898B-A97915C89E8F}"/>
                </c:ext>
              </c:extLst>
            </c:dLbl>
            <c:dLbl>
              <c:idx val="16"/>
              <c:tx>
                <c:strRef>
                  <c:f>'C04A'!$S$29</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{B89CD8B3-0FC0-4C1B-AF45-D0E7B5A9BDAD}</c15:txfldGUID>
                      <c15:f>'C04A'!$S$29</c15:f>
                      <c15:dlblFieldTableCache>
                        <c:ptCount val="1"/>
                      </c15:dlblFieldTableCache>
                    </c15:dlblFTEntry>
                  </c15:dlblFieldTable>
                  <c15:showDataLabelsRange val="0"/>
                </c:ext>
                <c:ext xmlns:c16="http://schemas.microsoft.com/office/drawing/2014/chart" uri="{C3380CC4-5D6E-409C-BE32-E72D297353CC}">
                  <c16:uniqueId val="{00000018-6CD4-4211-898B-A97915C89E8F}"/>
                </c:ext>
              </c:extLst>
            </c:dLbl>
            <c:dLbl>
              <c:idx val="17"/>
              <c:tx>
                <c:strRef>
                  <c:f>'C04A'!$S$30</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{30526EF0-4DAB-489C-A293-AD6784C65868}</c15:txfldGUID>
                      <c15:f>'C04A'!$S$30</c15:f>
                      <c15:dlblFieldTableCache>
                        <c:ptCount val="1"/>
                      </c15:dlblFieldTableCache>
                    </c15:dlblFTEntry>
                  </c15:dlblFieldTable>
                  <c15:showDataLabelsRange val="0"/>
                </c:ext>
                <c:ext xmlns:c16="http://schemas.microsoft.com/office/drawing/2014/chart" uri="{C3380CC4-5D6E-409C-BE32-E72D297353CC}">
                  <c16:uniqueId val="{00000019-6CD4-4211-898B-A97915C89E8F}"/>
                </c:ext>
              </c:extLst>
            </c:dLbl>
            <c:dLbl>
              <c:idx val="18"/>
              <c:tx>
                <c:strRef>
                  <c:f>'C04A'!$S$31</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{DF3058A6-A064-48CF-B613-B1D3AA734C5E}</c15:txfldGUID>
                      <c15:f>'C04A'!$S$31</c15:f>
                      <c15:dlblFieldTableCache>
                        <c:ptCount val="1"/>
                      </c15:dlblFieldTableCache>
                    </c15:dlblFTEntry>
                  </c15:dlblFieldTable>
                  <c15:showDataLabelsRange val="0"/>
                </c:ext>
                <c:ext xmlns:c16="http://schemas.microsoft.com/office/drawing/2014/chart" uri="{C3380CC4-5D6E-409C-BE32-E72D297353CC}">
                  <c16:uniqueId val="{0000001A-6CD4-4211-898B-A97915C89E8F}"/>
                </c:ext>
              </c:extLst>
            </c:dLbl>
            <c:numFmt formatCode="\+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'C04A'!$A$13:$A$31</c:f>
              <c:strCache>
                <c:ptCount val="14"/>
                <c:pt idx="0">
                  <c:v>Dec</c:v>
                </c:pt>
                <c:pt idx="1">
                  <c:v>Nov</c:v>
                </c:pt>
                <c:pt idx="2">
                  <c:v>Jul</c:v>
                </c:pt>
                <c:pt idx="3">
                  <c:v>Sep</c:v>
                </c:pt>
                <c:pt idx="4">
                  <c:v>Oct</c:v>
                </c:pt>
                <c:pt idx="5">
                  <c:v>Feb</c:v>
                </c:pt>
                <c:pt idx="6">
                  <c:v>Jan</c:v>
                </c:pt>
                <c:pt idx="7">
                  <c:v>Aug</c:v>
                </c:pt>
                <c:pt idx="8">
                  <c:v>Apr</c:v>
                </c:pt>
                <c:pt idx="9">
                  <c:v>May</c:v>
                </c:pt>
                <c:pt idx="10">
                  <c:v>Jun</c:v>
                </c:pt>
                <c:pt idx="11">
                  <c:v>Mar</c:v>
                </c:pt>
                <c:pt idx="13">
                  <c:v>PL is not reported by the entity. Progressive publishes no monthly plan. The target it does publish is a 96 combined ratio - a 4% underwriting margin - applied here to each month's earned premium. Replace these cells with your own figures and every chart o</c:v>
                </c:pt>
              </c:strCache>
            </c:strRef>
          </c:cat>
          <c:val>
            <c:numRef>
              <c:f>'C04A'!$R$13:$R$31</c:f>
              <c:numCache>
                <c:formatCode>0.000000</c:formatCode>
                <c:ptCount val="19"/>
                <c:pt idx="0">
                  <c:v>0.75963718820861681</c:v>
                </c:pt>
                <c:pt idx="1">
                  <c:v>0.36848072562358275</c:v>
                </c:pt>
                <c:pt idx="2">
                  <c:v>0.3458049886621315</c:v>
                </c:pt>
                <c:pt idx="3">
                  <c:v>0.33219954648526079</c:v>
                </c:pt>
                <c:pt idx="4">
                  <c:v>0.12244897959183673</c:v>
                </c:pt>
                <c:pt idx="5">
                  <c:v>4.195011337868481E-2</c:v>
                </c:pt>
                <c:pt idx="6">
                  <c:v>0</c:v>
                </c:pt>
                <c:pt idx="7">
                  <c:v>-6.2358276643990927E-2</c:v>
                </c:pt>
                <c:pt idx="8">
                  <c:v>-0.11678004535147392</c:v>
                </c:pt>
                <c:pt idx="9">
                  <c:v>-0.15306122448979592</c:v>
                </c:pt>
                <c:pt idx="10">
                  <c:v>-0.45578231292517007</c:v>
                </c:pt>
                <c:pt idx="11">
                  <c:v>-0.5</c:v>
                </c:pt>
              </c:numCache>
            </c:numRef>
          </c:val>
          <c:extLst>
            <c:ext xmlns:c16="http://schemas.microsoft.com/office/drawing/2014/chart" uri="{C3380CC4-5D6E-409C-BE32-E72D297353CC}">
              <c16:uniqueId val="{00000007-6CD4-4211-898B-A97915C89E8F}"/>
            </c:ext>
          </c:extLst>
        </c:ser>
        <c:ser>
          <c:idx val="1"/>
          <c:order val="1"/>
          <c:tx>
            <c:v>ΔPL up</c:v>
          </c:tx>
          <c:spPr>
            <a:solidFill>
              <a:srgbClr val="8CB400"/>
            </a:solidFill>
            <a:ln>
              <a:noFill/>
            </a:ln>
            <a:effectLst/>
            <a:extLst>
              <a:ext uri="{91240B29-F687-4F45-9708-019B960494DF}">
                <a14:hiddenLine xmlns:a14="http://schemas.microsoft.com/office/drawing/2010/main">
                  <a:noFill/>
                </a14:hiddenLine>
              </a:ext>
            </a:extLst>
          </c:spPr>
          <c:invertIfNegative val="0"/>
          <c:cat>
            <c:strRef>
              <c:f>'C04A'!$A$13:$A$31</c:f>
              <c:strCache>
                <c:ptCount val="14"/>
                <c:pt idx="0">
                  <c:v>Dec</c:v>
                </c:pt>
                <c:pt idx="1">
                  <c:v>Nov</c:v>
                </c:pt>
                <c:pt idx="2">
                  <c:v>Jul</c:v>
                </c:pt>
                <c:pt idx="3">
                  <c:v>Sep</c:v>
                </c:pt>
                <c:pt idx="4">
                  <c:v>Oct</c:v>
                </c:pt>
                <c:pt idx="5">
                  <c:v>Feb</c:v>
                </c:pt>
                <c:pt idx="6">
                  <c:v>Jan</c:v>
                </c:pt>
                <c:pt idx="7">
                  <c:v>Aug</c:v>
                </c:pt>
                <c:pt idx="8">
                  <c:v>Apr</c:v>
                </c:pt>
                <c:pt idx="9">
                  <c:v>May</c:v>
                </c:pt>
                <c:pt idx="10">
                  <c:v>Jun</c:v>
                </c:pt>
                <c:pt idx="11">
                  <c:v>Mar</c:v>
                </c:pt>
                <c:pt idx="13">
                  <c:v>PL is not reported by the entity. Progressive publishes no monthly plan. The target it does publish is a 96 combined ratio - a 4% underwriting margin - applied here to each month's earned premium. Replace these cells with your own figures and every chart o</c:v>
                </c:pt>
              </c:strCache>
            </c:strRef>
          </c:cat>
          <c:val>
            <c:numRef>
              <c:f>'C04A'!$T$13:$T$31</c:f>
              <c:numCache>
                <c:formatCode>0.000000</c:formatCode>
                <c:ptCount val="19"/>
                <c:pt idx="0">
                  <c:v>0.75963718820861681</c:v>
                </c:pt>
                <c:pt idx="1">
                  <c:v>0.36848072562358275</c:v>
                </c:pt>
                <c:pt idx="2">
                  <c:v>0.3458049886621315</c:v>
                </c:pt>
                <c:pt idx="3">
                  <c:v>0.33219954648526079</c:v>
                </c:pt>
                <c:pt idx="4">
                  <c:v>0.12244897959183673</c:v>
                </c:pt>
                <c:pt idx="5">
                  <c:v>4.195011337868481E-2</c:v>
                </c:pt>
                <c:pt idx="6">
                  <c:v>#N/A</c:v>
                </c:pt>
                <c:pt idx="7">
                  <c:v>#N/A</c:v>
                </c:pt>
                <c:pt idx="8">
                  <c:v>#N/A</c:v>
                </c:pt>
                <c:pt idx="9">
                  <c:v>#N/A</c:v>
                </c:pt>
                <c:pt idx="10">
                  <c:v>#N/A</c:v>
                </c:pt>
                <c:pt idx="11">
                  <c:v>#N/A</c:v>
                </c:pt>
              </c:numCache>
            </c:numRef>
          </c:val>
          <c:extLst>
            <c:ext xmlns:c16="http://schemas.microsoft.com/office/drawing/2014/chart" uri="{C3380CC4-5D6E-409C-BE32-E72D297353CC}">
              <c16:uniqueId val="{0000001B-6CD4-4211-898B-A97915C89E8F}"/>
            </c:ext>
          </c:extLst>
        </c:ser>
        <c:ser>
          <c:idx val="2"/>
          <c:order val="2"/>
          <c:tx>
            <c:v>ΔPL dn</c:v>
          </c:tx>
          <c:spPr>
            <a:solidFill>
              <a:srgbClr val="FF0000"/>
            </a:solidFill>
            <a:ln>
              <a:noFill/>
            </a:ln>
            <a:effectLst/>
            <a:extLst>
              <a:ext uri="{91240B29-F687-4F45-9708-019B960494DF}">
                <a14:hiddenLine xmlns:a14="http://schemas.microsoft.com/office/drawing/2010/main">
                  <a:noFill/>
                </a14:hiddenLine>
              </a:ext>
            </a:extLst>
          </c:spPr>
          <c:invertIfNegative val="0"/>
          <c:cat>
            <c:strRef>
              <c:f>'C04A'!$A$13:$A$31</c:f>
              <c:strCache>
                <c:ptCount val="14"/>
                <c:pt idx="0">
                  <c:v>Dec</c:v>
                </c:pt>
                <c:pt idx="1">
                  <c:v>Nov</c:v>
                </c:pt>
                <c:pt idx="2">
                  <c:v>Jul</c:v>
                </c:pt>
                <c:pt idx="3">
                  <c:v>Sep</c:v>
                </c:pt>
                <c:pt idx="4">
                  <c:v>Oct</c:v>
                </c:pt>
                <c:pt idx="5">
                  <c:v>Feb</c:v>
                </c:pt>
                <c:pt idx="6">
                  <c:v>Jan</c:v>
                </c:pt>
                <c:pt idx="7">
                  <c:v>Aug</c:v>
                </c:pt>
                <c:pt idx="8">
                  <c:v>Apr</c:v>
                </c:pt>
                <c:pt idx="9">
                  <c:v>May</c:v>
                </c:pt>
                <c:pt idx="10">
                  <c:v>Jun</c:v>
                </c:pt>
                <c:pt idx="11">
                  <c:v>Mar</c:v>
                </c:pt>
                <c:pt idx="13">
                  <c:v>PL is not reported by the entity. Progressive publishes no monthly plan. The target it does publish is a 96 combined ratio - a 4% underwriting margin - applied here to each month's earned premium. Replace these cells with your own figures and every chart o</c:v>
                </c:pt>
              </c:strCache>
            </c:strRef>
          </c:cat>
          <c:val>
            <c:numRef>
              <c:f>'C04A'!$U$13:$U$31</c:f>
              <c:numCache>
                <c:formatCode>0.000000</c:formatCode>
                <c:ptCount val="19"/>
                <c:pt idx="0">
                  <c:v>#N/A</c:v>
                </c:pt>
                <c:pt idx="1">
                  <c:v>#N/A</c:v>
                </c:pt>
                <c:pt idx="2">
                  <c:v>#N/A</c:v>
                </c:pt>
                <c:pt idx="3">
                  <c:v>#N/A</c:v>
                </c:pt>
                <c:pt idx="4">
                  <c:v>#N/A</c:v>
                </c:pt>
                <c:pt idx="5">
                  <c:v>#N/A</c:v>
                </c:pt>
                <c:pt idx="6">
                  <c:v>#N/A</c:v>
                </c:pt>
                <c:pt idx="7">
                  <c:v>-6.2358276643990927E-2</c:v>
                </c:pt>
                <c:pt idx="8">
                  <c:v>-0.11678004535147392</c:v>
                </c:pt>
                <c:pt idx="9">
                  <c:v>-0.15306122448979592</c:v>
                </c:pt>
                <c:pt idx="10">
                  <c:v>-0.45578231292517007</c:v>
                </c:pt>
                <c:pt idx="11">
                  <c:v>-0.5</c:v>
                </c:pt>
              </c:numCache>
            </c:numRef>
          </c:val>
          <c:extLst>
            <c:ext xmlns:c16="http://schemas.microsoft.com/office/drawing/2014/chart" uri="{C3380CC4-5D6E-409C-BE32-E72D297353CC}">
              <c16:uniqueId val="{0000001C-6CD4-4211-898B-A97915C89E8F}"/>
            </c:ext>
          </c:extLst>
        </c:ser>
        <c:dLbls>
          <c:showLegendKey val="0"/>
          <c:showVal val="0"/>
          <c:showCatName val="0"/>
          <c:showSerName val="0"/>
          <c:showPercent val="0"/>
          <c:showBubbleSize val="0"/>
        </c:dLbls>
        <c:gapWidth val="35"/>
        <c:overlap val="100"/>
        <c:axId val="1536571248"/>
        <c:axId val="1095960592"/>
      </c:barChart>
      <c:catAx>
        <c:axId val="1536571248"/>
        <c:scaling>
          <c:orientation val="maxMin"/>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095960592"/>
        <c:crosses val="autoZero"/>
        <c:auto val="1"/>
        <c:lblAlgn val="ctr"/>
        <c:lblOffset val="100"/>
        <c:noMultiLvlLbl val="0"/>
      </c:catAx>
      <c:valAx>
        <c:axId val="1095960592"/>
        <c:scaling>
          <c:orientation val="minMax"/>
          <c:max val="0.81"/>
          <c:min val="-0.55000000000000004"/>
        </c:scaling>
        <c:delete val="0"/>
        <c:axPos val="b"/>
        <c:numFmt formatCode="0.00000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536571248"/>
        <c:crosses val="max"/>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705882352941175"/>
          <c:y val="0.06"/>
          <c:w val="0.44117647058823534"/>
          <c:h val="0.91249999999999998"/>
        </c:manualLayout>
      </c:layout>
      <c:barChart>
        <c:barDir val="bar"/>
        <c:grouping val="clustered"/>
        <c:varyColors val="0"/>
        <c:ser>
          <c:idx val="0"/>
          <c:order val="0"/>
          <c:tx>
            <c:v>ΔPL%</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dLbls>
            <c:dLbl>
              <c:idx val="0"/>
              <c:tx>
                <c:strRef>
                  <c:f>'C04A'!$W$13</c:f>
                  <c:strCache>
                    <c:ptCount val="1"/>
                    <c:pt idx="0">
                      <c:v>+316</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{9A5BAF58-99D9-47D9-8F5B-EAC082F71C23}</c15:txfldGUID>
                      <c15:f>'C04A'!$W$13</c15:f>
                      <c15:dlblFieldTableCache>
                        <c:ptCount val="1"/>
                        <c:pt idx="0">
                          <c:v>+316</c:v>
                        </c:pt>
                      </c15:dlblFieldTableCache>
                    </c15:dlblFTEntry>
                  </c15:dlblFieldTable>
                  <c15:showDataLabelsRange val="0"/>
                </c:ext>
                <c:ext xmlns:c16="http://schemas.microsoft.com/office/drawing/2014/chart" uri="{C3380CC4-5D6E-409C-BE32-E72D297353CC}">
                  <c16:uniqueId val="{00000008-C3B5-419A-82B9-2EA099903FE3}"/>
                </c:ext>
              </c:extLst>
            </c:dLbl>
            <c:dLbl>
              <c:idx val="1"/>
              <c:tx>
                <c:strRef>
                  <c:f>'C04A'!$W$14</c:f>
                  <c:strCache>
                    <c:ptCount val="1"/>
                    <c:pt idx="0">
                      <c:v>+160</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{0C3E174C-EA15-4121-A608-571804E04E4F}</c15:txfldGUID>
                      <c15:f>'C04A'!$W$14</c15:f>
                      <c15:dlblFieldTableCache>
                        <c:ptCount val="1"/>
                        <c:pt idx="0">
                          <c:v>+160</c:v>
                        </c:pt>
                      </c15:dlblFieldTableCache>
                    </c15:dlblFTEntry>
                  </c15:dlblFieldTable>
                  <c15:showDataLabelsRange val="0"/>
                </c:ext>
                <c:ext xmlns:c16="http://schemas.microsoft.com/office/drawing/2014/chart" uri="{C3380CC4-5D6E-409C-BE32-E72D297353CC}">
                  <c16:uniqueId val="{00000009-C3B5-419A-82B9-2EA099903FE3}"/>
                </c:ext>
              </c:extLst>
            </c:dLbl>
            <c:dLbl>
              <c:idx val="2"/>
              <c:tx>
                <c:strRef>
                  <c:f>'C04A'!$W$15</c:f>
                  <c:strCache>
                    <c:ptCount val="1"/>
                    <c:pt idx="0">
                      <c:v>+135</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{2BC31AFD-8B7F-472B-B4ED-27725FDE6D63}</c15:txfldGUID>
                      <c15:f>'C04A'!$W$15</c15:f>
                      <c15:dlblFieldTableCache>
                        <c:ptCount val="1"/>
                        <c:pt idx="0">
                          <c:v>+135</c:v>
                        </c:pt>
                      </c15:dlblFieldTableCache>
                    </c15:dlblFTEntry>
                  </c15:dlblFieldTable>
                  <c15:showDataLabelsRange val="0"/>
                </c:ext>
                <c:ext xmlns:c16="http://schemas.microsoft.com/office/drawing/2014/chart" uri="{C3380CC4-5D6E-409C-BE32-E72D297353CC}">
                  <c16:uniqueId val="{0000000A-C3B5-419A-82B9-2EA099903FE3}"/>
                </c:ext>
              </c:extLst>
            </c:dLbl>
            <c:dLbl>
              <c:idx val="3"/>
              <c:tx>
                <c:strRef>
                  <c:f>'C04A'!$W$16</c:f>
                  <c:strCache>
                    <c:ptCount val="1"/>
                    <c:pt idx="0">
                      <c:v>+158</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{637AF26F-C6F5-4706-96A1-B9766A53AF4D}</c15:txfldGUID>
                      <c15:f>'C04A'!$W$16</c15:f>
                      <c15:dlblFieldTableCache>
                        <c:ptCount val="1"/>
                        <c:pt idx="0">
                          <c:v>+158</c:v>
                        </c:pt>
                      </c15:dlblFieldTableCache>
                    </c15:dlblFTEntry>
                  </c15:dlblFieldTable>
                  <c15:showDataLabelsRange val="0"/>
                </c:ext>
                <c:ext xmlns:c16="http://schemas.microsoft.com/office/drawing/2014/chart" uri="{C3380CC4-5D6E-409C-BE32-E72D297353CC}">
                  <c16:uniqueId val="{0000000B-C3B5-419A-82B9-2EA099903FE3}"/>
                </c:ext>
              </c:extLst>
            </c:dLbl>
            <c:dLbl>
              <c:idx val="4"/>
              <c:tx>
                <c:strRef>
                  <c:f>'C04A'!$W$17</c:f>
                  <c:strCache>
                    <c:ptCount val="1"/>
                    <c:pt idx="0">
                      <c:v>+50</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{485CA9AD-9BD1-45FA-9132-DC553D277400}</c15:txfldGUID>
                      <c15:f>'C04A'!$W$17</c15:f>
                      <c15:dlblFieldTableCache>
                        <c:ptCount val="1"/>
                        <c:pt idx="0">
                          <c:v>+50</c:v>
                        </c:pt>
                      </c15:dlblFieldTableCache>
                    </c15:dlblFTEntry>
                  </c15:dlblFieldTable>
                  <c15:showDataLabelsRange val="0"/>
                </c:ext>
                <c:ext xmlns:c16="http://schemas.microsoft.com/office/drawing/2014/chart" uri="{C3380CC4-5D6E-409C-BE32-E72D297353CC}">
                  <c16:uniqueId val="{0000000C-C3B5-419A-82B9-2EA099903FE3}"/>
                </c:ext>
              </c:extLst>
            </c:dLbl>
            <c:dLbl>
              <c:idx val="5"/>
              <c:tx>
                <c:strRef>
                  <c:f>'C04A'!$W$18</c:f>
                  <c:strCache>
                    <c:ptCount val="1"/>
                    <c:pt idx="0">
                      <c:v>+22</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{58AF64DD-6111-41D0-BF03-8D6B8575EFC0}</c15:txfldGUID>
                      <c15:f>'C04A'!$W$18</c15:f>
                      <c15:dlblFieldTableCache>
                        <c:ptCount val="1"/>
                        <c:pt idx="0">
                          <c:v>+22</c:v>
                        </c:pt>
                      </c15:dlblFieldTableCache>
                    </c15:dlblFTEntry>
                  </c15:dlblFieldTable>
                  <c15:showDataLabelsRange val="0"/>
                </c:ext>
                <c:ext xmlns:c16="http://schemas.microsoft.com/office/drawing/2014/chart" uri="{C3380CC4-5D6E-409C-BE32-E72D297353CC}">
                  <c16:uniqueId val="{0000000D-C3B5-419A-82B9-2EA099903FE3}"/>
                </c:ext>
              </c:extLst>
            </c:dLbl>
            <c:dLbl>
              <c:idx val="6"/>
              <c:tx>
                <c:strRef>
                  <c:f>'C04A'!$W$19</c:f>
                  <c:strCache>
                    <c:ptCount val="1"/>
                    <c:pt idx="0">
                      <c:v>+0</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{516F87B6-B808-46D8-B603-EEF66B6BFAB4}</c15:txfldGUID>
                      <c15:f>'C04A'!$W$19</c15:f>
                      <c15:dlblFieldTableCache>
                        <c:ptCount val="1"/>
                        <c:pt idx="0">
                          <c:v>+0</c:v>
                        </c:pt>
                      </c15:dlblFieldTableCache>
                    </c15:dlblFTEntry>
                  </c15:dlblFieldTable>
                  <c15:showDataLabelsRange val="0"/>
                </c:ext>
                <c:ext xmlns:c16="http://schemas.microsoft.com/office/drawing/2014/chart" uri="{C3380CC4-5D6E-409C-BE32-E72D297353CC}">
                  <c16:uniqueId val="{0000000E-C3B5-419A-82B9-2EA099903FE3}"/>
                </c:ext>
              </c:extLst>
            </c:dLbl>
            <c:dLbl>
              <c:idx val="7"/>
              <c:tx>
                <c:strRef>
                  <c:f>'C04A'!$W$20</c:f>
                  <c:strCache>
                    <c:ptCount val="1"/>
                    <c:pt idx="0">
                      <c:v>-30</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{C272A1E8-E3DC-4350-BD1E-2B788C74F2D3}</c15:txfldGUID>
                      <c15:f>'C04A'!$W$20</c15:f>
                      <c15:dlblFieldTableCache>
                        <c:ptCount val="1"/>
                        <c:pt idx="0">
                          <c:v>-30</c:v>
                        </c:pt>
                      </c15:dlblFieldTableCache>
                    </c15:dlblFTEntry>
                  </c15:dlblFieldTable>
                  <c15:showDataLabelsRange val="0"/>
                </c:ext>
                <c:ext xmlns:c16="http://schemas.microsoft.com/office/drawing/2014/chart" uri="{C3380CC4-5D6E-409C-BE32-E72D297353CC}">
                  <c16:uniqueId val="{0000000F-C3B5-419A-82B9-2EA099903FE3}"/>
                </c:ext>
              </c:extLst>
            </c:dLbl>
            <c:dLbl>
              <c:idx val="8"/>
              <c:tx>
                <c:strRef>
                  <c:f>'C04A'!$W$21</c:f>
                  <c:strCache>
                    <c:ptCount val="1"/>
                    <c:pt idx="0">
                      <c:v>-47</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{49862327-86CA-4E58-99DC-6A42568DA4FA}</c15:txfldGUID>
                      <c15:f>'C04A'!$W$21</c15:f>
                      <c15:dlblFieldTableCache>
                        <c:ptCount val="1"/>
                        <c:pt idx="0">
                          <c:v>-47</c:v>
                        </c:pt>
                      </c15:dlblFieldTableCache>
                    </c15:dlblFTEntry>
                  </c15:dlblFieldTable>
                  <c15:showDataLabelsRange val="0"/>
                </c:ext>
                <c:ext xmlns:c16="http://schemas.microsoft.com/office/drawing/2014/chart" uri="{C3380CC4-5D6E-409C-BE32-E72D297353CC}">
                  <c16:uniqueId val="{00000010-C3B5-419A-82B9-2EA099903FE3}"/>
                </c:ext>
              </c:extLst>
            </c:dLbl>
            <c:dLbl>
              <c:idx val="9"/>
              <c:tx>
                <c:strRef>
                  <c:f>'C04A'!$W$22</c:f>
                  <c:strCache>
                    <c:ptCount val="1"/>
                    <c:pt idx="0">
                      <c:v>-75</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{05BB5DA8-BBCD-4E1C-85F8-6C3012D6A030}</c15:txfldGUID>
                      <c15:f>'C04A'!$W$22</c15:f>
                      <c15:dlblFieldTableCache>
                        <c:ptCount val="1"/>
                        <c:pt idx="0">
                          <c:v>-75</c:v>
                        </c:pt>
                      </c15:dlblFieldTableCache>
                    </c15:dlblFTEntry>
                  </c15:dlblFieldTable>
                  <c15:showDataLabelsRange val="0"/>
                </c:ext>
                <c:ext xmlns:c16="http://schemas.microsoft.com/office/drawing/2014/chart" uri="{C3380CC4-5D6E-409C-BE32-E72D297353CC}">
                  <c16:uniqueId val="{00000011-C3B5-419A-82B9-2EA099903FE3}"/>
                </c:ext>
              </c:extLst>
            </c:dLbl>
            <c:dLbl>
              <c:idx val="10"/>
              <c:tx>
                <c:strRef>
                  <c:f>'C04A'!$W$23</c:f>
                  <c:strCache>
                    <c:ptCount val="1"/>
                    <c:pt idx="0">
                      <c:v>-222</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{A1A496CD-54B0-4E1B-BAAD-7C34A2ABFC77}</c15:txfldGUID>
                      <c15:f>'C04A'!$W$23</c15:f>
                      <c15:dlblFieldTableCache>
                        <c:ptCount val="1"/>
                        <c:pt idx="0">
                          <c:v>-222</c:v>
                        </c:pt>
                      </c15:dlblFieldTableCache>
                    </c15:dlblFTEntry>
                  </c15:dlblFieldTable>
                  <c15:showDataLabelsRange val="0"/>
                </c:ext>
                <c:ext xmlns:c16="http://schemas.microsoft.com/office/drawing/2014/chart" uri="{C3380CC4-5D6E-409C-BE32-E72D297353CC}">
                  <c16:uniqueId val="{00000012-C3B5-419A-82B9-2EA099903FE3}"/>
                </c:ext>
              </c:extLst>
            </c:dLbl>
            <c:dLbl>
              <c:idx val="11"/>
              <c:tx>
                <c:strRef>
                  <c:f>'C04A'!$W$24</c:f>
                  <c:strCache>
                    <c:ptCount val="1"/>
                    <c:pt idx="0">
                      <c:v>-255</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{70D38396-0DF9-44B6-B4FD-039411A77A8F}</c15:txfldGUID>
                      <c15:f>'C04A'!$W$24</c15:f>
                      <c15:dlblFieldTableCache>
                        <c:ptCount val="1"/>
                        <c:pt idx="0">
                          <c:v>-255</c:v>
                        </c:pt>
                      </c15:dlblFieldTableCache>
                    </c15:dlblFTEntry>
                  </c15:dlblFieldTable>
                  <c15:showDataLabelsRange val="0"/>
                </c:ext>
                <c:ext xmlns:c16="http://schemas.microsoft.com/office/drawing/2014/chart" uri="{C3380CC4-5D6E-409C-BE32-E72D297353CC}">
                  <c16:uniqueId val="{00000013-C3B5-419A-82B9-2EA099903FE3}"/>
                </c:ext>
              </c:extLst>
            </c:dLbl>
            <c:dLbl>
              <c:idx val="12"/>
              <c:tx>
                <c:strRef>
                  <c:f>'C04A'!$W$25</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{5C28E010-4BD5-4254-9812-11D79340C539}</c15:txfldGUID>
                      <c15:f>'C04A'!$W$25</c15:f>
                      <c15:dlblFieldTableCache>
                        <c:ptCount val="1"/>
                      </c15:dlblFieldTableCache>
                    </c15:dlblFTEntry>
                  </c15:dlblFieldTable>
                  <c15:showDataLabelsRange val="0"/>
                </c:ext>
                <c:ext xmlns:c16="http://schemas.microsoft.com/office/drawing/2014/chart" uri="{C3380CC4-5D6E-409C-BE32-E72D297353CC}">
                  <c16:uniqueId val="{00000014-C3B5-419A-82B9-2EA099903FE3}"/>
                </c:ext>
              </c:extLst>
            </c:dLbl>
            <c:dLbl>
              <c:idx val="13"/>
              <c:tx>
                <c:strRef>
                  <c:f>'C04A'!$W$26</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{1DCD7512-5BBA-40FC-A8DA-95B7D5701FF0}</c15:txfldGUID>
                      <c15:f>'C04A'!$W$26</c15:f>
                      <c15:dlblFieldTableCache>
                        <c:ptCount val="1"/>
                      </c15:dlblFieldTableCache>
                    </c15:dlblFTEntry>
                  </c15:dlblFieldTable>
                  <c15:showDataLabelsRange val="0"/>
                </c:ext>
                <c:ext xmlns:c16="http://schemas.microsoft.com/office/drawing/2014/chart" uri="{C3380CC4-5D6E-409C-BE32-E72D297353CC}">
                  <c16:uniqueId val="{00000015-C3B5-419A-82B9-2EA099903FE3}"/>
                </c:ext>
              </c:extLst>
            </c:dLbl>
            <c:dLbl>
              <c:idx val="14"/>
              <c:tx>
                <c:strRef>
                  <c:f>'C04A'!$W$27</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{31D32019-F27E-4DD2-A648-CB82EED18FED}</c15:txfldGUID>
                      <c15:f>'C04A'!$W$27</c15:f>
                      <c15:dlblFieldTableCache>
                        <c:ptCount val="1"/>
                      </c15:dlblFieldTableCache>
                    </c15:dlblFTEntry>
                  </c15:dlblFieldTable>
                  <c15:showDataLabelsRange val="0"/>
                </c:ext>
                <c:ext xmlns:c16="http://schemas.microsoft.com/office/drawing/2014/chart" uri="{C3380CC4-5D6E-409C-BE32-E72D297353CC}">
                  <c16:uniqueId val="{00000016-C3B5-419A-82B9-2EA099903FE3}"/>
                </c:ext>
              </c:extLst>
            </c:dLbl>
            <c:dLbl>
              <c:idx val="15"/>
              <c:tx>
                <c:strRef>
                  <c:f>'C04A'!$W$28</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{375F8DD9-F4F9-49B0-B681-EE0E8AF80970}</c15:txfldGUID>
                      <c15:f>'C04A'!$W$28</c15:f>
                      <c15:dlblFieldTableCache>
                        <c:ptCount val="1"/>
                      </c15:dlblFieldTableCache>
                    </c15:dlblFTEntry>
                  </c15:dlblFieldTable>
                  <c15:showDataLabelsRange val="0"/>
                </c:ext>
                <c:ext xmlns:c16="http://schemas.microsoft.com/office/drawing/2014/chart" uri="{C3380CC4-5D6E-409C-BE32-E72D297353CC}">
                  <c16:uniqueId val="{00000017-C3B5-419A-82B9-2EA099903FE3}"/>
                </c:ext>
              </c:extLst>
            </c:dLbl>
            <c:dLbl>
              <c:idx val="16"/>
              <c:tx>
                <c:strRef>
                  <c:f>'C04A'!$W$29</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{328403C1-FD44-43BB-A730-58ECF840D07E}</c15:txfldGUID>
                      <c15:f>'C04A'!$W$29</c15:f>
                      <c15:dlblFieldTableCache>
                        <c:ptCount val="1"/>
                      </c15:dlblFieldTableCache>
                    </c15:dlblFTEntry>
                  </c15:dlblFieldTable>
                  <c15:showDataLabelsRange val="0"/>
                </c:ext>
                <c:ext xmlns:c16="http://schemas.microsoft.com/office/drawing/2014/chart" uri="{C3380CC4-5D6E-409C-BE32-E72D297353CC}">
                  <c16:uniqueId val="{00000018-C3B5-419A-82B9-2EA099903FE3}"/>
                </c:ext>
              </c:extLst>
            </c:dLbl>
            <c:dLbl>
              <c:idx val="17"/>
              <c:tx>
                <c:strRef>
                  <c:f>'C04A'!$W$30</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{6E2A589C-7D3B-492A-94E3-5F3A57A191DD}</c15:txfldGUID>
                      <c15:f>'C04A'!$W$30</c15:f>
                      <c15:dlblFieldTableCache>
                        <c:ptCount val="1"/>
                      </c15:dlblFieldTableCache>
                    </c15:dlblFTEntry>
                  </c15:dlblFieldTable>
                  <c15:showDataLabelsRange val="0"/>
                </c:ext>
                <c:ext xmlns:c16="http://schemas.microsoft.com/office/drawing/2014/chart" uri="{C3380CC4-5D6E-409C-BE32-E72D297353CC}">
                  <c16:uniqueId val="{00000019-C3B5-419A-82B9-2EA099903FE3}"/>
                </c:ext>
              </c:extLst>
            </c:dLbl>
            <c:dLbl>
              <c:idx val="18"/>
              <c:tx>
                <c:strRef>
                  <c:f>'C04A'!$W$31</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{110A1734-56D3-4DFD-B105-11E735337400}</c15:txfldGUID>
                      <c15:f>'C04A'!$W$31</c15:f>
                      <c15:dlblFieldTableCache>
                        <c:ptCount val="1"/>
                      </c15:dlblFieldTableCache>
                    </c15:dlblFTEntry>
                  </c15:dlblFieldTable>
                  <c15:showDataLabelsRange val="0"/>
                </c:ext>
                <c:ext xmlns:c16="http://schemas.microsoft.com/office/drawing/2014/chart" uri="{C3380CC4-5D6E-409C-BE32-E72D297353CC}">
                  <c16:uniqueId val="{0000001A-C3B5-419A-82B9-2EA099903FE3}"/>
                </c:ext>
              </c:extLst>
            </c:dLbl>
            <c:numFmt formatCode="\+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'C04A'!$A$13:$A$31</c:f>
              <c:strCache>
                <c:ptCount val="14"/>
                <c:pt idx="0">
                  <c:v>Dec</c:v>
                </c:pt>
                <c:pt idx="1">
                  <c:v>Nov</c:v>
                </c:pt>
                <c:pt idx="2">
                  <c:v>Jul</c:v>
                </c:pt>
                <c:pt idx="3">
                  <c:v>Sep</c:v>
                </c:pt>
                <c:pt idx="4">
                  <c:v>Oct</c:v>
                </c:pt>
                <c:pt idx="5">
                  <c:v>Feb</c:v>
                </c:pt>
                <c:pt idx="6">
                  <c:v>Jan</c:v>
                </c:pt>
                <c:pt idx="7">
                  <c:v>Aug</c:v>
                </c:pt>
                <c:pt idx="8">
                  <c:v>Apr</c:v>
                </c:pt>
                <c:pt idx="9">
                  <c:v>May</c:v>
                </c:pt>
                <c:pt idx="10">
                  <c:v>Jun</c:v>
                </c:pt>
                <c:pt idx="11">
                  <c:v>Mar</c:v>
                </c:pt>
                <c:pt idx="13">
                  <c:v>PL is not reported by the entity. Progressive publishes no monthly plan. The target it does publish is a 96 combined ratio - a 4% underwriting margin - applied here to each month's earned premium. Replace these cells with your own figures and every chart o</c:v>
                </c:pt>
              </c:strCache>
            </c:strRef>
          </c:cat>
          <c:val>
            <c:numRef>
              <c:f>'C04A'!$V$13:$V$31</c:f>
              <c:numCache>
                <c:formatCode>0.000000</c:formatCode>
                <c:ptCount val="19"/>
                <c:pt idx="0">
                  <c:v>1</c:v>
                </c:pt>
                <c:pt idx="1">
                  <c:v>0.50658039850011027</c:v>
                </c:pt>
                <c:pt idx="2">
                  <c:v>0.4270241711795007</c:v>
                </c:pt>
                <c:pt idx="3">
                  <c:v>0.4984432675333012</c:v>
                </c:pt>
                <c:pt idx="4">
                  <c:v>0.15894481082957307</c:v>
                </c:pt>
                <c:pt idx="5">
                  <c:v>7.0104566985432118E-2</c:v>
                </c:pt>
                <c:pt idx="6">
                  <c:v>0</c:v>
                </c:pt>
                <c:pt idx="7">
                  <c:v>-9.4581440622972093E-2</c:v>
                </c:pt>
                <c:pt idx="8">
                  <c:v>-0.14950020539504311</c:v>
                </c:pt>
                <c:pt idx="9">
                  <c:v>-0.23731343283582088</c:v>
                </c:pt>
                <c:pt idx="10">
                  <c:v>-0.70276243093922652</c:v>
                </c:pt>
                <c:pt idx="11">
                  <c:v>-0.80659132085238539</c:v>
                </c:pt>
              </c:numCache>
            </c:numRef>
          </c:val>
          <c:extLst>
            <c:ext xmlns:c16="http://schemas.microsoft.com/office/drawing/2014/chart" uri="{C3380CC4-5D6E-409C-BE32-E72D297353CC}">
              <c16:uniqueId val="{00000007-C3B5-419A-82B9-2EA099903FE3}"/>
            </c:ext>
          </c:extLst>
        </c:ser>
        <c:ser>
          <c:idx val="1"/>
          <c:order val="1"/>
          <c:tx>
            <c:v>ΔPL% up</c:v>
          </c:tx>
          <c:spPr>
            <a:solidFill>
              <a:srgbClr val="8CB400"/>
            </a:solidFill>
            <a:ln>
              <a:noFill/>
            </a:ln>
            <a:effectLst/>
            <a:extLst>
              <a:ext uri="{91240B29-F687-4F45-9708-019B960494DF}">
                <a14:hiddenLine xmlns:a14="http://schemas.microsoft.com/office/drawing/2010/main">
                  <a:noFill/>
                </a14:hiddenLine>
              </a:ext>
            </a:extLst>
          </c:spPr>
          <c:invertIfNegative val="0"/>
          <c:cat>
            <c:strRef>
              <c:f>'C04A'!$A$13:$A$31</c:f>
              <c:strCache>
                <c:ptCount val="14"/>
                <c:pt idx="0">
                  <c:v>Dec</c:v>
                </c:pt>
                <c:pt idx="1">
                  <c:v>Nov</c:v>
                </c:pt>
                <c:pt idx="2">
                  <c:v>Jul</c:v>
                </c:pt>
                <c:pt idx="3">
                  <c:v>Sep</c:v>
                </c:pt>
                <c:pt idx="4">
                  <c:v>Oct</c:v>
                </c:pt>
                <c:pt idx="5">
                  <c:v>Feb</c:v>
                </c:pt>
                <c:pt idx="6">
                  <c:v>Jan</c:v>
                </c:pt>
                <c:pt idx="7">
                  <c:v>Aug</c:v>
                </c:pt>
                <c:pt idx="8">
                  <c:v>Apr</c:v>
                </c:pt>
                <c:pt idx="9">
                  <c:v>May</c:v>
                </c:pt>
                <c:pt idx="10">
                  <c:v>Jun</c:v>
                </c:pt>
                <c:pt idx="11">
                  <c:v>Mar</c:v>
                </c:pt>
                <c:pt idx="13">
                  <c:v>PL is not reported by the entity. Progressive publishes no monthly plan. The target it does publish is a 96 combined ratio - a 4% underwriting margin - applied here to each month's earned premium. Replace these cells with your own figures and every chart o</c:v>
                </c:pt>
              </c:strCache>
            </c:strRef>
          </c:cat>
          <c:val>
            <c:numRef>
              <c:f>'C04A'!$X$13:$X$31</c:f>
              <c:numCache>
                <c:formatCode>0.000000</c:formatCode>
                <c:ptCount val="19"/>
                <c:pt idx="0">
                  <c:v>1</c:v>
                </c:pt>
                <c:pt idx="1">
                  <c:v>0.50658039850011027</c:v>
                </c:pt>
                <c:pt idx="2">
                  <c:v>0.4270241711795007</c:v>
                </c:pt>
                <c:pt idx="3">
                  <c:v>0.4984432675333012</c:v>
                </c:pt>
                <c:pt idx="4">
                  <c:v>0.15894481082957307</c:v>
                </c:pt>
                <c:pt idx="5">
                  <c:v>7.0104566985432118E-2</c:v>
                </c:pt>
                <c:pt idx="6">
                  <c:v>#N/A</c:v>
                </c:pt>
                <c:pt idx="7">
                  <c:v>#N/A</c:v>
                </c:pt>
                <c:pt idx="8">
                  <c:v>#N/A</c:v>
                </c:pt>
                <c:pt idx="9">
                  <c:v>#N/A</c:v>
                </c:pt>
                <c:pt idx="10">
                  <c:v>#N/A</c:v>
                </c:pt>
                <c:pt idx="11">
                  <c:v>#N/A</c:v>
                </c:pt>
              </c:numCache>
            </c:numRef>
          </c:val>
          <c:extLst>
            <c:ext xmlns:c16="http://schemas.microsoft.com/office/drawing/2014/chart" uri="{C3380CC4-5D6E-409C-BE32-E72D297353CC}">
              <c16:uniqueId val="{0000001B-C3B5-419A-82B9-2EA099903FE3}"/>
            </c:ext>
          </c:extLst>
        </c:ser>
        <c:ser>
          <c:idx val="2"/>
          <c:order val="2"/>
          <c:tx>
            <c:v>ΔPL% dn</c:v>
          </c:tx>
          <c:spPr>
            <a:solidFill>
              <a:srgbClr val="FF0000"/>
            </a:solidFill>
            <a:ln>
              <a:noFill/>
            </a:ln>
            <a:effectLst/>
            <a:extLst>
              <a:ext uri="{91240B29-F687-4F45-9708-019B960494DF}">
                <a14:hiddenLine xmlns:a14="http://schemas.microsoft.com/office/drawing/2010/main">
                  <a:noFill/>
                </a14:hiddenLine>
              </a:ext>
            </a:extLst>
          </c:spPr>
          <c:invertIfNegative val="0"/>
          <c:cat>
            <c:strRef>
              <c:f>'C04A'!$A$13:$A$31</c:f>
              <c:strCache>
                <c:ptCount val="14"/>
                <c:pt idx="0">
                  <c:v>Dec</c:v>
                </c:pt>
                <c:pt idx="1">
                  <c:v>Nov</c:v>
                </c:pt>
                <c:pt idx="2">
                  <c:v>Jul</c:v>
                </c:pt>
                <c:pt idx="3">
                  <c:v>Sep</c:v>
                </c:pt>
                <c:pt idx="4">
                  <c:v>Oct</c:v>
                </c:pt>
                <c:pt idx="5">
                  <c:v>Feb</c:v>
                </c:pt>
                <c:pt idx="6">
                  <c:v>Jan</c:v>
                </c:pt>
                <c:pt idx="7">
                  <c:v>Aug</c:v>
                </c:pt>
                <c:pt idx="8">
                  <c:v>Apr</c:v>
                </c:pt>
                <c:pt idx="9">
                  <c:v>May</c:v>
                </c:pt>
                <c:pt idx="10">
                  <c:v>Jun</c:v>
                </c:pt>
                <c:pt idx="11">
                  <c:v>Mar</c:v>
                </c:pt>
                <c:pt idx="13">
                  <c:v>PL is not reported by the entity. Progressive publishes no monthly plan. The target it does publish is a 96 combined ratio - a 4% underwriting margin - applied here to each month's earned premium. Replace these cells with your own figures and every chart o</c:v>
                </c:pt>
              </c:strCache>
            </c:strRef>
          </c:cat>
          <c:val>
            <c:numRef>
              <c:f>'C04A'!$Y$13:$Y$31</c:f>
              <c:numCache>
                <c:formatCode>0.000000</c:formatCode>
                <c:ptCount val="19"/>
                <c:pt idx="0">
                  <c:v>#N/A</c:v>
                </c:pt>
                <c:pt idx="1">
                  <c:v>#N/A</c:v>
                </c:pt>
                <c:pt idx="2">
                  <c:v>#N/A</c:v>
                </c:pt>
                <c:pt idx="3">
                  <c:v>#N/A</c:v>
                </c:pt>
                <c:pt idx="4">
                  <c:v>#N/A</c:v>
                </c:pt>
                <c:pt idx="5">
                  <c:v>#N/A</c:v>
                </c:pt>
                <c:pt idx="6">
                  <c:v>#N/A</c:v>
                </c:pt>
                <c:pt idx="7">
                  <c:v>-9.4581440622972093E-2</c:v>
                </c:pt>
                <c:pt idx="8">
                  <c:v>-0.14950020539504311</c:v>
                </c:pt>
                <c:pt idx="9">
                  <c:v>-0.23731343283582088</c:v>
                </c:pt>
                <c:pt idx="10">
                  <c:v>-0.70276243093922652</c:v>
                </c:pt>
                <c:pt idx="11">
                  <c:v>-0.80659132085238539</c:v>
                </c:pt>
              </c:numCache>
            </c:numRef>
          </c:val>
          <c:extLst>
            <c:ext xmlns:c16="http://schemas.microsoft.com/office/drawing/2014/chart" uri="{C3380CC4-5D6E-409C-BE32-E72D297353CC}">
              <c16:uniqueId val="{0000001C-C3B5-419A-82B9-2EA099903FE3}"/>
            </c:ext>
          </c:extLst>
        </c:ser>
        <c:dLbls>
          <c:showLegendKey val="0"/>
          <c:showVal val="0"/>
          <c:showCatName val="0"/>
          <c:showSerName val="0"/>
          <c:showPercent val="0"/>
          <c:showBubbleSize val="0"/>
        </c:dLbls>
        <c:gapWidth val="500"/>
        <c:overlap val="100"/>
        <c:axId val="1536560112"/>
        <c:axId val="1095962032"/>
      </c:barChart>
      <c:catAx>
        <c:axId val="1536560112"/>
        <c:scaling>
          <c:orientation val="maxMin"/>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095962032"/>
        <c:crosses val="autoZero"/>
        <c:auto val="1"/>
        <c:lblAlgn val="ctr"/>
        <c:lblOffset val="100"/>
        <c:noMultiLvlLbl val="0"/>
      </c:catAx>
      <c:valAx>
        <c:axId val="1095962032"/>
        <c:scaling>
          <c:orientation val="minMax"/>
          <c:max val="1.1499999999999999"/>
          <c:min val="-0.95"/>
        </c:scaling>
        <c:delete val="0"/>
        <c:axPos val="b"/>
        <c:numFmt formatCode="0.00000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536560112"/>
        <c:crosses val="max"/>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0645161290322578E-2"/>
          <c:y val="8.461538461538462E-2"/>
          <c:w val="0.90322580645161288"/>
          <c:h val="0.70519139915202911"/>
        </c:manualLayout>
      </c:layout>
      <c:lineChart>
        <c:grouping val="standard"/>
        <c:varyColors val="0"/>
        <c:ser>
          <c:idx val="0"/>
          <c:order val="0"/>
          <c:tx>
            <c:v>ΔPY% up</c:v>
          </c:tx>
          <c:spPr>
            <a:ln w="38100" cap="rnd" cmpd="sng" algn="ctr">
              <a:noFill/>
              <a:prstDash val="solid"/>
              <a:round/>
            </a:ln>
            <a:effectLst/>
            <a:extLst>
              <a:ext uri="{91240B29-F687-4F45-9708-019B960494DF}">
                <a14:hiddenLine xmlns:a14="http://schemas.microsoft.com/office/drawing/2010/main" w="38100" cap="rnd" cmpd="sng" algn="ctr">
                  <a:solidFill>
                    <a:srgbClr val="156082"/>
                  </a:solidFill>
                  <a:prstDash val="solid"/>
                  <a:round/>
                </a14:hiddenLine>
              </a:ext>
            </a:extLst>
          </c:spPr>
          <c:marker>
            <c:symbol val="square"/>
            <c:size val="5"/>
            <c:spPr>
              <a:solidFill>
                <a:srgbClr val="156082"/>
              </a:solidFill>
              <a:ln w="12700" cap="flat" cmpd="sng" algn="ctr">
                <a:noFill/>
                <a:prstDash val="solid"/>
                <a:round/>
              </a:ln>
              <a:effectLst/>
              <a:extLst>
                <a:ext uri="{91240B29-F687-4F45-9708-019B960494DF}">
                  <a14:hiddenLine xmlns:a14="http://schemas.microsoft.com/office/drawing/2010/main" w="12700" cap="flat" cmpd="sng" algn="ctr">
                    <a:solidFill>
                      <a:srgbClr val="156082"/>
                    </a:solidFill>
                    <a:prstDash val="solid"/>
                    <a:round/>
                  </a14:hiddenLine>
                </a:ext>
              </a:extLst>
            </c:spPr>
          </c:marker>
          <c:dPt>
            <c:idx val="0"/>
            <c:marker>
              <c:spPr>
                <a:solidFill>
                  <a:srgbClr val="404040"/>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extLst>
              <c:ext xmlns:c16="http://schemas.microsoft.com/office/drawing/2014/chart" uri="{C3380CC4-5D6E-409C-BE32-E72D297353CC}">
                <c16:uniqueId val="{00000008-51D9-4297-961B-1A42A7771FEE}"/>
              </c:ext>
            </c:extLst>
          </c:dPt>
          <c:dPt>
            <c:idx val="1"/>
            <c:marker>
              <c:spPr>
                <a:solidFill>
                  <a:srgbClr val="404040"/>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extLst>
              <c:ext xmlns:c16="http://schemas.microsoft.com/office/drawing/2014/chart" uri="{C3380CC4-5D6E-409C-BE32-E72D297353CC}">
                <c16:uniqueId val="{00000009-51D9-4297-961B-1A42A7771FEE}"/>
              </c:ext>
            </c:extLst>
          </c:dPt>
          <c:dPt>
            <c:idx val="2"/>
            <c:marker>
              <c:spPr>
                <a:solidFill>
                  <a:srgbClr val="404040"/>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extLst>
              <c:ext xmlns:c16="http://schemas.microsoft.com/office/drawing/2014/chart" uri="{C3380CC4-5D6E-409C-BE32-E72D297353CC}">
                <c16:uniqueId val="{0000000A-51D9-4297-961B-1A42A7771FEE}"/>
              </c:ext>
            </c:extLst>
          </c:dPt>
          <c:dPt>
            <c:idx val="3"/>
            <c:marker>
              <c:spPr>
                <a:solidFill>
                  <a:srgbClr val="404040"/>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extLst>
              <c:ext xmlns:c16="http://schemas.microsoft.com/office/drawing/2014/chart" uri="{C3380CC4-5D6E-409C-BE32-E72D297353CC}">
                <c16:uniqueId val="{0000000B-51D9-4297-961B-1A42A7771FEE}"/>
              </c:ext>
            </c:extLst>
          </c:dPt>
          <c:dPt>
            <c:idx val="4"/>
            <c:marker>
              <c:spPr>
                <a:solidFill>
                  <a:srgbClr val="404040"/>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extLst>
              <c:ext xmlns:c16="http://schemas.microsoft.com/office/drawing/2014/chart" uri="{C3380CC4-5D6E-409C-BE32-E72D297353CC}">
                <c16:uniqueId val="{0000000C-51D9-4297-961B-1A42A7771FEE}"/>
              </c:ext>
            </c:extLst>
          </c:dPt>
          <c:dPt>
            <c:idx val="5"/>
            <c:marker>
              <c:spPr>
                <a:solidFill>
                  <a:srgbClr val="404040"/>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extLst>
              <c:ext xmlns:c16="http://schemas.microsoft.com/office/drawing/2014/chart" uri="{C3380CC4-5D6E-409C-BE32-E72D297353CC}">
                <c16:uniqueId val="{0000000D-51D9-4297-961B-1A42A7771FEE}"/>
              </c:ext>
            </c:extLst>
          </c:dPt>
          <c:dPt>
            <c:idx val="6"/>
            <c:marker>
              <c:spPr>
                <a:solidFill>
                  <a:srgbClr val="404040"/>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extLst>
              <c:ext xmlns:c16="http://schemas.microsoft.com/office/drawing/2014/chart" uri="{C3380CC4-5D6E-409C-BE32-E72D297353CC}">
                <c16:uniqueId val="{0000000E-51D9-4297-961B-1A42A7771FEE}"/>
              </c:ext>
            </c:extLst>
          </c:dPt>
          <c:dPt>
            <c:idx val="7"/>
            <c:marker>
              <c:spPr>
                <a:solidFill>
                  <a:srgbClr val="F2F2F2"/>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spPr>
              <a:solidFill>
                <a:srgbClr val="FFFFFF"/>
              </a:solidFill>
              <a:ln w="38100" cap="rnd" cmpd="sng" algn="ctr">
                <a:noFill/>
                <a:prstDash val="solid"/>
                <a:round/>
              </a:ln>
              <a:effectLst/>
              <a:extLst>
                <a:ext uri="{91240B29-F687-4F45-9708-019B960494DF}">
                  <a14:hiddenLine xmlns:a14="http://schemas.microsoft.com/office/drawing/2010/main" w="38100" cap="rnd" cmpd="sng" algn="ctr">
                    <a:solidFill>
                      <a:srgbClr val="156082"/>
                    </a:solidFill>
                    <a:prstDash val="solid"/>
                    <a:round/>
                  </a14:hiddenLine>
                </a:ext>
              </a:extLst>
            </c:spPr>
            <c:extLst>
              <c:ext xmlns:c16="http://schemas.microsoft.com/office/drawing/2014/chart" uri="{C3380CC4-5D6E-409C-BE32-E72D297353CC}">
                <c16:uniqueId val="{0000000F-51D9-4297-961B-1A42A7771FEE}"/>
              </c:ext>
            </c:extLst>
          </c:dPt>
          <c:dPt>
            <c:idx val="8"/>
            <c:marker>
              <c:spPr>
                <a:solidFill>
                  <a:srgbClr val="F2F2F2"/>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spPr>
              <a:solidFill>
                <a:srgbClr val="FFFFFF"/>
              </a:solidFill>
              <a:ln w="38100" cap="rnd" cmpd="sng" algn="ctr">
                <a:noFill/>
                <a:prstDash val="solid"/>
                <a:round/>
              </a:ln>
              <a:effectLst/>
              <a:extLst>
                <a:ext uri="{91240B29-F687-4F45-9708-019B960494DF}">
                  <a14:hiddenLine xmlns:a14="http://schemas.microsoft.com/office/drawing/2010/main" w="38100" cap="rnd" cmpd="sng" algn="ctr">
                    <a:solidFill>
                      <a:srgbClr val="156082"/>
                    </a:solidFill>
                    <a:prstDash val="solid"/>
                    <a:round/>
                  </a14:hiddenLine>
                </a:ext>
              </a:extLst>
            </c:spPr>
            <c:extLst>
              <c:ext xmlns:c16="http://schemas.microsoft.com/office/drawing/2014/chart" uri="{C3380CC4-5D6E-409C-BE32-E72D297353CC}">
                <c16:uniqueId val="{00000010-51D9-4297-961B-1A42A7771FEE}"/>
              </c:ext>
            </c:extLst>
          </c:dPt>
          <c:dPt>
            <c:idx val="9"/>
            <c:marker>
              <c:spPr>
                <a:solidFill>
                  <a:srgbClr val="F2F2F2"/>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spPr>
              <a:solidFill>
                <a:srgbClr val="FFFFFF"/>
              </a:solidFill>
              <a:ln w="38100" cap="rnd" cmpd="sng" algn="ctr">
                <a:noFill/>
                <a:prstDash val="solid"/>
                <a:round/>
              </a:ln>
              <a:effectLst/>
              <a:extLst>
                <a:ext uri="{91240B29-F687-4F45-9708-019B960494DF}">
                  <a14:hiddenLine xmlns:a14="http://schemas.microsoft.com/office/drawing/2010/main" w="38100" cap="rnd" cmpd="sng" algn="ctr">
                    <a:solidFill>
                      <a:srgbClr val="156082"/>
                    </a:solidFill>
                    <a:prstDash val="solid"/>
                    <a:round/>
                  </a14:hiddenLine>
                </a:ext>
              </a:extLst>
            </c:spPr>
            <c:extLst>
              <c:ext xmlns:c16="http://schemas.microsoft.com/office/drawing/2014/chart" uri="{C3380CC4-5D6E-409C-BE32-E72D297353CC}">
                <c16:uniqueId val="{00000011-51D9-4297-961B-1A42A7771FEE}"/>
              </c:ext>
            </c:extLst>
          </c:dPt>
          <c:dPt>
            <c:idx val="10"/>
            <c:marker>
              <c:spPr>
                <a:solidFill>
                  <a:srgbClr val="F2F2F2"/>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spPr>
              <a:solidFill>
                <a:srgbClr val="FFFFFF"/>
              </a:solidFill>
              <a:ln w="38100" cap="rnd" cmpd="sng" algn="ctr">
                <a:noFill/>
                <a:prstDash val="solid"/>
                <a:round/>
              </a:ln>
              <a:effectLst/>
              <a:extLst>
                <a:ext uri="{91240B29-F687-4F45-9708-019B960494DF}">
                  <a14:hiddenLine xmlns:a14="http://schemas.microsoft.com/office/drawing/2010/main" w="38100" cap="rnd" cmpd="sng" algn="ctr">
                    <a:solidFill>
                      <a:srgbClr val="156082"/>
                    </a:solidFill>
                    <a:prstDash val="solid"/>
                    <a:round/>
                  </a14:hiddenLine>
                </a:ext>
              </a:extLst>
            </c:spPr>
            <c:extLst>
              <c:ext xmlns:c16="http://schemas.microsoft.com/office/drawing/2014/chart" uri="{C3380CC4-5D6E-409C-BE32-E72D297353CC}">
                <c16:uniqueId val="{00000012-51D9-4297-961B-1A42A7771FEE}"/>
              </c:ext>
            </c:extLst>
          </c:dPt>
          <c:dPt>
            <c:idx val="11"/>
            <c:marker>
              <c:spPr>
                <a:solidFill>
                  <a:srgbClr val="F2F2F2"/>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bubble3D val="0"/>
            <c:spPr>
              <a:solidFill>
                <a:srgbClr val="FFFFFF"/>
              </a:solidFill>
              <a:ln w="38100" cap="rnd" cmpd="sng" algn="ctr">
                <a:noFill/>
                <a:prstDash val="solid"/>
                <a:round/>
              </a:ln>
              <a:effectLst/>
              <a:extLst>
                <a:ext uri="{91240B29-F687-4F45-9708-019B960494DF}">
                  <a14:hiddenLine xmlns:a14="http://schemas.microsoft.com/office/drawing/2010/main" w="38100" cap="rnd" cmpd="sng" algn="ctr">
                    <a:solidFill>
                      <a:srgbClr val="156082"/>
                    </a:solidFill>
                    <a:prstDash val="solid"/>
                    <a:round/>
                  </a14:hiddenLine>
                </a:ext>
              </a:extLst>
            </c:spPr>
            <c:extLst>
              <c:ext xmlns:c16="http://schemas.microsoft.com/office/drawing/2014/chart" uri="{C3380CC4-5D6E-409C-BE32-E72D297353CC}">
                <c16:uniqueId val="{00000013-51D9-4297-961B-1A42A7771FEE}"/>
              </c:ext>
            </c:extLst>
          </c:dPt>
          <c:dLbls>
            <c:dLbl>
              <c:idx val="0"/>
              <c:tx>
                <c:strRef>
                  <c:f>'C05X'!$AQ$12</c:f>
                  <c:strCache>
                    <c:ptCount val="1"/>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{72D5ECEF-DA1F-43C5-864F-7DBAAC382B9E}</c15:txfldGUID>
                      <c15:f>'C05X'!$AQ$12</c15:f>
                      <c15:dlblFieldTableCache>
                        <c:ptCount val="1"/>
                      </c15:dlblFieldTableCache>
                    </c15:dlblFTEntry>
                  </c15:dlblFieldTable>
                  <c15:showDataLabelsRange val="0"/>
                </c:ext>
                <c:ext xmlns:c16="http://schemas.microsoft.com/office/drawing/2014/chart" uri="{C3380CC4-5D6E-409C-BE32-E72D297353CC}">
                  <c16:uniqueId val="{00000008-51D9-4297-961B-1A42A7771FEE}"/>
                </c:ext>
              </c:extLst>
            </c:dLbl>
            <c:dLbl>
              <c:idx val="1"/>
              <c:tx>
                <c:strRef>
                  <c:f>'C05X'!$AQ$13</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{D5BD28C3-F9AC-496F-912E-1ABB8E86DA8B}</c15:txfldGUID>
                      <c15:f>'C05X'!$AQ$13</c15:f>
                      <c15:dlblFieldTableCache>
                        <c:ptCount val="1"/>
                      </c15:dlblFieldTableCache>
                    </c15:dlblFTEntry>
                  </c15:dlblFieldTable>
                  <c15:showDataLabelsRange val="0"/>
                </c:ext>
                <c:ext xmlns:c16="http://schemas.microsoft.com/office/drawing/2014/chart" uri="{C3380CC4-5D6E-409C-BE32-E72D297353CC}">
                  <c16:uniqueId val="{00000009-51D9-4297-961B-1A42A7771FEE}"/>
                </c:ext>
              </c:extLst>
            </c:dLbl>
            <c:dLbl>
              <c:idx val="2"/>
              <c:tx>
                <c:strRef>
                  <c:f>'C05X'!$AQ$14</c:f>
                  <c:strCache>
                    <c:ptCount val="1"/>
                    <c:pt idx="0">
                      <c:v>+3.2</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{AC9D07D5-8568-4CEF-9247-22C79D44C9FA}</c15:txfldGUID>
                      <c15:f>'C05X'!$AQ$14</c15:f>
                      <c15:dlblFieldTableCache>
                        <c:ptCount val="1"/>
                        <c:pt idx="0">
                          <c:v>+3.2</c:v>
                        </c:pt>
                      </c15:dlblFieldTableCache>
                    </c15:dlblFTEntry>
                  </c15:dlblFieldTable>
                  <c15:showDataLabelsRange val="0"/>
                </c:ext>
                <c:ext xmlns:c16="http://schemas.microsoft.com/office/drawing/2014/chart" uri="{C3380CC4-5D6E-409C-BE32-E72D297353CC}">
                  <c16:uniqueId val="{0000000A-51D9-4297-961B-1A42A7771FEE}"/>
                </c:ext>
              </c:extLst>
            </c:dLbl>
            <c:dLbl>
              <c:idx val="3"/>
              <c:tx>
                <c:strRef>
                  <c:f>'C05X'!$AQ$15</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{C59F0F06-D3F2-4C0C-95CC-5660A8F37B84}</c15:txfldGUID>
                      <c15:f>'C05X'!$AQ$15</c15:f>
                      <c15:dlblFieldTableCache>
                        <c:ptCount val="1"/>
                      </c15:dlblFieldTableCache>
                    </c15:dlblFTEntry>
                  </c15:dlblFieldTable>
                  <c15:showDataLabelsRange val="0"/>
                </c:ext>
                <c:ext xmlns:c16="http://schemas.microsoft.com/office/drawing/2014/chart" uri="{C3380CC4-5D6E-409C-BE32-E72D297353CC}">
                  <c16:uniqueId val="{0000000B-51D9-4297-961B-1A42A7771FEE}"/>
                </c:ext>
              </c:extLst>
            </c:dLbl>
            <c:dLbl>
              <c:idx val="4"/>
              <c:tx>
                <c:strRef>
                  <c:f>'C05X'!$AQ$16</c:f>
                  <c:strCache>
                    <c:ptCount val="1"/>
                    <c:pt idx="0">
                      <c:v>+36.2</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{7493CE5F-80EE-46EF-B6C8-F44AC9AF53C1}</c15:txfldGUID>
                      <c15:f>'C05X'!$AQ$16</c15:f>
                      <c15:dlblFieldTableCache>
                        <c:ptCount val="1"/>
                        <c:pt idx="0">
                          <c:v>+36.2</c:v>
                        </c:pt>
                      </c15:dlblFieldTableCache>
                    </c15:dlblFTEntry>
                  </c15:dlblFieldTable>
                  <c15:showDataLabelsRange val="0"/>
                </c:ext>
                <c:ext xmlns:c16="http://schemas.microsoft.com/office/drawing/2014/chart" uri="{C3380CC4-5D6E-409C-BE32-E72D297353CC}">
                  <c16:uniqueId val="{0000000C-51D9-4297-961B-1A42A7771FEE}"/>
                </c:ext>
              </c:extLst>
            </c:dLbl>
            <c:dLbl>
              <c:idx val="5"/>
              <c:tx>
                <c:strRef>
                  <c:f>'C05X'!$AQ$17</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{80E0F0B4-76AE-48B1-AC4D-C387FBD6EB78}</c15:txfldGUID>
                      <c15:f>'C05X'!$AQ$17</c15:f>
                      <c15:dlblFieldTableCache>
                        <c:ptCount val="1"/>
                      </c15:dlblFieldTableCache>
                    </c15:dlblFTEntry>
                  </c15:dlblFieldTable>
                  <c15:showDataLabelsRange val="0"/>
                </c:ext>
                <c:ext xmlns:c16="http://schemas.microsoft.com/office/drawing/2014/chart" uri="{C3380CC4-5D6E-409C-BE32-E72D297353CC}">
                  <c16:uniqueId val="{0000000D-51D9-4297-961B-1A42A7771FEE}"/>
                </c:ext>
              </c:extLst>
            </c:dLbl>
            <c:dLbl>
              <c:idx val="6"/>
              <c:tx>
                <c:strRef>
                  <c:f>'C05X'!$AQ$18</c:f>
                  <c:strCache>
                    <c:ptCount val="1"/>
                    <c:pt idx="0">
                      <c:v>+49.8</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{8761C279-859F-4D2C-8E78-F4B666B8D85F}</c15:txfldGUID>
                      <c15:f>'C05X'!$AQ$18</c15:f>
                      <c15:dlblFieldTableCache>
                        <c:ptCount val="1"/>
                        <c:pt idx="0">
                          <c:v>+49.8</c:v>
                        </c:pt>
                      </c15:dlblFieldTableCache>
                    </c15:dlblFTEntry>
                  </c15:dlblFieldTable>
                  <c15:showDataLabelsRange val="0"/>
                </c:ext>
                <c:ext xmlns:c16="http://schemas.microsoft.com/office/drawing/2014/chart" uri="{C3380CC4-5D6E-409C-BE32-E72D297353CC}">
                  <c16:uniqueId val="{0000000E-51D9-4297-961B-1A42A7771FEE}"/>
                </c:ext>
              </c:extLst>
            </c:dLbl>
            <c:dLbl>
              <c:idx val="7"/>
              <c:tx>
                <c:strRef>
                  <c:f>'C05X'!$AQ$19</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{D56D41DB-7233-41FA-854B-AB77E5908F6E}</c15:txfldGUID>
                      <c15:f>'C05X'!$AQ$19</c15:f>
                      <c15:dlblFieldTableCache>
                        <c:ptCount val="1"/>
                      </c15:dlblFieldTableCache>
                    </c15:dlblFTEntry>
                  </c15:dlblFieldTable>
                  <c15:showDataLabelsRange val="0"/>
                </c:ext>
                <c:ext xmlns:c16="http://schemas.microsoft.com/office/drawing/2014/chart" uri="{C3380CC4-5D6E-409C-BE32-E72D297353CC}">
                  <c16:uniqueId val="{0000000F-51D9-4297-961B-1A42A7771FEE}"/>
                </c:ext>
              </c:extLst>
            </c:dLbl>
            <c:dLbl>
              <c:idx val="8"/>
              <c:tx>
                <c:strRef>
                  <c:f>'C05X'!$AQ$20</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{591FC316-3884-4E6E-A4D4-E699049C423C}</c15:txfldGUID>
                      <c15:f>'C05X'!$AQ$20</c15:f>
                      <c15:dlblFieldTableCache>
                        <c:ptCount val="1"/>
                      </c15:dlblFieldTableCache>
                    </c15:dlblFTEntry>
                  </c15:dlblFieldTable>
                  <c15:showDataLabelsRange val="0"/>
                </c:ext>
                <c:ext xmlns:c16="http://schemas.microsoft.com/office/drawing/2014/chart" uri="{C3380CC4-5D6E-409C-BE32-E72D297353CC}">
                  <c16:uniqueId val="{00000010-51D9-4297-961B-1A42A7771FEE}"/>
                </c:ext>
              </c:extLst>
            </c:dLbl>
            <c:dLbl>
              <c:idx val="9"/>
              <c:tx>
                <c:strRef>
                  <c:f>'C05X'!$AQ$21</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{78795B6D-20A0-4E54-8FDE-73492DFECFDE}</c15:txfldGUID>
                      <c15:f>'C05X'!$AQ$21</c15:f>
                      <c15:dlblFieldTableCache>
                        <c:ptCount val="1"/>
                      </c15:dlblFieldTableCache>
                    </c15:dlblFTEntry>
                  </c15:dlblFieldTable>
                  <c15:showDataLabelsRange val="0"/>
                </c:ext>
                <c:ext xmlns:c16="http://schemas.microsoft.com/office/drawing/2014/chart" uri="{C3380CC4-5D6E-409C-BE32-E72D297353CC}">
                  <c16:uniqueId val="{00000011-51D9-4297-961B-1A42A7771FEE}"/>
                </c:ext>
              </c:extLst>
            </c:dLbl>
            <c:dLbl>
              <c:idx val="10"/>
              <c:tx>
                <c:strRef>
                  <c:f>'C05X'!$AQ$22</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{4B7469D6-B8E4-4241-A19E-F7436B05A0E5}</c15:txfldGUID>
                      <c15:f>'C05X'!$AQ$22</c15:f>
                      <c15:dlblFieldTableCache>
                        <c:ptCount val="1"/>
                      </c15:dlblFieldTableCache>
                    </c15:dlblFTEntry>
                  </c15:dlblFieldTable>
                  <c15:showDataLabelsRange val="0"/>
                </c:ext>
                <c:ext xmlns:c16="http://schemas.microsoft.com/office/drawing/2014/chart" uri="{C3380CC4-5D6E-409C-BE32-E72D297353CC}">
                  <c16:uniqueId val="{00000012-51D9-4297-961B-1A42A7771FEE}"/>
                </c:ext>
              </c:extLst>
            </c:dLbl>
            <c:dLbl>
              <c:idx val="11"/>
              <c:tx>
                <c:strRef>
                  <c:f>'C05X'!$AQ$23</c:f>
                  <c:strCache>
                    <c:ptCount val="1"/>
                    <c:pt idx="0">
                      <c:v>+36.2</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{D5CBA7CC-2B2C-4F69-93FB-32E5E36EB609}</c15:txfldGUID>
                      <c15:f>'C05X'!$AQ$23</c15:f>
                      <c15:dlblFieldTableCache>
                        <c:ptCount val="1"/>
                        <c:pt idx="0">
                          <c:v>+36.2</c:v>
                        </c:pt>
                      </c15:dlblFieldTableCache>
                    </c15:dlblFTEntry>
                  </c15:dlblFieldTable>
                  <c15:showDataLabelsRange val="0"/>
                </c:ext>
                <c:ext xmlns:c16="http://schemas.microsoft.com/office/drawing/2014/chart" uri="{C3380CC4-5D6E-409C-BE32-E72D297353CC}">
                  <c16:uniqueId val="{00000013-51D9-4297-961B-1A42A7771FEE}"/>
                </c:ext>
              </c:extLst>
            </c:dLbl>
            <c:dLbl>
              <c:idx val="12"/>
              <c:tx>
                <c:strRef>
                  <c:f>'C05X'!$AQ$24</c:f>
                  <c:strCache>
                    <c:ptCount val="1"/>
                    <c:pt idx="0">
                      <c:v>+8.8</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{D5B35B13-485D-4A6F-A775-CD80C99774E2}</c15:txfldGUID>
                      <c15:f>'C05X'!$AQ$24</c15:f>
                      <c15:dlblFieldTableCache>
                        <c:ptCount val="1"/>
                        <c:pt idx="0">
                          <c:v>+8.8</c:v>
                        </c:pt>
                      </c15:dlblFieldTableCache>
                    </c15:dlblFTEntry>
                  </c15:dlblFieldTable>
                  <c15:showDataLabelsRange val="0"/>
                </c:ext>
                <c:ext xmlns:c16="http://schemas.microsoft.com/office/drawing/2014/chart" uri="{C3380CC4-5D6E-409C-BE32-E72D297353CC}">
                  <c16:uniqueId val="{00000014-51D9-4297-961B-1A42A7771FEE}"/>
                </c:ext>
              </c:extLst>
            </c:dLbl>
            <c:dLbl>
              <c:idx val="13"/>
              <c:tx>
                <c:strRef>
                  <c:f>'C05X'!$AQ$25</c:f>
                  <c:strCache>
                    <c:ptCount val="1"/>
                    <c:pt idx="0">
                      <c:v>+8.7</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{DA5D0BDD-D7ED-4264-B9EE-1E5327F07F9C}</c15:txfldGUID>
                      <c15:f>'C05X'!$AQ$25</c15:f>
                      <c15:dlblFieldTableCache>
                        <c:ptCount val="1"/>
                        <c:pt idx="0">
                          <c:v>+8.7</c:v>
                        </c:pt>
                      </c15:dlblFieldTableCache>
                    </c15:dlblFTEntry>
                  </c15:dlblFieldTable>
                  <c15:showDataLabelsRange val="0"/>
                </c:ext>
                <c:ext xmlns:c16="http://schemas.microsoft.com/office/drawing/2014/chart" uri="{C3380CC4-5D6E-409C-BE32-E72D297353CC}">
                  <c16:uniqueId val="{00000015-51D9-4297-961B-1A42A7771FEE}"/>
                </c:ext>
              </c:extLst>
            </c:dLbl>
            <c:dLbl>
              <c:idx val="14"/>
              <c:tx>
                <c:strRef>
                  <c:f>'C05X'!$AQ$26</c:f>
                  <c:strCache>
                    <c:ptCount val="1"/>
                    <c:pt idx="0">
                      <c:v>+11.7</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{6D3F7F1F-9124-48FD-BF22-9C329641BA73}</c15:txfldGUID>
                      <c15:f>'C05X'!$AQ$26</c15:f>
                      <c15:dlblFieldTableCache>
                        <c:ptCount val="1"/>
                        <c:pt idx="0">
                          <c:v>+11.7</c:v>
                        </c:pt>
                      </c15:dlblFieldTableCache>
                    </c15:dlblFTEntry>
                  </c15:dlblFieldTable>
                  <c15:showDataLabelsRange val="0"/>
                </c:ext>
                <c:ext xmlns:c16="http://schemas.microsoft.com/office/drawing/2014/chart" uri="{C3380CC4-5D6E-409C-BE32-E72D297353CC}">
                  <c16:uniqueId val="{00000016-51D9-4297-961B-1A42A7771FEE}"/>
                </c:ext>
              </c:extLst>
            </c:dLbl>
            <c:dLbl>
              <c:idx val="15"/>
              <c:tx>
                <c:strRef>
                  <c:f>'C05X'!$AQ$27</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{9D9D5374-5520-4BB4-A712-B464FC480561}</c15:txfldGUID>
                      <c15:f>'C05X'!$AQ$27</c15:f>
                      <c15:dlblFieldTableCache>
                        <c:ptCount val="1"/>
                      </c15:dlblFieldTableCache>
                    </c15:dlblFTEntry>
                  </c15:dlblFieldTable>
                  <c15:showDataLabelsRange val="0"/>
                </c:ext>
                <c:ext xmlns:c16="http://schemas.microsoft.com/office/drawing/2014/chart" uri="{C3380CC4-5D6E-409C-BE32-E72D297353CC}">
                  <c16:uniqueId val="{00000017-51D9-4297-961B-1A42A7771FEE}"/>
                </c:ext>
              </c:extLst>
            </c:dLbl>
            <c:dLbl>
              <c:idx val="16"/>
              <c:tx>
                <c:strRef>
                  <c:f>'C05X'!$AQ$28</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{8D75C3C7-E1FE-469D-B597-7687C4B37D9A}</c15:txfldGUID>
                      <c15:f>'C05X'!$AQ$28</c15:f>
                      <c15:dlblFieldTableCache>
                        <c:ptCount val="1"/>
                      </c15:dlblFieldTableCache>
                    </c15:dlblFTEntry>
                  </c15:dlblFieldTable>
                  <c15:showDataLabelsRange val="0"/>
                </c:ext>
                <c:ext xmlns:c16="http://schemas.microsoft.com/office/drawing/2014/chart" uri="{C3380CC4-5D6E-409C-BE32-E72D297353CC}">
                  <c16:uniqueId val="{00000018-51D9-4297-961B-1A42A7771FEE}"/>
                </c:ext>
              </c:extLst>
            </c:dLbl>
            <c:numFmt formatCode="\+0.0;\-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Dir val="y"/>
            <c:errBarType val="minus"/>
            <c:errValType val="cust"/>
            <c:noEndCap val="1"/>
            <c:minus>
              <c:numRef>
                <c:f>'C05X'!$AT$12:$AT$28</c:f>
                <c:numCache>
                  <c:formatCode>General</c:formatCode>
                  <c:ptCount val="17"/>
                  <c:pt idx="0">
                    <c:v>0</c:v>
                  </c:pt>
                  <c:pt idx="1">
                    <c:v>0</c:v>
                  </c:pt>
                  <c:pt idx="2">
                    <c:v>8.6396229982691657E-4</c:v>
                  </c:pt>
                  <c:pt idx="3">
                    <c:v>0</c:v>
                  </c:pt>
                  <c:pt idx="4">
                    <c:v>9.9354393573505492E-3</c:v>
                  </c:pt>
                  <c:pt idx="5">
                    <c:v>0</c:v>
                  </c:pt>
                  <c:pt idx="6">
                    <c:v>1.3643285648361789E-2</c:v>
                  </c:pt>
                  <c:pt idx="7">
                    <c:v>0</c:v>
                  </c:pt>
                  <c:pt idx="8">
                    <c:v>0</c:v>
                  </c:pt>
                  <c:pt idx="9">
                    <c:v>0</c:v>
                  </c:pt>
                  <c:pt idx="10">
                    <c:v>0</c:v>
                  </c:pt>
                  <c:pt idx="11">
                    <c:v>9.926677946982515E-3</c:v>
                  </c:pt>
                  <c:pt idx="12">
                    <c:v>2.4050293205735069E-3</c:v>
                  </c:pt>
                  <c:pt idx="13">
                    <c:v>2.3861734505062331E-3</c:v>
                  </c:pt>
                  <c:pt idx="14">
                    <c:v>3.2072348883803066E-3</c:v>
                  </c:pt>
                  <c:pt idx="15">
                    <c:v>0</c:v>
                  </c:pt>
                  <c:pt idx="16">
                    <c:v>0</c:v>
                  </c:pt>
                </c:numCache>
              </c:numRef>
            </c:minus>
            <c:spPr>
              <a:ln w="47625">
                <a:solidFill>
                  <a:srgbClr val="8CB400"/>
                </a:solidFill>
              </a:ln>
            </c:spPr>
          </c:errBars>
          <c:cat>
            <c:strRef>
              <c:f>'C05X'!$A$12:$A$28</c:f>
              <c:strCache>
                <c:ptCount val="17"/>
                <c:pt idx="0">
                  <c:v>2026 PL</c:v>
                </c:pt>
                <c:pt idx="1">
                  <c:v>2025 AC</c:v>
                </c:pt>
                <c:pt idx="2">
                  <c:v>Jan</c:v>
                </c:pt>
                <c:pt idx="3">
                  <c:v>Feb</c:v>
                </c:pt>
                <c:pt idx="4">
                  <c:v>Mar</c:v>
                </c:pt>
                <c:pt idx="5">
                  <c:v>Apr</c:v>
                </c:pt>
                <c:pt idx="6">
                  <c:v>May</c:v>
                </c:pt>
                <c:pt idx="7">
                  <c:v>Jun</c:v>
                </c:pt>
                <c:pt idx="8">
                  <c:v>Jul</c:v>
                </c:pt>
                <c:pt idx="9">
                  <c:v>Aug</c:v>
                </c:pt>
                <c:pt idx="10">
                  <c:v>Sep</c:v>
                </c:pt>
                <c:pt idx="11">
                  <c:v>Oct</c:v>
                </c:pt>
                <c:pt idx="12">
                  <c:v>Nov</c:v>
                </c:pt>
                <c:pt idx="13">
                  <c:v>Dec</c:v>
                </c:pt>
                <c:pt idx="14">
                  <c:v>2026 AC+FC</c:v>
                </c:pt>
                <c:pt idx="15">
                  <c:v>vs PY</c:v>
                </c:pt>
                <c:pt idx="16">
                  <c:v>vs PL</c:v>
                </c:pt>
              </c:strCache>
            </c:strRef>
          </c:cat>
          <c:val>
            <c:numRef>
              <c:f>'C05X'!$AP$12:$AP$28</c:f>
              <c:numCache>
                <c:formatCode>0.000000</c:formatCode>
                <c:ptCount val="17"/>
                <c:pt idx="0">
                  <c:v>#N/A</c:v>
                </c:pt>
                <c:pt idx="1">
                  <c:v>#N/A</c:v>
                </c:pt>
                <c:pt idx="2">
                  <c:v>8.6396229982691657E-4</c:v>
                </c:pt>
                <c:pt idx="3">
                  <c:v>#N/A</c:v>
                </c:pt>
                <c:pt idx="4">
                  <c:v>9.9354393573505492E-3</c:v>
                </c:pt>
                <c:pt idx="5">
                  <c:v>#N/A</c:v>
                </c:pt>
                <c:pt idx="6">
                  <c:v>1.3643285648361789E-2</c:v>
                </c:pt>
                <c:pt idx="7">
                  <c:v>#N/A</c:v>
                </c:pt>
                <c:pt idx="8">
                  <c:v>#N/A</c:v>
                </c:pt>
                <c:pt idx="9">
                  <c:v>#N/A</c:v>
                </c:pt>
                <c:pt idx="10">
                  <c:v>#N/A</c:v>
                </c:pt>
                <c:pt idx="11">
                  <c:v>9.926677946982515E-3</c:v>
                </c:pt>
                <c:pt idx="12">
                  <c:v>2.4050293205735069E-3</c:v>
                </c:pt>
                <c:pt idx="13">
                  <c:v>2.3861734505062331E-3</c:v>
                </c:pt>
                <c:pt idx="14">
                  <c:v>3.2072348883803066E-3</c:v>
                </c:pt>
                <c:pt idx="15">
                  <c:v>#N/A</c:v>
                </c:pt>
                <c:pt idx="16">
                  <c:v>#N/A</c:v>
                </c:pt>
              </c:numCache>
            </c:numRef>
          </c:val>
          <c:smooth val="0"/>
          <c:extLst>
            <c:ext xmlns:c16="http://schemas.microsoft.com/office/drawing/2014/chart" uri="{C3380CC4-5D6E-409C-BE32-E72D297353CC}">
              <c16:uniqueId val="{00000007-51D9-4297-961B-1A42A7771FEE}"/>
            </c:ext>
          </c:extLst>
        </c:ser>
        <c:ser>
          <c:idx val="1"/>
          <c:order val="1"/>
          <c:tx>
            <c:v>ΔPY% down</c:v>
          </c:tx>
          <c:spPr>
            <a:ln w="38100">
              <a:noFill/>
            </a:ln>
          </c:spPr>
          <c:marker>
            <c:symbol val="square"/>
            <c:size val="5"/>
          </c:marker>
          <c:dPt>
            <c:idx val="0"/>
            <c:marker>
              <c:spPr>
                <a:solidFill>
                  <a:srgbClr val="404040"/>
                </a:solidFill>
                <a:ln>
                  <a:solidFill>
                    <a:srgbClr val="404040"/>
                  </a:solidFill>
                  <a:prstDash val="solid"/>
                </a:ln>
              </c:spPr>
            </c:marker>
            <c:bubble3D val="0"/>
            <c:extLst>
              <c:ext xmlns:c16="http://schemas.microsoft.com/office/drawing/2014/chart" uri="{C3380CC4-5D6E-409C-BE32-E72D297353CC}">
                <c16:uniqueId val="{0000001A-51D9-4297-961B-1A42A7771FEE}"/>
              </c:ext>
            </c:extLst>
          </c:dPt>
          <c:dPt>
            <c:idx val="1"/>
            <c:marker>
              <c:spPr>
                <a:solidFill>
                  <a:srgbClr val="404040"/>
                </a:solidFill>
                <a:ln>
                  <a:solidFill>
                    <a:srgbClr val="404040"/>
                  </a:solidFill>
                  <a:prstDash val="solid"/>
                </a:ln>
              </c:spPr>
            </c:marker>
            <c:bubble3D val="0"/>
            <c:extLst>
              <c:ext xmlns:c16="http://schemas.microsoft.com/office/drawing/2014/chart" uri="{C3380CC4-5D6E-409C-BE32-E72D297353CC}">
                <c16:uniqueId val="{0000001B-51D9-4297-961B-1A42A7771FEE}"/>
              </c:ext>
            </c:extLst>
          </c:dPt>
          <c:dPt>
            <c:idx val="2"/>
            <c:marker>
              <c:spPr>
                <a:solidFill>
                  <a:srgbClr val="404040"/>
                </a:solidFill>
                <a:ln>
                  <a:solidFill>
                    <a:srgbClr val="404040"/>
                  </a:solidFill>
                  <a:prstDash val="solid"/>
                </a:ln>
              </c:spPr>
            </c:marker>
            <c:bubble3D val="0"/>
            <c:extLst>
              <c:ext xmlns:c16="http://schemas.microsoft.com/office/drawing/2014/chart" uri="{C3380CC4-5D6E-409C-BE32-E72D297353CC}">
                <c16:uniqueId val="{0000001C-51D9-4297-961B-1A42A7771FEE}"/>
              </c:ext>
            </c:extLst>
          </c:dPt>
          <c:dPt>
            <c:idx val="3"/>
            <c:marker>
              <c:spPr>
                <a:solidFill>
                  <a:srgbClr val="404040"/>
                </a:solidFill>
                <a:ln>
                  <a:solidFill>
                    <a:srgbClr val="404040"/>
                  </a:solidFill>
                  <a:prstDash val="solid"/>
                </a:ln>
              </c:spPr>
            </c:marker>
            <c:bubble3D val="0"/>
            <c:extLst>
              <c:ext xmlns:c16="http://schemas.microsoft.com/office/drawing/2014/chart" uri="{C3380CC4-5D6E-409C-BE32-E72D297353CC}">
                <c16:uniqueId val="{0000001D-51D9-4297-961B-1A42A7771FEE}"/>
              </c:ext>
            </c:extLst>
          </c:dPt>
          <c:dPt>
            <c:idx val="4"/>
            <c:marker>
              <c:spPr>
                <a:solidFill>
                  <a:srgbClr val="404040"/>
                </a:solidFill>
                <a:ln>
                  <a:solidFill>
                    <a:srgbClr val="404040"/>
                  </a:solidFill>
                  <a:prstDash val="solid"/>
                </a:ln>
              </c:spPr>
            </c:marker>
            <c:bubble3D val="0"/>
            <c:extLst>
              <c:ext xmlns:c16="http://schemas.microsoft.com/office/drawing/2014/chart" uri="{C3380CC4-5D6E-409C-BE32-E72D297353CC}">
                <c16:uniqueId val="{0000001E-51D9-4297-961B-1A42A7771FEE}"/>
              </c:ext>
            </c:extLst>
          </c:dPt>
          <c:dPt>
            <c:idx val="5"/>
            <c:marker>
              <c:spPr>
                <a:solidFill>
                  <a:srgbClr val="404040"/>
                </a:solidFill>
                <a:ln>
                  <a:solidFill>
                    <a:srgbClr val="404040"/>
                  </a:solidFill>
                  <a:prstDash val="solid"/>
                </a:ln>
              </c:spPr>
            </c:marker>
            <c:bubble3D val="0"/>
            <c:extLst>
              <c:ext xmlns:c16="http://schemas.microsoft.com/office/drawing/2014/chart" uri="{C3380CC4-5D6E-409C-BE32-E72D297353CC}">
                <c16:uniqueId val="{0000001F-51D9-4297-961B-1A42A7771FEE}"/>
              </c:ext>
            </c:extLst>
          </c:dPt>
          <c:dPt>
            <c:idx val="6"/>
            <c:marker>
              <c:spPr>
                <a:solidFill>
                  <a:srgbClr val="404040"/>
                </a:solidFill>
                <a:ln>
                  <a:solidFill>
                    <a:srgbClr val="404040"/>
                  </a:solidFill>
                  <a:prstDash val="solid"/>
                </a:ln>
              </c:spPr>
            </c:marker>
            <c:bubble3D val="0"/>
            <c:extLst>
              <c:ext xmlns:c16="http://schemas.microsoft.com/office/drawing/2014/chart" uri="{C3380CC4-5D6E-409C-BE32-E72D297353CC}">
                <c16:uniqueId val="{00000020-51D9-4297-961B-1A42A7771FEE}"/>
              </c:ext>
            </c:extLst>
          </c:dPt>
          <c:dPt>
            <c:idx val="7"/>
            <c:marker>
              <c:spPr>
                <a:solidFill>
                  <a:srgbClr val="F2F2F2"/>
                </a:solidFill>
                <a:ln>
                  <a:solidFill>
                    <a:srgbClr val="404040"/>
                  </a:solidFill>
                  <a:prstDash val="solid"/>
                </a:ln>
              </c:spPr>
            </c:marker>
            <c:bubble3D val="0"/>
            <c:spPr>
              <a:solidFill>
                <a:srgbClr val="0B0200"/>
              </a:solidFill>
              <a:ln w="38100">
                <a:noFill/>
              </a:ln>
            </c:spPr>
            <c:extLst>
              <c:ext xmlns:c16="http://schemas.microsoft.com/office/drawing/2014/chart" uri="{C3380CC4-5D6E-409C-BE32-E72D297353CC}">
                <c16:uniqueId val="{00000021-51D9-4297-961B-1A42A7771FEE}"/>
              </c:ext>
            </c:extLst>
          </c:dPt>
          <c:dPt>
            <c:idx val="8"/>
            <c:marker>
              <c:spPr>
                <a:solidFill>
                  <a:srgbClr val="F2F2F2"/>
                </a:solidFill>
                <a:ln>
                  <a:solidFill>
                    <a:srgbClr val="404040"/>
                  </a:solidFill>
                  <a:prstDash val="solid"/>
                </a:ln>
              </c:spPr>
            </c:marker>
            <c:bubble3D val="0"/>
            <c:spPr>
              <a:solidFill>
                <a:srgbClr val="0B0200"/>
              </a:solidFill>
              <a:ln w="38100">
                <a:noFill/>
              </a:ln>
            </c:spPr>
            <c:extLst>
              <c:ext xmlns:c16="http://schemas.microsoft.com/office/drawing/2014/chart" uri="{C3380CC4-5D6E-409C-BE32-E72D297353CC}">
                <c16:uniqueId val="{00000022-51D9-4297-961B-1A42A7771FEE}"/>
              </c:ext>
            </c:extLst>
          </c:dPt>
          <c:dPt>
            <c:idx val="9"/>
            <c:marker>
              <c:spPr>
                <a:solidFill>
                  <a:srgbClr val="F2F2F2"/>
                </a:solidFill>
                <a:ln>
                  <a:solidFill>
                    <a:srgbClr val="404040"/>
                  </a:solidFill>
                  <a:prstDash val="solid"/>
                </a:ln>
              </c:spPr>
            </c:marker>
            <c:bubble3D val="0"/>
            <c:spPr>
              <a:solidFill>
                <a:srgbClr val="0B0200"/>
              </a:solidFill>
              <a:ln w="38100">
                <a:noFill/>
              </a:ln>
            </c:spPr>
            <c:extLst>
              <c:ext xmlns:c16="http://schemas.microsoft.com/office/drawing/2014/chart" uri="{C3380CC4-5D6E-409C-BE32-E72D297353CC}">
                <c16:uniqueId val="{00000023-51D9-4297-961B-1A42A7771FEE}"/>
              </c:ext>
            </c:extLst>
          </c:dPt>
          <c:dPt>
            <c:idx val="10"/>
            <c:marker>
              <c:spPr>
                <a:solidFill>
                  <a:srgbClr val="F2F2F2"/>
                </a:solidFill>
                <a:ln>
                  <a:solidFill>
                    <a:srgbClr val="404040"/>
                  </a:solidFill>
                  <a:prstDash val="solid"/>
                </a:ln>
              </c:spPr>
            </c:marker>
            <c:bubble3D val="0"/>
            <c:spPr>
              <a:solidFill>
                <a:srgbClr val="0B0200"/>
              </a:solidFill>
              <a:ln w="38100">
                <a:noFill/>
              </a:ln>
            </c:spPr>
            <c:extLst>
              <c:ext xmlns:c16="http://schemas.microsoft.com/office/drawing/2014/chart" uri="{C3380CC4-5D6E-409C-BE32-E72D297353CC}">
                <c16:uniqueId val="{00000024-51D9-4297-961B-1A42A7771FEE}"/>
              </c:ext>
            </c:extLst>
          </c:dPt>
          <c:dPt>
            <c:idx val="11"/>
            <c:marker>
              <c:spPr>
                <a:solidFill>
                  <a:srgbClr val="F2F2F2"/>
                </a:solidFill>
                <a:ln>
                  <a:solidFill>
                    <a:srgbClr val="404040"/>
                  </a:solidFill>
                  <a:prstDash val="solid"/>
                </a:ln>
              </c:spPr>
            </c:marker>
            <c:bubble3D val="0"/>
            <c:spPr>
              <a:solidFill>
                <a:srgbClr val="0B0200"/>
              </a:solidFill>
              <a:ln w="38100">
                <a:noFill/>
              </a:ln>
            </c:spPr>
            <c:extLst>
              <c:ext xmlns:c16="http://schemas.microsoft.com/office/drawing/2014/chart" uri="{C3380CC4-5D6E-409C-BE32-E72D297353CC}">
                <c16:uniqueId val="{00000025-51D9-4297-961B-1A42A7771FEE}"/>
              </c:ext>
            </c:extLst>
          </c:dPt>
          <c:dLbls>
            <c:dLbl>
              <c:idx val="0"/>
              <c:tx>
                <c:strRef>
                  <c:f>'C05X'!$AS$12</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{DDBF6075-74C1-4565-B57F-90A8D1986881}</c15:txfldGUID>
                      <c15:f>'C05X'!$AS$12</c15:f>
                      <c15:dlblFieldTableCache>
                        <c:ptCount val="1"/>
                      </c15:dlblFieldTableCache>
                    </c15:dlblFTEntry>
                  </c15:dlblFieldTable>
                  <c15:showDataLabelsRange val="0"/>
                </c:ext>
                <c:ext xmlns:c16="http://schemas.microsoft.com/office/drawing/2014/chart" uri="{C3380CC4-5D6E-409C-BE32-E72D297353CC}">
                  <c16:uniqueId val="{0000001A-51D9-4297-961B-1A42A7771FEE}"/>
                </c:ext>
              </c:extLst>
            </c:dLbl>
            <c:dLbl>
              <c:idx val="1"/>
              <c:tx>
                <c:strRef>
                  <c:f>'C05X'!$AS$13</c:f>
                  <c:strCache>
                    <c:ptCount val="1"/>
                  </c:strCache>
                </c:strRef>
              </c:tx>
              <c:dLblPos val="b"/>
              <c:showLegendKey val="0"/>
              <c:showVal val="1"/>
              <c:showCatName val="0"/>
              <c:showSerName val="0"/>
              <c:showPercent val="0"/>
              <c:showBubbleSize val="0"/>
              <c:extLst>
                <c:ext xmlns:c15="http://schemas.microsoft.com/office/drawing/2012/chart" uri="{CE6537A1-D6FC-4f65-9D91-7224C49458BB}">
                  <c15:dlblFieldTable>
                    <c15:dlblFTEntry>
                      <c15:txfldGUID>{A8F9A535-4A69-4DA2-82A3-8E4A208E9D21}</c15:txfldGUID>
                      <c15:f>'C05X'!$AS$13</c15:f>
                      <c15:dlblFieldTableCache>
                        <c:ptCount val="1"/>
                      </c15:dlblFieldTableCache>
                    </c15:dlblFTEntry>
                  </c15:dlblFieldTable>
                  <c15:showDataLabelsRange val="0"/>
                </c:ext>
                <c:ext xmlns:c16="http://schemas.microsoft.com/office/drawing/2014/chart" uri="{C3380CC4-5D6E-409C-BE32-E72D297353CC}">
                  <c16:uniqueId val="{0000001B-51D9-4297-961B-1A42A7771FEE}"/>
                </c:ext>
              </c:extLst>
            </c:dLbl>
            <c:dLbl>
              <c:idx val="2"/>
              <c:tx>
                <c:strRef>
                  <c:f>'C05X'!$AS$14</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{D48B4122-BD38-4E3A-A557-3E04E4032FB8}</c15:txfldGUID>
                      <c15:f>'C05X'!$AS$14</c15:f>
                      <c15:dlblFieldTableCache>
                        <c:ptCount val="1"/>
                      </c15:dlblFieldTableCache>
                    </c15:dlblFTEntry>
                  </c15:dlblFieldTable>
                  <c15:showDataLabelsRange val="0"/>
                </c:ext>
                <c:ext xmlns:c16="http://schemas.microsoft.com/office/drawing/2014/chart" uri="{C3380CC4-5D6E-409C-BE32-E72D297353CC}">
                  <c16:uniqueId val="{0000001C-51D9-4297-961B-1A42A7771FEE}"/>
                </c:ext>
              </c:extLst>
            </c:dLbl>
            <c:dLbl>
              <c:idx val="3"/>
              <c:tx>
                <c:strRef>
                  <c:f>'C05X'!$AS$15</c:f>
                  <c:strCache>
                    <c:ptCount val="1"/>
                    <c:pt idx="0">
                      <c:v>-11.0</c:v>
                    </c:pt>
                  </c:strCache>
                </c:strRef>
              </c:tx>
              <c:dLblPos val="b"/>
              <c:showLegendKey val="0"/>
              <c:showVal val="1"/>
              <c:showCatName val="0"/>
              <c:showSerName val="0"/>
              <c:showPercent val="0"/>
              <c:showBubbleSize val="0"/>
              <c:extLst>
                <c:ext xmlns:c15="http://schemas.microsoft.com/office/drawing/2012/chart" uri="{CE6537A1-D6FC-4f65-9D91-7224C49458BB}">
                  <c15:dlblFieldTable>
                    <c15:dlblFTEntry>
                      <c15:txfldGUID>{E234E9C1-2964-4CC9-8E4B-9FCD7518E3C6}</c15:txfldGUID>
                      <c15:f>'C05X'!$AS$15</c15:f>
                      <c15:dlblFieldTableCache>
                        <c:ptCount val="1"/>
                        <c:pt idx="0">
                          <c:v>-11.0</c:v>
                        </c:pt>
                      </c15:dlblFieldTableCache>
                    </c15:dlblFTEntry>
                  </c15:dlblFieldTable>
                  <c15:showDataLabelsRange val="0"/>
                </c:ext>
                <c:ext xmlns:c16="http://schemas.microsoft.com/office/drawing/2014/chart" uri="{C3380CC4-5D6E-409C-BE32-E72D297353CC}">
                  <c16:uniqueId val="{0000001D-51D9-4297-961B-1A42A7771FEE}"/>
                </c:ext>
              </c:extLst>
            </c:dLbl>
            <c:dLbl>
              <c:idx val="4"/>
              <c:tx>
                <c:strRef>
                  <c:f>'C05X'!$AS$16</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{040C647D-6AAD-45E6-95C1-D1E27B778404}</c15:txfldGUID>
                      <c15:f>'C05X'!$AS$16</c15:f>
                      <c15:dlblFieldTableCache>
                        <c:ptCount val="1"/>
                      </c15:dlblFieldTableCache>
                    </c15:dlblFTEntry>
                  </c15:dlblFieldTable>
                  <c15:showDataLabelsRange val="0"/>
                </c:ext>
                <c:ext xmlns:c16="http://schemas.microsoft.com/office/drawing/2014/chart" uri="{C3380CC4-5D6E-409C-BE32-E72D297353CC}">
                  <c16:uniqueId val="{0000001E-51D9-4297-961B-1A42A7771FEE}"/>
                </c:ext>
              </c:extLst>
            </c:dLbl>
            <c:dLbl>
              <c:idx val="5"/>
              <c:tx>
                <c:strRef>
                  <c:f>'C05X'!$AS$17</c:f>
                  <c:strCache>
                    <c:ptCount val="1"/>
                    <c:pt idx="0">
                      <c:v>-30.5</c:v>
                    </c:pt>
                  </c:strCache>
                </c:strRef>
              </c:tx>
              <c:dLblPos val="b"/>
              <c:showLegendKey val="0"/>
              <c:showVal val="1"/>
              <c:showCatName val="0"/>
              <c:showSerName val="0"/>
              <c:showPercent val="0"/>
              <c:showBubbleSize val="0"/>
              <c:extLst>
                <c:ext xmlns:c15="http://schemas.microsoft.com/office/drawing/2012/chart" uri="{CE6537A1-D6FC-4f65-9D91-7224C49458BB}">
                  <c15:dlblFieldTable>
                    <c15:dlblFTEntry>
                      <c15:txfldGUID>{1B782438-F1BD-423B-86C9-E6EF3EF9EDCF}</c15:txfldGUID>
                      <c15:f>'C05X'!$AS$17</c15:f>
                      <c15:dlblFieldTableCache>
                        <c:ptCount val="1"/>
                        <c:pt idx="0">
                          <c:v>-30.5</c:v>
                        </c:pt>
                      </c15:dlblFieldTableCache>
                    </c15:dlblFTEntry>
                  </c15:dlblFieldTable>
                  <c15:showDataLabelsRange val="0"/>
                </c:ext>
                <c:ext xmlns:c16="http://schemas.microsoft.com/office/drawing/2014/chart" uri="{C3380CC4-5D6E-409C-BE32-E72D297353CC}">
                  <c16:uniqueId val="{0000001F-51D9-4297-961B-1A42A7771FEE}"/>
                </c:ext>
              </c:extLst>
            </c:dLbl>
            <c:dLbl>
              <c:idx val="6"/>
              <c:tx>
                <c:strRef>
                  <c:f>'C05X'!$AS$18</c:f>
                  <c:strCache>
                    <c:ptCount val="1"/>
                  </c:strCache>
                </c:strRef>
              </c:tx>
              <c:dLblPos val="b"/>
              <c:showLegendKey val="0"/>
              <c:showVal val="1"/>
              <c:showCatName val="0"/>
              <c:showSerName val="0"/>
              <c:showPercent val="0"/>
              <c:showBubbleSize val="0"/>
              <c:extLst>
                <c:ext xmlns:c15="http://schemas.microsoft.com/office/drawing/2012/chart" uri="{CE6537A1-D6FC-4f65-9D91-7224C49458BB}">
                  <c15:dlblFieldTable>
                    <c15:dlblFTEntry>
                      <c15:txfldGUID>{72B6E5F4-66CE-4100-A1AE-6CA634B4B62E}</c15:txfldGUID>
                      <c15:f>'C05X'!$AS$18</c15:f>
                      <c15:dlblFieldTableCache>
                        <c:ptCount val="1"/>
                      </c15:dlblFieldTableCache>
                    </c15:dlblFTEntry>
                  </c15:dlblFieldTable>
                  <c15:showDataLabelsRange val="0"/>
                </c:ext>
                <c:ext xmlns:c16="http://schemas.microsoft.com/office/drawing/2014/chart" uri="{C3380CC4-5D6E-409C-BE32-E72D297353CC}">
                  <c16:uniqueId val="{00000020-51D9-4297-961B-1A42A7771FEE}"/>
                </c:ext>
              </c:extLst>
            </c:dLbl>
            <c:dLbl>
              <c:idx val="7"/>
              <c:tx>
                <c:strRef>
                  <c:f>'C05X'!$AS$19</c:f>
                  <c:strCache>
                    <c:ptCount val="1"/>
                    <c:pt idx="0">
                      <c:v>-23.8</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{B9FC8A5E-EF33-4B24-A442-F81D9F975714}</c15:txfldGUID>
                      <c15:f>'C05X'!$AS$19</c15:f>
                      <c15:dlblFieldTableCache>
                        <c:ptCount val="1"/>
                        <c:pt idx="0">
                          <c:v>-23.8</c:v>
                        </c:pt>
                      </c15:dlblFieldTableCache>
                    </c15:dlblFTEntry>
                  </c15:dlblFieldTable>
                  <c15:showDataLabelsRange val="0"/>
                </c:ext>
                <c:ext xmlns:c16="http://schemas.microsoft.com/office/drawing/2014/chart" uri="{C3380CC4-5D6E-409C-BE32-E72D297353CC}">
                  <c16:uniqueId val="{00000021-51D9-4297-961B-1A42A7771FEE}"/>
                </c:ext>
              </c:extLst>
            </c:dLbl>
            <c:dLbl>
              <c:idx val="8"/>
              <c:tx>
                <c:strRef>
                  <c:f>'C05X'!$AS$20</c:f>
                  <c:strCache>
                    <c:ptCount val="1"/>
                    <c:pt idx="0">
                      <c:v>-5.5</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{FE8A0012-6A8A-418C-B5B2-B5B87F8E5FCD}</c15:txfldGUID>
                      <c15:f>'C05X'!$AS$20</c15:f>
                      <c15:dlblFieldTableCache>
                        <c:ptCount val="1"/>
                        <c:pt idx="0">
                          <c:v>-5.5</c:v>
                        </c:pt>
                      </c15:dlblFieldTableCache>
                    </c15:dlblFTEntry>
                  </c15:dlblFieldTable>
                  <c15:showDataLabelsRange val="0"/>
                </c:ext>
                <c:ext xmlns:c16="http://schemas.microsoft.com/office/drawing/2014/chart" uri="{C3380CC4-5D6E-409C-BE32-E72D297353CC}">
                  <c16:uniqueId val="{00000022-51D9-4297-961B-1A42A7771FEE}"/>
                </c:ext>
              </c:extLst>
            </c:dLbl>
            <c:dLbl>
              <c:idx val="9"/>
              <c:tx>
                <c:strRef>
                  <c:f>'C05X'!$AS$21</c:f>
                  <c:strCache>
                    <c:ptCount val="1"/>
                    <c:pt idx="0">
                      <c:v>-17.0</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{22A0A6C0-150B-4084-B22F-92AD13DD694D}</c15:txfldGUID>
                      <c15:f>'C05X'!$AS$21</c15:f>
                      <c15:dlblFieldTableCache>
                        <c:ptCount val="1"/>
                        <c:pt idx="0">
                          <c:v>-17.0</c:v>
                        </c:pt>
                      </c15:dlblFieldTableCache>
                    </c15:dlblFTEntry>
                  </c15:dlblFieldTable>
                  <c15:showDataLabelsRange val="0"/>
                </c:ext>
                <c:ext xmlns:c16="http://schemas.microsoft.com/office/drawing/2014/chart" uri="{C3380CC4-5D6E-409C-BE32-E72D297353CC}">
                  <c16:uniqueId val="{00000023-51D9-4297-961B-1A42A7771FEE}"/>
                </c:ext>
              </c:extLst>
            </c:dLbl>
            <c:dLbl>
              <c:idx val="10"/>
              <c:tx>
                <c:strRef>
                  <c:f>'C05X'!$AS$22</c:f>
                  <c:strCache>
                    <c:ptCount val="1"/>
                    <c:pt idx="0">
                      <c:v>-3648.1</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{C7B0EF06-D402-4F5B-886B-7950842588D3}</c15:txfldGUID>
                      <c15:f>'C05X'!$AS$22</c15:f>
                      <c15:dlblFieldTableCache>
                        <c:ptCount val="1"/>
                        <c:pt idx="0">
                          <c:v>-3648.1</c:v>
                        </c:pt>
                      </c15:dlblFieldTableCache>
                    </c15:dlblFTEntry>
                  </c15:dlblFieldTable>
                  <c15:showDataLabelsRange val="0"/>
                </c:ext>
                <c:ext xmlns:c16="http://schemas.microsoft.com/office/drawing/2014/chart" uri="{C3380CC4-5D6E-409C-BE32-E72D297353CC}">
                  <c16:uniqueId val="{00000024-51D9-4297-961B-1A42A7771FEE}"/>
                </c:ext>
              </c:extLst>
            </c:dLbl>
            <c:dLbl>
              <c:idx val="11"/>
              <c:tx>
                <c:strRef>
                  <c:f>'C05X'!$AS$23</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{DD3F6504-F059-4D85-A3E6-F8C0CD40BE39}</c15:txfldGUID>
                      <c15:f>'C05X'!$AS$23</c15:f>
                      <c15:dlblFieldTableCache>
                        <c:ptCount val="1"/>
                      </c15:dlblFieldTableCache>
                    </c15:dlblFTEntry>
                  </c15:dlblFieldTable>
                  <c15:showDataLabelsRange val="0"/>
                </c:ext>
                <c:ext xmlns:c16="http://schemas.microsoft.com/office/drawing/2014/chart" uri="{C3380CC4-5D6E-409C-BE32-E72D297353CC}">
                  <c16:uniqueId val="{00000025-51D9-4297-961B-1A42A7771FEE}"/>
                </c:ext>
              </c:extLst>
            </c:dLbl>
            <c:dLbl>
              <c:idx val="12"/>
              <c:tx>
                <c:strRef>
                  <c:f>'C05X'!$AS$24</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{5655867F-7535-4659-8C55-2A2541E95002}</c15:txfldGUID>
                      <c15:f>'C05X'!$AS$24</c15:f>
                      <c15:dlblFieldTableCache>
                        <c:ptCount val="1"/>
                      </c15:dlblFieldTableCache>
                    </c15:dlblFTEntry>
                  </c15:dlblFieldTable>
                  <c15:showDataLabelsRange val="0"/>
                </c:ext>
                <c:ext xmlns:c16="http://schemas.microsoft.com/office/drawing/2014/chart" uri="{C3380CC4-5D6E-409C-BE32-E72D297353CC}">
                  <c16:uniqueId val="{00000026-51D9-4297-961B-1A42A7771FEE}"/>
                </c:ext>
              </c:extLst>
            </c:dLbl>
            <c:dLbl>
              <c:idx val="13"/>
              <c:tx>
                <c:strRef>
                  <c:f>'C05X'!$AS$25</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{38D3E896-4B00-445A-95D9-86631819E269}</c15:txfldGUID>
                      <c15:f>'C05X'!$AS$25</c15:f>
                      <c15:dlblFieldTableCache>
                        <c:ptCount val="1"/>
                      </c15:dlblFieldTableCache>
                    </c15:dlblFTEntry>
                  </c15:dlblFieldTable>
                  <c15:showDataLabelsRange val="0"/>
                </c:ext>
                <c:ext xmlns:c16="http://schemas.microsoft.com/office/drawing/2014/chart" uri="{C3380CC4-5D6E-409C-BE32-E72D297353CC}">
                  <c16:uniqueId val="{00000027-51D9-4297-961B-1A42A7771FEE}"/>
                </c:ext>
              </c:extLst>
            </c:dLbl>
            <c:dLbl>
              <c:idx val="14"/>
              <c:tx>
                <c:strRef>
                  <c:f>'C05X'!$AS$26</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{C2185522-2D23-4E3A-8125-732D7B30A6CF}</c15:txfldGUID>
                      <c15:f>'C05X'!$AS$26</c15:f>
                      <c15:dlblFieldTableCache>
                        <c:ptCount val="1"/>
                      </c15:dlblFieldTableCache>
                    </c15:dlblFTEntry>
                  </c15:dlblFieldTable>
                  <c15:showDataLabelsRange val="0"/>
                </c:ext>
                <c:ext xmlns:c16="http://schemas.microsoft.com/office/drawing/2014/chart" uri="{C3380CC4-5D6E-409C-BE32-E72D297353CC}">
                  <c16:uniqueId val="{00000028-51D9-4297-961B-1A42A7771FEE}"/>
                </c:ext>
              </c:extLst>
            </c:dLbl>
            <c:dLbl>
              <c:idx val="15"/>
              <c:tx>
                <c:strRef>
                  <c:f>'C05X'!$AS$27</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{AB474D75-617D-4F15-A3F8-1DC53BEBBAC2}</c15:txfldGUID>
                      <c15:f>'C05X'!$AS$27</c15:f>
                      <c15:dlblFieldTableCache>
                        <c:ptCount val="1"/>
                      </c15:dlblFieldTableCache>
                    </c15:dlblFTEntry>
                  </c15:dlblFieldTable>
                  <c15:showDataLabelsRange val="0"/>
                </c:ext>
                <c:ext xmlns:c16="http://schemas.microsoft.com/office/drawing/2014/chart" uri="{C3380CC4-5D6E-409C-BE32-E72D297353CC}">
                  <c16:uniqueId val="{00000029-51D9-4297-961B-1A42A7771FEE}"/>
                </c:ext>
              </c:extLst>
            </c:dLbl>
            <c:dLbl>
              <c:idx val="16"/>
              <c:tx>
                <c:strRef>
                  <c:f>'C05X'!$AS$28</c:f>
                  <c:strCache>
                    <c:ptCount val="1"/>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{05F56A8A-5449-4495-B450-43D2B4DEFBA4}</c15:txfldGUID>
                      <c15:f>'C05X'!$AS$28</c15:f>
                      <c15:dlblFieldTableCache>
                        <c:ptCount val="1"/>
                      </c15:dlblFieldTableCache>
                    </c15:dlblFTEntry>
                  </c15:dlblFieldTable>
                  <c15:showDataLabelsRange val="0"/>
                </c:ext>
                <c:ext xmlns:c16="http://schemas.microsoft.com/office/drawing/2014/chart" uri="{C3380CC4-5D6E-409C-BE32-E72D297353CC}">
                  <c16:uniqueId val="{0000002A-51D9-4297-961B-1A42A7771FEE}"/>
                </c:ext>
              </c:extLst>
            </c:dLbl>
            <c:numFmt formatCode="\+0.0;\-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Dir val="y"/>
            <c:errBarType val="plus"/>
            <c:errValType val="cust"/>
            <c:noEndCap val="1"/>
            <c:plus>
              <c:numRef>
                <c:f>'C05X'!$AU$12:$AU$28</c:f>
                <c:numCache>
                  <c:formatCode>General</c:formatCode>
                  <c:ptCount val="17"/>
                  <c:pt idx="0">
                    <c:v>0</c:v>
                  </c:pt>
                  <c:pt idx="1">
                    <c:v>0</c:v>
                  </c:pt>
                  <c:pt idx="2">
                    <c:v>0</c:v>
                  </c:pt>
                  <c:pt idx="3">
                    <c:v>3.0282813633067439E-3</c:v>
                  </c:pt>
                  <c:pt idx="4">
                    <c:v>0</c:v>
                  </c:pt>
                  <c:pt idx="5">
                    <c:v>8.3627290716682436E-3</c:v>
                  </c:pt>
                  <c:pt idx="6">
                    <c:v>0</c:v>
                  </c:pt>
                  <c:pt idx="7">
                    <c:v>6.5292695148253845E-3</c:v>
                  </c:pt>
                  <c:pt idx="8">
                    <c:v>1.494669309357994E-3</c:v>
                  </c:pt>
                  <c:pt idx="9">
                    <c:v>4.6569014613653927E-3</c:v>
                  </c:pt>
                  <c:pt idx="10">
                    <c:v>1</c:v>
                  </c:pt>
                  <c:pt idx="11">
                    <c:v>0</c:v>
                  </c:pt>
                  <c:pt idx="12">
                    <c:v>0</c:v>
                  </c:pt>
                  <c:pt idx="13">
                    <c:v>0</c:v>
                  </c:pt>
                  <c:pt idx="14">
                    <c:v>0</c:v>
                  </c:pt>
                  <c:pt idx="15">
                    <c:v>0</c:v>
                  </c:pt>
                  <c:pt idx="16">
                    <c:v>0</c:v>
                  </c:pt>
                </c:numCache>
              </c:numRef>
            </c:plus>
            <c:spPr>
              <a:ln w="47625">
                <a:solidFill>
                  <a:srgbClr val="FF0000"/>
                </a:solidFill>
              </a:ln>
            </c:spPr>
          </c:errBars>
          <c:cat>
            <c:strRef>
              <c:f>'C05X'!$A$12:$A$28</c:f>
              <c:strCache>
                <c:ptCount val="17"/>
                <c:pt idx="0">
                  <c:v>2026 PL</c:v>
                </c:pt>
                <c:pt idx="1">
                  <c:v>2025 AC</c:v>
                </c:pt>
                <c:pt idx="2">
                  <c:v>Jan</c:v>
                </c:pt>
                <c:pt idx="3">
                  <c:v>Feb</c:v>
                </c:pt>
                <c:pt idx="4">
                  <c:v>Mar</c:v>
                </c:pt>
                <c:pt idx="5">
                  <c:v>Apr</c:v>
                </c:pt>
                <c:pt idx="6">
                  <c:v>May</c:v>
                </c:pt>
                <c:pt idx="7">
                  <c:v>Jun</c:v>
                </c:pt>
                <c:pt idx="8">
                  <c:v>Jul</c:v>
                </c:pt>
                <c:pt idx="9">
                  <c:v>Aug</c:v>
                </c:pt>
                <c:pt idx="10">
                  <c:v>Sep</c:v>
                </c:pt>
                <c:pt idx="11">
                  <c:v>Oct</c:v>
                </c:pt>
                <c:pt idx="12">
                  <c:v>Nov</c:v>
                </c:pt>
                <c:pt idx="13">
                  <c:v>Dec</c:v>
                </c:pt>
                <c:pt idx="14">
                  <c:v>2026 AC+FC</c:v>
                </c:pt>
                <c:pt idx="15">
                  <c:v>vs PY</c:v>
                </c:pt>
                <c:pt idx="16">
                  <c:v>vs PL</c:v>
                </c:pt>
              </c:strCache>
            </c:strRef>
          </c:cat>
          <c:val>
            <c:numRef>
              <c:f>'C05X'!$AR$12:$AR$28</c:f>
              <c:numCache>
                <c:formatCode>0.000000</c:formatCode>
                <c:ptCount val="17"/>
                <c:pt idx="0">
                  <c:v>#N/A</c:v>
                </c:pt>
                <c:pt idx="1">
                  <c:v>#N/A</c:v>
                </c:pt>
                <c:pt idx="2">
                  <c:v>#N/A</c:v>
                </c:pt>
                <c:pt idx="3">
                  <c:v>-3.0282813633067439E-3</c:v>
                </c:pt>
                <c:pt idx="4">
                  <c:v>#N/A</c:v>
                </c:pt>
                <c:pt idx="5">
                  <c:v>-8.3627290716682436E-3</c:v>
                </c:pt>
                <c:pt idx="6">
                  <c:v>#N/A</c:v>
                </c:pt>
                <c:pt idx="7">
                  <c:v>-6.5292695148253845E-3</c:v>
                </c:pt>
                <c:pt idx="8">
                  <c:v>-1.494669309357994E-3</c:v>
                </c:pt>
                <c:pt idx="9">
                  <c:v>-4.6569014613653927E-3</c:v>
                </c:pt>
                <c:pt idx="10">
                  <c:v>-1</c:v>
                </c:pt>
                <c:pt idx="11">
                  <c:v>#N/A</c:v>
                </c:pt>
                <c:pt idx="12">
                  <c:v>#N/A</c:v>
                </c:pt>
                <c:pt idx="13">
                  <c:v>#N/A</c:v>
                </c:pt>
                <c:pt idx="14">
                  <c:v>#N/A</c:v>
                </c:pt>
                <c:pt idx="15">
                  <c:v>#N/A</c:v>
                </c:pt>
                <c:pt idx="16">
                  <c:v>#N/A</c:v>
                </c:pt>
              </c:numCache>
            </c:numRef>
          </c:val>
          <c:smooth val="0"/>
          <c:extLst>
            <c:ext xmlns:c16="http://schemas.microsoft.com/office/drawing/2014/chart" uri="{C3380CC4-5D6E-409C-BE32-E72D297353CC}">
              <c16:uniqueId val="{00000019-51D9-4297-961B-1A42A7771FEE}"/>
            </c:ext>
          </c:extLst>
        </c:ser>
        <c:dLbls>
          <c:showLegendKey val="0"/>
          <c:showVal val="0"/>
          <c:showCatName val="0"/>
          <c:showSerName val="0"/>
          <c:showPercent val="0"/>
          <c:showBubbleSize val="0"/>
        </c:dLbls>
        <c:marker val="1"/>
        <c:smooth val="0"/>
        <c:axId val="1204883408"/>
        <c:axId val="1096015792"/>
      </c:lineChart>
      <c:catAx>
        <c:axId val="1204883408"/>
        <c:scaling>
          <c:orientation val="minMax"/>
        </c:scaling>
        <c:delete val="0"/>
        <c:axPos val="b"/>
        <c:numFmt formatCode="General" sourceLinked="1"/>
        <c:majorTickMark val="none"/>
        <c:minorTickMark val="none"/>
        <c:tickLblPos val="low"/>
        <c:spPr>
          <a:ln w="47625">
            <a:solidFill>
              <a:srgbClr val="808080"/>
            </a:solidFill>
          </a:ln>
        </c:spPr>
        <c:txPr>
          <a:bodyPr/>
          <a:lstStyle/>
          <a:p>
            <a:pPr>
              <a:defRPr sz="900">
                <a:latin typeface="Arial"/>
                <a:ea typeface="Arial"/>
                <a:cs typeface="Arial"/>
              </a:defRPr>
            </a:pPr>
            <a:endParaRPr lang="en-US"/>
          </a:p>
        </c:txPr>
        <c:crossAx val="1096015792"/>
        <c:crosses val="autoZero"/>
        <c:auto val="1"/>
        <c:lblAlgn val="ctr"/>
        <c:lblOffset val="100"/>
        <c:noMultiLvlLbl val="0"/>
      </c:catAx>
      <c:valAx>
        <c:axId val="1096015792"/>
        <c:scaling>
          <c:orientation val="minMax"/>
          <c:max val="0.11364328564836179"/>
          <c:min val="-1.1000000000000001"/>
        </c:scaling>
        <c:delete val="0"/>
        <c:axPos val="l"/>
        <c:numFmt formatCode="0.00000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04883408"/>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0645161290322578E-2"/>
          <c:y val="0.10909090909090909"/>
          <c:w val="0.90322580645161288"/>
          <c:h val="0.81818181818181823"/>
        </c:manualLayout>
      </c:layout>
      <c:barChart>
        <c:barDir val="col"/>
        <c:grouping val="stacked"/>
        <c:varyColors val="0"/>
        <c:ser>
          <c:idx val="0"/>
          <c:order val="0"/>
          <c:tx>
            <c:v>base</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cat>
            <c:strRef>
              <c:f>'C05X'!$A$12:$A$28</c:f>
              <c:strCache>
                <c:ptCount val="17"/>
                <c:pt idx="0">
                  <c:v>2026 PL</c:v>
                </c:pt>
                <c:pt idx="1">
                  <c:v>2025 AC</c:v>
                </c:pt>
                <c:pt idx="2">
                  <c:v>Jan</c:v>
                </c:pt>
                <c:pt idx="3">
                  <c:v>Feb</c:v>
                </c:pt>
                <c:pt idx="4">
                  <c:v>Mar</c:v>
                </c:pt>
                <c:pt idx="5">
                  <c:v>Apr</c:v>
                </c:pt>
                <c:pt idx="6">
                  <c:v>May</c:v>
                </c:pt>
                <c:pt idx="7">
                  <c:v>Jun</c:v>
                </c:pt>
                <c:pt idx="8">
                  <c:v>Jul</c:v>
                </c:pt>
                <c:pt idx="9">
                  <c:v>Aug</c:v>
                </c:pt>
                <c:pt idx="10">
                  <c:v>Sep</c:v>
                </c:pt>
                <c:pt idx="11">
                  <c:v>Oct</c:v>
                </c:pt>
                <c:pt idx="12">
                  <c:v>Nov</c:v>
                </c:pt>
                <c:pt idx="13">
                  <c:v>Dec</c:v>
                </c:pt>
                <c:pt idx="14">
                  <c:v>2026 AC+FC</c:v>
                </c:pt>
                <c:pt idx="15">
                  <c:v>vs PY</c:v>
                </c:pt>
                <c:pt idx="16">
                  <c:v>vs PL</c:v>
                </c:pt>
              </c:strCache>
            </c:strRef>
          </c:cat>
          <c:val>
            <c:numRef>
              <c:f>'C05X'!$AG$12:$AG$28</c:f>
              <c:numCache>
                <c:formatCode>0.000000</c:formatCode>
                <c:ptCount val="17"/>
                <c:pt idx="0">
                  <c:v>0</c:v>
                </c:pt>
                <c:pt idx="1">
                  <c:v>0</c:v>
                </c:pt>
                <c:pt idx="2">
                  <c:v>0.90154711673699017</c:v>
                </c:pt>
                <c:pt idx="3">
                  <c:v>0.8942510548523207</c:v>
                </c:pt>
                <c:pt idx="4">
                  <c:v>0.8942510548523207</c:v>
                </c:pt>
                <c:pt idx="5">
                  <c:v>0.88704289732770747</c:v>
                </c:pt>
                <c:pt idx="6">
                  <c:v>0.88704289732770747</c:v>
                </c:pt>
                <c:pt idx="7">
                  <c:v>0.90603023909985936</c:v>
                </c:pt>
                <c:pt idx="8">
                  <c:v>0.90110759493670889</c:v>
                </c:pt>
                <c:pt idx="9">
                  <c:v>0.88335091420534462</c:v>
                </c:pt>
                <c:pt idx="10">
                  <c:v>0.88335091420534462</c:v>
                </c:pt>
                <c:pt idx="11">
                  <c:v>0.96993670886075944</c:v>
                </c:pt>
                <c:pt idx="12">
                  <c:v>0.99314345991561181</c:v>
                </c:pt>
                <c:pt idx="13">
                  <c:v>1</c:v>
                </c:pt>
                <c:pt idx="14">
                  <c:v>0</c:v>
                </c:pt>
                <c:pt idx="15">
                  <c:v>0.90154711673699017</c:v>
                </c:pt>
                <c:pt idx="16">
                  <c:v>0.90154711673699017</c:v>
                </c:pt>
              </c:numCache>
            </c:numRef>
          </c:val>
          <c:extLst>
            <c:ext xmlns:c16="http://schemas.microsoft.com/office/drawing/2014/chart" uri="{C3380CC4-5D6E-409C-BE32-E72D297353CC}">
              <c16:uniqueId val="{00000007-64FD-46E4-9A34-9AF580EF1877}"/>
            </c:ext>
          </c:extLst>
        </c:ser>
        <c:ser>
          <c:idx val="1"/>
          <c:order val="1"/>
          <c:tx>
            <c:v>up AC</c:v>
          </c:tx>
          <c:spPr>
            <a:solidFill>
              <a:srgbClr val="8CB400"/>
            </a:solidFill>
            <a:ln>
              <a:noFill/>
            </a:ln>
            <a:effectLst/>
            <a:extLst>
              <a:ext uri="{91240B29-F687-4F45-9708-019B960494DF}">
                <a14:hiddenLine xmlns:a14="http://schemas.microsoft.com/office/drawing/2010/main">
                  <a:noFill/>
                </a14:hiddenLine>
              </a:ext>
            </a:ex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9-64FD-46E4-9A34-9AF580EF1877}"/>
                </c:ext>
              </c:extLst>
            </c:dLbl>
            <c:dLbl>
              <c:idx val="1"/>
              <c:delete val="1"/>
              <c:extLst>
                <c:ext xmlns:c15="http://schemas.microsoft.com/office/drawing/2012/chart" uri="{CE6537A1-D6FC-4f65-9D91-7224C49458BB}"/>
                <c:ext xmlns:c16="http://schemas.microsoft.com/office/drawing/2014/chart" uri="{C3380CC4-5D6E-409C-BE32-E72D297353CC}">
                  <c16:uniqueId val="{0000000A-64FD-46E4-9A34-9AF580EF1877}"/>
                </c:ext>
              </c:extLst>
            </c:dLbl>
            <c:dLbl>
              <c:idx val="2"/>
              <c:tx>
                <c:strRef>
                  <c:f>'C05X'!$AI$14</c:f>
                  <c:strCache>
                    <c:ptCount val="1"/>
                    <c:pt idx="0">
                      <c:v>+33</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{742B5E1F-91BB-4D78-A671-3B0BD65DB716}</c15:txfldGUID>
                      <c15:f>'C05X'!$AI$14</c15:f>
                      <c15:dlblFieldTableCache>
                        <c:ptCount val="1"/>
                        <c:pt idx="0">
                          <c:v>+33</c:v>
                        </c:pt>
                      </c15:dlblFieldTableCache>
                    </c15:dlblFTEntry>
                  </c15:dlblFieldTable>
                  <c15:showDataLabelsRange val="0"/>
                </c:ext>
                <c:ext xmlns:c16="http://schemas.microsoft.com/office/drawing/2014/chart" uri="{C3380CC4-5D6E-409C-BE32-E72D297353CC}">
                  <c16:uniqueId val="{0000000B-64FD-46E4-9A34-9AF580EF1877}"/>
                </c:ext>
              </c:extLst>
            </c:dLbl>
            <c:dLbl>
              <c:idx val="3"/>
              <c:delete val="1"/>
              <c:extLst>
                <c:ext xmlns:c15="http://schemas.microsoft.com/office/drawing/2012/chart" uri="{CE6537A1-D6FC-4f65-9D91-7224C49458BB}"/>
                <c:ext xmlns:c16="http://schemas.microsoft.com/office/drawing/2014/chart" uri="{C3380CC4-5D6E-409C-BE32-E72D297353CC}">
                  <c16:uniqueId val="{0000000C-64FD-46E4-9A34-9AF580EF1877}"/>
                </c:ext>
              </c:extLst>
            </c:dLbl>
            <c:dLbl>
              <c:idx val="4"/>
              <c:tx>
                <c:strRef>
                  <c:f>'C05X'!$AI$16</c:f>
                  <c:strCache>
                    <c:ptCount val="1"/>
                    <c:pt idx="0">
                      <c:v>+224</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{D31B5B3D-27F7-434A-AB8C-C7D423D384BD}</c15:txfldGUID>
                      <c15:f>'C05X'!$AI$16</c15:f>
                      <c15:dlblFieldTableCache>
                        <c:ptCount val="1"/>
                        <c:pt idx="0">
                          <c:v>+224</c:v>
                        </c:pt>
                      </c15:dlblFieldTableCache>
                    </c15:dlblFTEntry>
                  </c15:dlblFieldTable>
                  <c15:showDataLabelsRange val="0"/>
                </c:ext>
                <c:ext xmlns:c16="http://schemas.microsoft.com/office/drawing/2014/chart" uri="{C3380CC4-5D6E-409C-BE32-E72D297353CC}">
                  <c16:uniqueId val="{0000000D-64FD-46E4-9A34-9AF580EF1877}"/>
                </c:ext>
              </c:extLst>
            </c:dLbl>
            <c:dLbl>
              <c:idx val="5"/>
              <c:delete val="1"/>
              <c:extLst>
                <c:ext xmlns:c15="http://schemas.microsoft.com/office/drawing/2012/chart" uri="{CE6537A1-D6FC-4f65-9D91-7224C49458BB}"/>
                <c:ext xmlns:c16="http://schemas.microsoft.com/office/drawing/2014/chart" uri="{C3380CC4-5D6E-409C-BE32-E72D297353CC}">
                  <c16:uniqueId val="{0000000E-64FD-46E4-9A34-9AF580EF1877}"/>
                </c:ext>
              </c:extLst>
            </c:dLbl>
            <c:dLbl>
              <c:idx val="6"/>
              <c:tx>
                <c:strRef>
                  <c:f>'C05X'!$AI$18</c:f>
                  <c:strCache>
                    <c:ptCount val="1"/>
                    <c:pt idx="0">
                      <c:v>+438</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{2338DD8C-3EB7-493D-B11D-E09B1B5D008C}</c15:txfldGUID>
                      <c15:f>'C05X'!$AI$18</c15:f>
                      <c15:dlblFieldTableCache>
                        <c:ptCount val="1"/>
                        <c:pt idx="0">
                          <c:v>+438</c:v>
                        </c:pt>
                      </c15:dlblFieldTableCache>
                    </c15:dlblFTEntry>
                  </c15:dlblFieldTable>
                  <c15:showDataLabelsRange val="0"/>
                </c:ext>
                <c:ext xmlns:c16="http://schemas.microsoft.com/office/drawing/2014/chart" uri="{C3380CC4-5D6E-409C-BE32-E72D297353CC}">
                  <c16:uniqueId val="{0000000F-64FD-46E4-9A34-9AF580EF1877}"/>
                </c:ext>
              </c:extLst>
            </c:dLbl>
            <c:dLbl>
              <c:idx val="7"/>
              <c:delete val="1"/>
              <c:extLst>
                <c:ext xmlns:c15="http://schemas.microsoft.com/office/drawing/2012/chart" uri="{CE6537A1-D6FC-4f65-9D91-7224C49458BB}"/>
                <c:ext xmlns:c16="http://schemas.microsoft.com/office/drawing/2014/chart" uri="{C3380CC4-5D6E-409C-BE32-E72D297353CC}">
                  <c16:uniqueId val="{00000010-64FD-46E4-9A34-9AF580EF1877}"/>
                </c:ext>
              </c:extLst>
            </c:dLbl>
            <c:dLbl>
              <c:idx val="8"/>
              <c:delete val="1"/>
              <c:extLst>
                <c:ext xmlns:c15="http://schemas.microsoft.com/office/drawing/2012/chart" uri="{CE6537A1-D6FC-4f65-9D91-7224C49458BB}"/>
                <c:ext xmlns:c16="http://schemas.microsoft.com/office/drawing/2014/chart" uri="{C3380CC4-5D6E-409C-BE32-E72D297353CC}">
                  <c16:uniqueId val="{00000011-64FD-46E4-9A34-9AF580EF1877}"/>
                </c:ext>
              </c:extLst>
            </c:dLbl>
            <c:dLbl>
              <c:idx val="9"/>
              <c:delete val="1"/>
              <c:extLst>
                <c:ext xmlns:c15="http://schemas.microsoft.com/office/drawing/2012/chart" uri="{CE6537A1-D6FC-4f65-9D91-7224C49458BB}"/>
                <c:ext xmlns:c16="http://schemas.microsoft.com/office/drawing/2014/chart" uri="{C3380CC4-5D6E-409C-BE32-E72D297353CC}">
                  <c16:uniqueId val="{00000012-64FD-46E4-9A34-9AF580EF1877}"/>
                </c:ext>
              </c:extLst>
            </c:dLbl>
            <c:dLbl>
              <c:idx val="10"/>
              <c:delete val="1"/>
              <c:extLst>
                <c:ext xmlns:c15="http://schemas.microsoft.com/office/drawing/2012/chart" uri="{CE6537A1-D6FC-4f65-9D91-7224C49458BB}"/>
                <c:ext xmlns:c16="http://schemas.microsoft.com/office/drawing/2014/chart" uri="{C3380CC4-5D6E-409C-BE32-E72D297353CC}">
                  <c16:uniqueId val="{00000013-64FD-46E4-9A34-9AF580EF1877}"/>
                </c:ext>
              </c:extLst>
            </c:dLbl>
            <c:dLbl>
              <c:idx val="11"/>
              <c:delete val="1"/>
              <c:extLst>
                <c:ext xmlns:c15="http://schemas.microsoft.com/office/drawing/2012/chart" uri="{CE6537A1-D6FC-4f65-9D91-7224C49458BB}"/>
                <c:ext xmlns:c16="http://schemas.microsoft.com/office/drawing/2014/chart" uri="{C3380CC4-5D6E-409C-BE32-E72D297353CC}">
                  <c16:uniqueId val="{00000014-64FD-46E4-9A34-9AF580EF1877}"/>
                </c:ext>
              </c:extLst>
            </c:dLbl>
            <c:dLbl>
              <c:idx val="12"/>
              <c:delete val="1"/>
              <c:extLst>
                <c:ext xmlns:c15="http://schemas.microsoft.com/office/drawing/2012/chart" uri="{CE6537A1-D6FC-4f65-9D91-7224C49458BB}"/>
                <c:ext xmlns:c16="http://schemas.microsoft.com/office/drawing/2014/chart" uri="{C3380CC4-5D6E-409C-BE32-E72D297353CC}">
                  <c16:uniqueId val="{00000015-64FD-46E4-9A34-9AF580EF1877}"/>
                </c:ext>
              </c:extLst>
            </c:dLbl>
            <c:dLbl>
              <c:idx val="13"/>
              <c:delete val="1"/>
              <c:extLst>
                <c:ext xmlns:c15="http://schemas.microsoft.com/office/drawing/2012/chart" uri="{CE6537A1-D6FC-4f65-9D91-7224C49458BB}"/>
                <c:ext xmlns:c16="http://schemas.microsoft.com/office/drawing/2014/chart" uri="{C3380CC4-5D6E-409C-BE32-E72D297353CC}">
                  <c16:uniqueId val="{00000016-64FD-46E4-9A34-9AF580EF1877}"/>
                </c:ext>
              </c:extLst>
            </c:dLbl>
            <c:dLbl>
              <c:idx val="14"/>
              <c:delete val="1"/>
              <c:extLst>
                <c:ext xmlns:c15="http://schemas.microsoft.com/office/drawing/2012/chart" uri="{CE6537A1-D6FC-4f65-9D91-7224C49458BB}"/>
                <c:ext xmlns:c16="http://schemas.microsoft.com/office/drawing/2014/chart" uri="{C3380CC4-5D6E-409C-BE32-E72D297353CC}">
                  <c16:uniqueId val="{00000017-64FD-46E4-9A34-9AF580EF1877}"/>
                </c:ext>
              </c:extLst>
            </c:dLbl>
            <c:dLbl>
              <c:idx val="15"/>
              <c:tx>
                <c:strRef>
                  <c:f>'C05X'!$AI$27</c:f>
                  <c:strCache>
                    <c:ptCount val="1"/>
                    <c:pt idx="0">
                      <c:v>+1,200</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{1A4F82EC-A9A6-47A6-B0AA-7D6888EED03E}</c15:txfldGUID>
                      <c15:f>'C05X'!$AI$27</c15:f>
                      <c15:dlblFieldTableCache>
                        <c:ptCount val="1"/>
                        <c:pt idx="0">
                          <c:v>+1,200</c:v>
                        </c:pt>
                      </c15:dlblFieldTableCache>
                    </c15:dlblFTEntry>
                  </c15:dlblFieldTable>
                  <c15:showDataLabelsRange val="0"/>
                </c:ext>
                <c:ext xmlns:c16="http://schemas.microsoft.com/office/drawing/2014/chart" uri="{C3380CC4-5D6E-409C-BE32-E72D297353CC}">
                  <c16:uniqueId val="{00000018-64FD-46E4-9A34-9AF580EF1877}"/>
                </c:ext>
              </c:extLst>
            </c:dLbl>
            <c:dLbl>
              <c:idx val="16"/>
              <c:tx>
                <c:strRef>
                  <c:f>'C05X'!$AI$28</c:f>
                  <c:strCache>
                    <c:ptCount val="1"/>
                    <c:pt idx="0">
                      <c:v>+1,200</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{8E0DA8BD-998A-4970-8B1B-30FA48B579F5}</c15:txfldGUID>
                      <c15:f>'C05X'!$AI$28</c15:f>
                      <c15:dlblFieldTableCache>
                        <c:ptCount val="1"/>
                        <c:pt idx="0">
                          <c:v>+1,200</c:v>
                        </c:pt>
                      </c15:dlblFieldTableCache>
                    </c15:dlblFTEntry>
                  </c15:dlblFieldTable>
                  <c15:showDataLabelsRange val="0"/>
                </c:ext>
                <c:ext xmlns:c16="http://schemas.microsoft.com/office/drawing/2014/chart" uri="{C3380CC4-5D6E-409C-BE32-E72D297353CC}">
                  <c16:uniqueId val="{00000019-64FD-46E4-9A34-9AF580EF1877}"/>
                </c:ext>
              </c:extLst>
            </c:dLbl>
            <c:numFmt formatCode="\+#,##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'C05X'!$A$12:$A$28</c:f>
              <c:strCache>
                <c:ptCount val="17"/>
                <c:pt idx="0">
                  <c:v>2026 PL</c:v>
                </c:pt>
                <c:pt idx="1">
                  <c:v>2025 AC</c:v>
                </c:pt>
                <c:pt idx="2">
                  <c:v>Jan</c:v>
                </c:pt>
                <c:pt idx="3">
                  <c:v>Feb</c:v>
                </c:pt>
                <c:pt idx="4">
                  <c:v>Mar</c:v>
                </c:pt>
                <c:pt idx="5">
                  <c:v>Apr</c:v>
                </c:pt>
                <c:pt idx="6">
                  <c:v>May</c:v>
                </c:pt>
                <c:pt idx="7">
                  <c:v>Jun</c:v>
                </c:pt>
                <c:pt idx="8">
                  <c:v>Jul</c:v>
                </c:pt>
                <c:pt idx="9">
                  <c:v>Aug</c:v>
                </c:pt>
                <c:pt idx="10">
                  <c:v>Sep</c:v>
                </c:pt>
                <c:pt idx="11">
                  <c:v>Oct</c:v>
                </c:pt>
                <c:pt idx="12">
                  <c:v>Nov</c:v>
                </c:pt>
                <c:pt idx="13">
                  <c:v>Dec</c:v>
                </c:pt>
                <c:pt idx="14">
                  <c:v>2026 AC+FC</c:v>
                </c:pt>
                <c:pt idx="15">
                  <c:v>vs PY</c:v>
                </c:pt>
                <c:pt idx="16">
                  <c:v>vs PL</c:v>
                </c:pt>
              </c:strCache>
            </c:strRef>
          </c:cat>
          <c:val>
            <c:numRef>
              <c:f>'C05X'!$AH$12:$AH$28</c:f>
              <c:numCache>
                <c:formatCode>0.000000</c:formatCode>
                <c:ptCount val="17"/>
                <c:pt idx="0">
                  <c:v>0</c:v>
                </c:pt>
                <c:pt idx="1">
                  <c:v>0</c:v>
                </c:pt>
                <c:pt idx="2">
                  <c:v>2.9008438818565402E-3</c:v>
                </c:pt>
                <c:pt idx="3">
                  <c:v>0</c:v>
                </c:pt>
                <c:pt idx="4">
                  <c:v>1.969057665260197E-2</c:v>
                </c:pt>
                <c:pt idx="5">
                  <c:v>0</c:v>
                </c:pt>
                <c:pt idx="6">
                  <c:v>3.8502109704641352E-2</c:v>
                </c:pt>
                <c:pt idx="7">
                  <c:v>0</c:v>
                </c:pt>
                <c:pt idx="8">
                  <c:v>0</c:v>
                </c:pt>
                <c:pt idx="9">
                  <c:v>0</c:v>
                </c:pt>
                <c:pt idx="10">
                  <c:v>0</c:v>
                </c:pt>
                <c:pt idx="11">
                  <c:v>0</c:v>
                </c:pt>
                <c:pt idx="12">
                  <c:v>0</c:v>
                </c:pt>
                <c:pt idx="13">
                  <c:v>0</c:v>
                </c:pt>
                <c:pt idx="14">
                  <c:v>0</c:v>
                </c:pt>
                <c:pt idx="15">
                  <c:v>0.10548523206751055</c:v>
                </c:pt>
                <c:pt idx="16">
                  <c:v>0.10548523206751055</c:v>
                </c:pt>
              </c:numCache>
            </c:numRef>
          </c:val>
          <c:extLst>
            <c:ext xmlns:c16="http://schemas.microsoft.com/office/drawing/2014/chart" uri="{C3380CC4-5D6E-409C-BE32-E72D297353CC}">
              <c16:uniqueId val="{00000008-64FD-46E4-9A34-9AF580EF1877}"/>
            </c:ext>
          </c:extLst>
        </c:ser>
        <c:ser>
          <c:idx val="2"/>
          <c:order val="2"/>
          <c:tx>
            <c:v>down AC</c:v>
          </c:tx>
          <c:spPr>
            <a:solidFill>
              <a:srgbClr val="FF0000"/>
            </a:solidFill>
            <a:ln>
              <a:noFill/>
            </a:ln>
            <a:effectLst/>
            <a:extLst>
              <a:ext uri="{91240B29-F687-4F45-9708-019B960494DF}">
                <a14:hiddenLine xmlns:a14="http://schemas.microsoft.com/office/drawing/2010/main">
                  <a:noFill/>
                </a14:hiddenLine>
              </a:ext>
            </a:ex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B-64FD-46E4-9A34-9AF580EF1877}"/>
                </c:ext>
              </c:extLst>
            </c:dLbl>
            <c:dLbl>
              <c:idx val="1"/>
              <c:delete val="1"/>
              <c:extLst>
                <c:ext xmlns:c15="http://schemas.microsoft.com/office/drawing/2012/chart" uri="{CE6537A1-D6FC-4f65-9D91-7224C49458BB}"/>
                <c:ext xmlns:c16="http://schemas.microsoft.com/office/drawing/2014/chart" uri="{C3380CC4-5D6E-409C-BE32-E72D297353CC}">
                  <c16:uniqueId val="{0000001C-64FD-46E4-9A34-9AF580EF1877}"/>
                </c:ext>
              </c:extLst>
            </c:dLbl>
            <c:dLbl>
              <c:idx val="2"/>
              <c:delete val="1"/>
              <c:extLst>
                <c:ext xmlns:c15="http://schemas.microsoft.com/office/drawing/2012/chart" uri="{CE6537A1-D6FC-4f65-9D91-7224C49458BB}"/>
                <c:ext xmlns:c16="http://schemas.microsoft.com/office/drawing/2014/chart" uri="{C3380CC4-5D6E-409C-BE32-E72D297353CC}">
                  <c16:uniqueId val="{0000001D-64FD-46E4-9A34-9AF580EF1877}"/>
                </c:ext>
              </c:extLst>
            </c:dLbl>
            <c:dLbl>
              <c:idx val="3"/>
              <c:tx>
                <c:strRef>
                  <c:f>'C05X'!$AK$15</c:f>
                  <c:strCache>
                    <c:ptCount val="1"/>
                    <c:pt idx="0">
                      <c:v>-116</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{E85E87EB-7E6A-4C71-803D-2EAD876360A6}</c15:txfldGUID>
                      <c15:f>'C05X'!$AK$15</c15:f>
                      <c15:dlblFieldTableCache>
                        <c:ptCount val="1"/>
                        <c:pt idx="0">
                          <c:v>-116</c:v>
                        </c:pt>
                      </c15:dlblFieldTableCache>
                    </c15:dlblFTEntry>
                  </c15:dlblFieldTable>
                  <c15:showDataLabelsRange val="0"/>
                </c:ext>
                <c:ext xmlns:c16="http://schemas.microsoft.com/office/drawing/2014/chart" uri="{C3380CC4-5D6E-409C-BE32-E72D297353CC}">
                  <c16:uniqueId val="{0000001E-64FD-46E4-9A34-9AF580EF1877}"/>
                </c:ext>
              </c:extLst>
            </c:dLbl>
            <c:dLbl>
              <c:idx val="4"/>
              <c:delete val="1"/>
              <c:extLst>
                <c:ext xmlns:c15="http://schemas.microsoft.com/office/drawing/2012/chart" uri="{CE6537A1-D6FC-4f65-9D91-7224C49458BB}"/>
                <c:ext xmlns:c16="http://schemas.microsoft.com/office/drawing/2014/chart" uri="{C3380CC4-5D6E-409C-BE32-E72D297353CC}">
                  <c16:uniqueId val="{0000001F-64FD-46E4-9A34-9AF580EF1877}"/>
                </c:ext>
              </c:extLst>
            </c:dLbl>
            <c:dLbl>
              <c:idx val="5"/>
              <c:tx>
                <c:strRef>
                  <c:f>'C05X'!$AK$17</c:f>
                  <c:strCache>
                    <c:ptCount val="1"/>
                    <c:pt idx="0">
                      <c:v>-306</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{C795E4EC-751B-4307-8987-C4662E6D2496}</c15:txfldGUID>
                      <c15:f>'C05X'!$AK$17</c15:f>
                      <c15:dlblFieldTableCache>
                        <c:ptCount val="1"/>
                        <c:pt idx="0">
                          <c:v>-306</c:v>
                        </c:pt>
                      </c15:dlblFieldTableCache>
                    </c15:dlblFTEntry>
                  </c15:dlblFieldTable>
                  <c15:showDataLabelsRange val="0"/>
                </c:ext>
                <c:ext xmlns:c16="http://schemas.microsoft.com/office/drawing/2014/chart" uri="{C3380CC4-5D6E-409C-BE32-E72D297353CC}">
                  <c16:uniqueId val="{00000020-64FD-46E4-9A34-9AF580EF1877}"/>
                </c:ext>
              </c:extLst>
            </c:dLbl>
            <c:dLbl>
              <c:idx val="6"/>
              <c:delete val="1"/>
              <c:extLst>
                <c:ext xmlns:c15="http://schemas.microsoft.com/office/drawing/2012/chart" uri="{CE6537A1-D6FC-4f65-9D91-7224C49458BB}"/>
                <c:ext xmlns:c16="http://schemas.microsoft.com/office/drawing/2014/chart" uri="{C3380CC4-5D6E-409C-BE32-E72D297353CC}">
                  <c16:uniqueId val="{00000021-64FD-46E4-9A34-9AF580EF1877}"/>
                </c:ext>
              </c:extLst>
            </c:dLbl>
            <c:dLbl>
              <c:idx val="7"/>
              <c:tx>
                <c:strRef>
                  <c:f>'C05X'!$AK$19</c:f>
                  <c:strCache>
                    <c:ptCount val="1"/>
                    <c:pt idx="0">
                      <c:v>-222</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{88465E4C-E5F9-4B9D-859F-E4B9E6A780C6}</c15:txfldGUID>
                      <c15:f>'C05X'!$AK$19</c15:f>
                      <c15:dlblFieldTableCache>
                        <c:ptCount val="1"/>
                        <c:pt idx="0">
                          <c:v>-222</c:v>
                        </c:pt>
                      </c15:dlblFieldTableCache>
                    </c15:dlblFTEntry>
                  </c15:dlblFieldTable>
                  <c15:showDataLabelsRange val="0"/>
                </c:ext>
                <c:ext xmlns:c16="http://schemas.microsoft.com/office/drawing/2014/chart" uri="{C3380CC4-5D6E-409C-BE32-E72D297353CC}">
                  <c16:uniqueId val="{00000022-64FD-46E4-9A34-9AF580EF1877}"/>
                </c:ext>
              </c:extLst>
            </c:dLbl>
            <c:dLbl>
              <c:idx val="8"/>
              <c:tx>
                <c:strRef>
                  <c:f>'C05X'!$AK$20</c:f>
                  <c:strCache>
                    <c:ptCount val="1"/>
                    <c:pt idx="0">
                      <c:v>-56</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{907C4971-8A8E-41F1-A1EC-13302EA57DED}</c15:txfldGUID>
                      <c15:f>'C05X'!$AK$20</c15:f>
                      <c15:dlblFieldTableCache>
                        <c:ptCount val="1"/>
                        <c:pt idx="0">
                          <c:v>-56</c:v>
                        </c:pt>
                      </c15:dlblFieldTableCache>
                    </c15:dlblFTEntry>
                  </c15:dlblFieldTable>
                  <c15:showDataLabelsRange val="0"/>
                </c:ext>
                <c:ext xmlns:c16="http://schemas.microsoft.com/office/drawing/2014/chart" uri="{C3380CC4-5D6E-409C-BE32-E72D297353CC}">
                  <c16:uniqueId val="{00000023-64FD-46E4-9A34-9AF580EF1877}"/>
                </c:ext>
              </c:extLst>
            </c:dLbl>
            <c:dLbl>
              <c:idx val="9"/>
              <c:delete val="1"/>
              <c:extLst>
                <c:ext xmlns:c15="http://schemas.microsoft.com/office/drawing/2012/chart" uri="{CE6537A1-D6FC-4f65-9D91-7224C49458BB}"/>
                <c:ext xmlns:c16="http://schemas.microsoft.com/office/drawing/2014/chart" uri="{C3380CC4-5D6E-409C-BE32-E72D297353CC}">
                  <c16:uniqueId val="{00000024-64FD-46E4-9A34-9AF580EF1877}"/>
                </c:ext>
              </c:extLst>
            </c:dLbl>
            <c:dLbl>
              <c:idx val="10"/>
              <c:delete val="1"/>
              <c:extLst>
                <c:ext xmlns:c15="http://schemas.microsoft.com/office/drawing/2012/chart" uri="{CE6537A1-D6FC-4f65-9D91-7224C49458BB}"/>
                <c:ext xmlns:c16="http://schemas.microsoft.com/office/drawing/2014/chart" uri="{C3380CC4-5D6E-409C-BE32-E72D297353CC}">
                  <c16:uniqueId val="{00000025-64FD-46E4-9A34-9AF580EF1877}"/>
                </c:ext>
              </c:extLst>
            </c:dLbl>
            <c:dLbl>
              <c:idx val="11"/>
              <c:delete val="1"/>
              <c:extLst>
                <c:ext xmlns:c15="http://schemas.microsoft.com/office/drawing/2012/chart" uri="{CE6537A1-D6FC-4f65-9D91-7224C49458BB}"/>
                <c:ext xmlns:c16="http://schemas.microsoft.com/office/drawing/2014/chart" uri="{C3380CC4-5D6E-409C-BE32-E72D297353CC}">
                  <c16:uniqueId val="{00000026-64FD-46E4-9A34-9AF580EF1877}"/>
                </c:ext>
              </c:extLst>
            </c:dLbl>
            <c:dLbl>
              <c:idx val="12"/>
              <c:delete val="1"/>
              <c:extLst>
                <c:ext xmlns:c15="http://schemas.microsoft.com/office/drawing/2012/chart" uri="{CE6537A1-D6FC-4f65-9D91-7224C49458BB}"/>
                <c:ext xmlns:c16="http://schemas.microsoft.com/office/drawing/2014/chart" uri="{C3380CC4-5D6E-409C-BE32-E72D297353CC}">
                  <c16:uniqueId val="{00000027-64FD-46E4-9A34-9AF580EF1877}"/>
                </c:ext>
              </c:extLst>
            </c:dLbl>
            <c:dLbl>
              <c:idx val="13"/>
              <c:delete val="1"/>
              <c:extLst>
                <c:ext xmlns:c15="http://schemas.microsoft.com/office/drawing/2012/chart" uri="{CE6537A1-D6FC-4f65-9D91-7224C49458BB}"/>
                <c:ext xmlns:c16="http://schemas.microsoft.com/office/drawing/2014/chart" uri="{C3380CC4-5D6E-409C-BE32-E72D297353CC}">
                  <c16:uniqueId val="{00000028-64FD-46E4-9A34-9AF580EF1877}"/>
                </c:ext>
              </c:extLst>
            </c:dLbl>
            <c:dLbl>
              <c:idx val="14"/>
              <c:delete val="1"/>
              <c:extLst>
                <c:ext xmlns:c15="http://schemas.microsoft.com/office/drawing/2012/chart" uri="{CE6537A1-D6FC-4f65-9D91-7224C49458BB}"/>
                <c:ext xmlns:c16="http://schemas.microsoft.com/office/drawing/2014/chart" uri="{C3380CC4-5D6E-409C-BE32-E72D297353CC}">
                  <c16:uniqueId val="{00000029-64FD-46E4-9A34-9AF580EF1877}"/>
                </c:ext>
              </c:extLst>
            </c:dLbl>
            <c:dLbl>
              <c:idx val="15"/>
              <c:delete val="1"/>
              <c:extLst>
                <c:ext xmlns:c15="http://schemas.microsoft.com/office/drawing/2012/chart" uri="{CE6537A1-D6FC-4f65-9D91-7224C49458BB}"/>
                <c:ext xmlns:c16="http://schemas.microsoft.com/office/drawing/2014/chart" uri="{C3380CC4-5D6E-409C-BE32-E72D297353CC}">
                  <c16:uniqueId val="{0000002A-64FD-46E4-9A34-9AF580EF1877}"/>
                </c:ext>
              </c:extLst>
            </c:dLbl>
            <c:dLbl>
              <c:idx val="16"/>
              <c:delete val="1"/>
              <c:extLst>
                <c:ext xmlns:c15="http://schemas.microsoft.com/office/drawing/2012/chart" uri="{CE6537A1-D6FC-4f65-9D91-7224C49458BB}"/>
                <c:ext xmlns:c16="http://schemas.microsoft.com/office/drawing/2014/chart" uri="{C3380CC4-5D6E-409C-BE32-E72D297353CC}">
                  <c16:uniqueId val="{0000002B-64FD-46E4-9A34-9AF580EF1877}"/>
                </c:ext>
              </c:extLst>
            </c:dLbl>
            <c:numFmt formatCode="&quot;-&quot;#,##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'C05X'!$A$12:$A$28</c:f>
              <c:strCache>
                <c:ptCount val="17"/>
                <c:pt idx="0">
                  <c:v>2026 PL</c:v>
                </c:pt>
                <c:pt idx="1">
                  <c:v>2025 AC</c:v>
                </c:pt>
                <c:pt idx="2">
                  <c:v>Jan</c:v>
                </c:pt>
                <c:pt idx="3">
                  <c:v>Feb</c:v>
                </c:pt>
                <c:pt idx="4">
                  <c:v>Mar</c:v>
                </c:pt>
                <c:pt idx="5">
                  <c:v>Apr</c:v>
                </c:pt>
                <c:pt idx="6">
                  <c:v>May</c:v>
                </c:pt>
                <c:pt idx="7">
                  <c:v>Jun</c:v>
                </c:pt>
                <c:pt idx="8">
                  <c:v>Jul</c:v>
                </c:pt>
                <c:pt idx="9">
                  <c:v>Aug</c:v>
                </c:pt>
                <c:pt idx="10">
                  <c:v>Sep</c:v>
                </c:pt>
                <c:pt idx="11">
                  <c:v>Oct</c:v>
                </c:pt>
                <c:pt idx="12">
                  <c:v>Nov</c:v>
                </c:pt>
                <c:pt idx="13">
                  <c:v>Dec</c:v>
                </c:pt>
                <c:pt idx="14">
                  <c:v>2026 AC+FC</c:v>
                </c:pt>
                <c:pt idx="15">
                  <c:v>vs PY</c:v>
                </c:pt>
                <c:pt idx="16">
                  <c:v>vs PL</c:v>
                </c:pt>
              </c:strCache>
            </c:strRef>
          </c:cat>
          <c:val>
            <c:numRef>
              <c:f>'C05X'!$AJ$12:$AJ$28</c:f>
              <c:numCache>
                <c:formatCode>0.000000</c:formatCode>
                <c:ptCount val="17"/>
                <c:pt idx="0">
                  <c:v>0</c:v>
                </c:pt>
                <c:pt idx="1">
                  <c:v>0</c:v>
                </c:pt>
                <c:pt idx="2">
                  <c:v>0</c:v>
                </c:pt>
                <c:pt idx="3">
                  <c:v>1.0196905766526019E-2</c:v>
                </c:pt>
                <c:pt idx="4">
                  <c:v>0</c:v>
                </c:pt>
                <c:pt idx="5">
                  <c:v>2.6898734177215191E-2</c:v>
                </c:pt>
                <c:pt idx="6">
                  <c:v>0</c:v>
                </c:pt>
                <c:pt idx="7">
                  <c:v>1.9514767932489453E-2</c:v>
                </c:pt>
                <c:pt idx="8">
                  <c:v>4.9226441631504926E-3</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1A-64FD-46E4-9A34-9AF580EF1877}"/>
            </c:ext>
          </c:extLst>
        </c:ser>
        <c:ser>
          <c:idx val="3"/>
          <c:order val="3"/>
          <c:tx>
            <c:v>up FC</c:v>
          </c:tx>
          <c:spPr>
            <a:pattFill prst="wdUpDiag">
              <a:fgClr>
                <a:srgbClr val="8CB400"/>
              </a:fgClr>
              <a:bgClr>
                <a:srgbClr val="FFFFFF"/>
              </a:bgClr>
            </a:pattFill>
            <a:ln w="9525">
              <a:solidFill>
                <a:srgbClr val="8CB400"/>
              </a:solid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2D-64FD-46E4-9A34-9AF580EF1877}"/>
                </c:ext>
              </c:extLst>
            </c:dLbl>
            <c:dLbl>
              <c:idx val="1"/>
              <c:delete val="1"/>
              <c:extLst>
                <c:ext xmlns:c15="http://schemas.microsoft.com/office/drawing/2012/chart" uri="{CE6537A1-D6FC-4f65-9D91-7224C49458BB}"/>
                <c:ext xmlns:c16="http://schemas.microsoft.com/office/drawing/2014/chart" uri="{C3380CC4-5D6E-409C-BE32-E72D297353CC}">
                  <c16:uniqueId val="{0000002E-64FD-46E4-9A34-9AF580EF1877}"/>
                </c:ext>
              </c:extLst>
            </c:dLbl>
            <c:dLbl>
              <c:idx val="2"/>
              <c:delete val="1"/>
              <c:extLst>
                <c:ext xmlns:c15="http://schemas.microsoft.com/office/drawing/2012/chart" uri="{CE6537A1-D6FC-4f65-9D91-7224C49458BB}"/>
                <c:ext xmlns:c16="http://schemas.microsoft.com/office/drawing/2014/chart" uri="{C3380CC4-5D6E-409C-BE32-E72D297353CC}">
                  <c16:uniqueId val="{0000002F-64FD-46E4-9A34-9AF580EF1877}"/>
                </c:ext>
              </c:extLst>
            </c:dLbl>
            <c:dLbl>
              <c:idx val="3"/>
              <c:delete val="1"/>
              <c:extLst>
                <c:ext xmlns:c15="http://schemas.microsoft.com/office/drawing/2012/chart" uri="{CE6537A1-D6FC-4f65-9D91-7224C49458BB}"/>
                <c:ext xmlns:c16="http://schemas.microsoft.com/office/drawing/2014/chart" uri="{C3380CC4-5D6E-409C-BE32-E72D297353CC}">
                  <c16:uniqueId val="{00000030-64FD-46E4-9A34-9AF580EF1877}"/>
                </c:ext>
              </c:extLst>
            </c:dLbl>
            <c:dLbl>
              <c:idx val="4"/>
              <c:delete val="1"/>
              <c:extLst>
                <c:ext xmlns:c15="http://schemas.microsoft.com/office/drawing/2012/chart" uri="{CE6537A1-D6FC-4f65-9D91-7224C49458BB}"/>
                <c:ext xmlns:c16="http://schemas.microsoft.com/office/drawing/2014/chart" uri="{C3380CC4-5D6E-409C-BE32-E72D297353CC}">
                  <c16:uniqueId val="{00000031-64FD-46E4-9A34-9AF580EF1877}"/>
                </c:ext>
              </c:extLst>
            </c:dLbl>
            <c:dLbl>
              <c:idx val="5"/>
              <c:delete val="1"/>
              <c:extLst>
                <c:ext xmlns:c15="http://schemas.microsoft.com/office/drawing/2012/chart" uri="{CE6537A1-D6FC-4f65-9D91-7224C49458BB}"/>
                <c:ext xmlns:c16="http://schemas.microsoft.com/office/drawing/2014/chart" uri="{C3380CC4-5D6E-409C-BE32-E72D297353CC}">
                  <c16:uniqueId val="{00000032-64FD-46E4-9A34-9AF580EF1877}"/>
                </c:ext>
              </c:extLst>
            </c:dLbl>
            <c:dLbl>
              <c:idx val="6"/>
              <c:delete val="1"/>
              <c:extLst>
                <c:ext xmlns:c15="http://schemas.microsoft.com/office/drawing/2012/chart" uri="{CE6537A1-D6FC-4f65-9D91-7224C49458BB}"/>
                <c:ext xmlns:c16="http://schemas.microsoft.com/office/drawing/2014/chart" uri="{C3380CC4-5D6E-409C-BE32-E72D297353CC}">
                  <c16:uniqueId val="{00000033-64FD-46E4-9A34-9AF580EF1877}"/>
                </c:ext>
              </c:extLst>
            </c:dLbl>
            <c:dLbl>
              <c:idx val="7"/>
              <c:delete val="1"/>
              <c:extLst>
                <c:ext xmlns:c15="http://schemas.microsoft.com/office/drawing/2012/chart" uri="{CE6537A1-D6FC-4f65-9D91-7224C49458BB}"/>
                <c:ext xmlns:c16="http://schemas.microsoft.com/office/drawing/2014/chart" uri="{C3380CC4-5D6E-409C-BE32-E72D297353CC}">
                  <c16:uniqueId val="{00000034-64FD-46E4-9A34-9AF580EF1877}"/>
                </c:ext>
              </c:extLst>
            </c:dLbl>
            <c:dLbl>
              <c:idx val="8"/>
              <c:delete val="1"/>
              <c:extLst>
                <c:ext xmlns:c15="http://schemas.microsoft.com/office/drawing/2012/chart" uri="{CE6537A1-D6FC-4f65-9D91-7224C49458BB}"/>
                <c:ext xmlns:c16="http://schemas.microsoft.com/office/drawing/2014/chart" uri="{C3380CC4-5D6E-409C-BE32-E72D297353CC}">
                  <c16:uniqueId val="{00000035-64FD-46E4-9A34-9AF580EF1877}"/>
                </c:ext>
              </c:extLst>
            </c:dLbl>
            <c:dLbl>
              <c:idx val="9"/>
              <c:delete val="1"/>
              <c:extLst>
                <c:ext xmlns:c15="http://schemas.microsoft.com/office/drawing/2012/chart" uri="{CE6537A1-D6FC-4f65-9D91-7224C49458BB}"/>
                <c:ext xmlns:c16="http://schemas.microsoft.com/office/drawing/2014/chart" uri="{C3380CC4-5D6E-409C-BE32-E72D297353CC}">
                  <c16:uniqueId val="{00000036-64FD-46E4-9A34-9AF580EF1877}"/>
                </c:ext>
              </c:extLst>
            </c:dLbl>
            <c:dLbl>
              <c:idx val="10"/>
              <c:tx>
                <c:strRef>
                  <c:f>'C05X'!$AM$22</c:f>
                  <c:strCache>
                    <c:ptCount val="1"/>
                    <c:pt idx="0">
                      <c:v>+985</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{2F2744CD-D21E-4773-9C2A-D78083A6A378}</c15:txfldGUID>
                      <c15:f>'C05X'!$AM$22</c15:f>
                      <c15:dlblFieldTableCache>
                        <c:ptCount val="1"/>
                        <c:pt idx="0">
                          <c:v>+985</c:v>
                        </c:pt>
                      </c15:dlblFieldTableCache>
                    </c15:dlblFTEntry>
                  </c15:dlblFieldTable>
                  <c15:showDataLabelsRange val="0"/>
                </c:ext>
                <c:ext xmlns:c16="http://schemas.microsoft.com/office/drawing/2014/chart" uri="{C3380CC4-5D6E-409C-BE32-E72D297353CC}">
                  <c16:uniqueId val="{00000037-64FD-46E4-9A34-9AF580EF1877}"/>
                </c:ext>
              </c:extLst>
            </c:dLbl>
            <c:dLbl>
              <c:idx val="11"/>
              <c:tx>
                <c:strRef>
                  <c:f>'C05X'!$AM$23</c:f>
                  <c:strCache>
                    <c:ptCount val="1"/>
                    <c:pt idx="0">
                      <c:v>+264</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{BD202BE4-121F-4815-845A-F702517249A8}</c15:txfldGUID>
                      <c15:f>'C05X'!$AM$23</c15:f>
                      <c15:dlblFieldTableCache>
                        <c:ptCount val="1"/>
                        <c:pt idx="0">
                          <c:v>+264</c:v>
                        </c:pt>
                      </c15:dlblFieldTableCache>
                    </c15:dlblFTEntry>
                  </c15:dlblFieldTable>
                  <c15:showDataLabelsRange val="0"/>
                </c:ext>
                <c:ext xmlns:c16="http://schemas.microsoft.com/office/drawing/2014/chart" uri="{C3380CC4-5D6E-409C-BE32-E72D297353CC}">
                  <c16:uniqueId val="{00000038-64FD-46E4-9A34-9AF580EF1877}"/>
                </c:ext>
              </c:extLst>
            </c:dLbl>
            <c:dLbl>
              <c:idx val="12"/>
              <c:tx>
                <c:strRef>
                  <c:f>'C05X'!$AM$24</c:f>
                  <c:strCache>
                    <c:ptCount val="1"/>
                    <c:pt idx="0">
                      <c:v>+78</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{EC84B840-9CAF-482E-8B3D-B8697E8914D3}</c15:txfldGUID>
                      <c15:f>'C05X'!$AM$24</c15:f>
                      <c15:dlblFieldTableCache>
                        <c:ptCount val="1"/>
                        <c:pt idx="0">
                          <c:v>+78</c:v>
                        </c:pt>
                      </c15:dlblFieldTableCache>
                    </c15:dlblFTEntry>
                  </c15:dlblFieldTable>
                  <c15:showDataLabelsRange val="0"/>
                </c:ext>
                <c:ext xmlns:c16="http://schemas.microsoft.com/office/drawing/2014/chart" uri="{C3380CC4-5D6E-409C-BE32-E72D297353CC}">
                  <c16:uniqueId val="{00000039-64FD-46E4-9A34-9AF580EF1877}"/>
                </c:ext>
              </c:extLst>
            </c:dLbl>
            <c:dLbl>
              <c:idx val="13"/>
              <c:tx>
                <c:strRef>
                  <c:f>'C05X'!$AM$25</c:f>
                  <c:strCache>
                    <c:ptCount val="1"/>
                    <c:pt idx="0">
                      <c:v>+80</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{9060D08A-0F4E-40F6-9B40-2356BD21BD89}</c15:txfldGUID>
                      <c15:f>'C05X'!$AM$25</c15:f>
                      <c15:dlblFieldTableCache>
                        <c:ptCount val="1"/>
                        <c:pt idx="0">
                          <c:v>+80</c:v>
                        </c:pt>
                      </c15:dlblFieldTableCache>
                    </c15:dlblFTEntry>
                  </c15:dlblFieldTable>
                  <c15:showDataLabelsRange val="0"/>
                </c:ext>
                <c:ext xmlns:c16="http://schemas.microsoft.com/office/drawing/2014/chart" uri="{C3380CC4-5D6E-409C-BE32-E72D297353CC}">
                  <c16:uniqueId val="{0000003A-64FD-46E4-9A34-9AF580EF1877}"/>
                </c:ext>
              </c:extLst>
            </c:dLbl>
            <c:dLbl>
              <c:idx val="14"/>
              <c:delete val="1"/>
              <c:extLst>
                <c:ext xmlns:c15="http://schemas.microsoft.com/office/drawing/2012/chart" uri="{CE6537A1-D6FC-4f65-9D91-7224C49458BB}"/>
                <c:ext xmlns:c16="http://schemas.microsoft.com/office/drawing/2014/chart" uri="{C3380CC4-5D6E-409C-BE32-E72D297353CC}">
                  <c16:uniqueId val="{0000003B-64FD-46E4-9A34-9AF580EF1877}"/>
                </c:ext>
              </c:extLst>
            </c:dLbl>
            <c:dLbl>
              <c:idx val="15"/>
              <c:delete val="1"/>
              <c:extLst>
                <c:ext xmlns:c15="http://schemas.microsoft.com/office/drawing/2012/chart" uri="{CE6537A1-D6FC-4f65-9D91-7224C49458BB}"/>
                <c:ext xmlns:c16="http://schemas.microsoft.com/office/drawing/2014/chart" uri="{C3380CC4-5D6E-409C-BE32-E72D297353CC}">
                  <c16:uniqueId val="{0000003C-64FD-46E4-9A34-9AF580EF1877}"/>
                </c:ext>
              </c:extLst>
            </c:dLbl>
            <c:dLbl>
              <c:idx val="16"/>
              <c:delete val="1"/>
              <c:extLst>
                <c:ext xmlns:c15="http://schemas.microsoft.com/office/drawing/2012/chart" uri="{CE6537A1-D6FC-4f65-9D91-7224C49458BB}"/>
                <c:ext xmlns:c16="http://schemas.microsoft.com/office/drawing/2014/chart" uri="{C3380CC4-5D6E-409C-BE32-E72D297353CC}">
                  <c16:uniqueId val="{0000003D-64FD-46E4-9A34-9AF580EF1877}"/>
                </c:ext>
              </c:extLst>
            </c:dLbl>
            <c:numFmt formatCode="\+#,##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'C05X'!$A$12:$A$28</c:f>
              <c:strCache>
                <c:ptCount val="17"/>
                <c:pt idx="0">
                  <c:v>2026 PL</c:v>
                </c:pt>
                <c:pt idx="1">
                  <c:v>2025 AC</c:v>
                </c:pt>
                <c:pt idx="2">
                  <c:v>Jan</c:v>
                </c:pt>
                <c:pt idx="3">
                  <c:v>Feb</c:v>
                </c:pt>
                <c:pt idx="4">
                  <c:v>Mar</c:v>
                </c:pt>
                <c:pt idx="5">
                  <c:v>Apr</c:v>
                </c:pt>
                <c:pt idx="6">
                  <c:v>May</c:v>
                </c:pt>
                <c:pt idx="7">
                  <c:v>Jun</c:v>
                </c:pt>
                <c:pt idx="8">
                  <c:v>Jul</c:v>
                </c:pt>
                <c:pt idx="9">
                  <c:v>Aug</c:v>
                </c:pt>
                <c:pt idx="10">
                  <c:v>Sep</c:v>
                </c:pt>
                <c:pt idx="11">
                  <c:v>Oct</c:v>
                </c:pt>
                <c:pt idx="12">
                  <c:v>Nov</c:v>
                </c:pt>
                <c:pt idx="13">
                  <c:v>Dec</c:v>
                </c:pt>
                <c:pt idx="14">
                  <c:v>2026 AC+FC</c:v>
                </c:pt>
                <c:pt idx="15">
                  <c:v>vs PY</c:v>
                </c:pt>
                <c:pt idx="16">
                  <c:v>vs PL</c:v>
                </c:pt>
              </c:strCache>
            </c:strRef>
          </c:cat>
          <c:val>
            <c:numRef>
              <c:f>'C05X'!$AL$12:$AL$28</c:f>
              <c:numCache>
                <c:formatCode>0.000000</c:formatCode>
                <c:ptCount val="17"/>
                <c:pt idx="0">
                  <c:v>0</c:v>
                </c:pt>
                <c:pt idx="1">
                  <c:v>0</c:v>
                </c:pt>
                <c:pt idx="2">
                  <c:v>0</c:v>
                </c:pt>
                <c:pt idx="3">
                  <c:v>0</c:v>
                </c:pt>
                <c:pt idx="4">
                  <c:v>0</c:v>
                </c:pt>
                <c:pt idx="5">
                  <c:v>0</c:v>
                </c:pt>
                <c:pt idx="6">
                  <c:v>0</c:v>
                </c:pt>
                <c:pt idx="7">
                  <c:v>0</c:v>
                </c:pt>
                <c:pt idx="8">
                  <c:v>0</c:v>
                </c:pt>
                <c:pt idx="9">
                  <c:v>0</c:v>
                </c:pt>
                <c:pt idx="10">
                  <c:v>8.658579465541491E-2</c:v>
                </c:pt>
                <c:pt idx="11">
                  <c:v>2.3206751054852322E-2</c:v>
                </c:pt>
                <c:pt idx="12">
                  <c:v>6.8565400843881861E-3</c:v>
                </c:pt>
                <c:pt idx="13">
                  <c:v>7.0323488045007029E-3</c:v>
                </c:pt>
                <c:pt idx="14">
                  <c:v>0</c:v>
                </c:pt>
                <c:pt idx="15">
                  <c:v>0</c:v>
                </c:pt>
                <c:pt idx="16">
                  <c:v>0</c:v>
                </c:pt>
              </c:numCache>
            </c:numRef>
          </c:val>
          <c:extLst>
            <c:ext xmlns:c16="http://schemas.microsoft.com/office/drawing/2014/chart" uri="{C3380CC4-5D6E-409C-BE32-E72D297353CC}">
              <c16:uniqueId val="{0000002C-64FD-46E4-9A34-9AF580EF1877}"/>
            </c:ext>
          </c:extLst>
        </c:ser>
        <c:ser>
          <c:idx val="4"/>
          <c:order val="4"/>
          <c:tx>
            <c:v>down FC</c:v>
          </c:tx>
          <c:spPr>
            <a:pattFill prst="wdUpDiag">
              <a:fgClr>
                <a:srgbClr val="FF0000"/>
              </a:fgClr>
              <a:bgClr>
                <a:srgbClr val="FFFFFF"/>
              </a:bgClr>
            </a:pattFill>
            <a:ln w="9525">
              <a:solidFill>
                <a:srgbClr val="FF0000"/>
              </a:solid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3F-64FD-46E4-9A34-9AF580EF1877}"/>
                </c:ext>
              </c:extLst>
            </c:dLbl>
            <c:dLbl>
              <c:idx val="1"/>
              <c:delete val="1"/>
              <c:extLst>
                <c:ext xmlns:c15="http://schemas.microsoft.com/office/drawing/2012/chart" uri="{CE6537A1-D6FC-4f65-9D91-7224C49458BB}"/>
                <c:ext xmlns:c16="http://schemas.microsoft.com/office/drawing/2014/chart" uri="{C3380CC4-5D6E-409C-BE32-E72D297353CC}">
                  <c16:uniqueId val="{00000040-64FD-46E4-9A34-9AF580EF1877}"/>
                </c:ext>
              </c:extLst>
            </c:dLbl>
            <c:dLbl>
              <c:idx val="2"/>
              <c:delete val="1"/>
              <c:extLst>
                <c:ext xmlns:c15="http://schemas.microsoft.com/office/drawing/2012/chart" uri="{CE6537A1-D6FC-4f65-9D91-7224C49458BB}"/>
                <c:ext xmlns:c16="http://schemas.microsoft.com/office/drawing/2014/chart" uri="{C3380CC4-5D6E-409C-BE32-E72D297353CC}">
                  <c16:uniqueId val="{00000041-64FD-46E4-9A34-9AF580EF1877}"/>
                </c:ext>
              </c:extLst>
            </c:dLbl>
            <c:dLbl>
              <c:idx val="3"/>
              <c:delete val="1"/>
              <c:extLst>
                <c:ext xmlns:c15="http://schemas.microsoft.com/office/drawing/2012/chart" uri="{CE6537A1-D6FC-4f65-9D91-7224C49458BB}"/>
                <c:ext xmlns:c16="http://schemas.microsoft.com/office/drawing/2014/chart" uri="{C3380CC4-5D6E-409C-BE32-E72D297353CC}">
                  <c16:uniqueId val="{00000042-64FD-46E4-9A34-9AF580EF1877}"/>
                </c:ext>
              </c:extLst>
            </c:dLbl>
            <c:dLbl>
              <c:idx val="4"/>
              <c:delete val="1"/>
              <c:extLst>
                <c:ext xmlns:c15="http://schemas.microsoft.com/office/drawing/2012/chart" uri="{CE6537A1-D6FC-4f65-9D91-7224C49458BB}"/>
                <c:ext xmlns:c16="http://schemas.microsoft.com/office/drawing/2014/chart" uri="{C3380CC4-5D6E-409C-BE32-E72D297353CC}">
                  <c16:uniqueId val="{00000043-64FD-46E4-9A34-9AF580EF1877}"/>
                </c:ext>
              </c:extLst>
            </c:dLbl>
            <c:dLbl>
              <c:idx val="5"/>
              <c:delete val="1"/>
              <c:extLst>
                <c:ext xmlns:c15="http://schemas.microsoft.com/office/drawing/2012/chart" uri="{CE6537A1-D6FC-4f65-9D91-7224C49458BB}"/>
                <c:ext xmlns:c16="http://schemas.microsoft.com/office/drawing/2014/chart" uri="{C3380CC4-5D6E-409C-BE32-E72D297353CC}">
                  <c16:uniqueId val="{00000044-64FD-46E4-9A34-9AF580EF1877}"/>
                </c:ext>
              </c:extLst>
            </c:dLbl>
            <c:dLbl>
              <c:idx val="6"/>
              <c:delete val="1"/>
              <c:extLst>
                <c:ext xmlns:c15="http://schemas.microsoft.com/office/drawing/2012/chart" uri="{CE6537A1-D6FC-4f65-9D91-7224C49458BB}"/>
                <c:ext xmlns:c16="http://schemas.microsoft.com/office/drawing/2014/chart" uri="{C3380CC4-5D6E-409C-BE32-E72D297353CC}">
                  <c16:uniqueId val="{00000045-64FD-46E4-9A34-9AF580EF1877}"/>
                </c:ext>
              </c:extLst>
            </c:dLbl>
            <c:dLbl>
              <c:idx val="7"/>
              <c:delete val="1"/>
              <c:extLst>
                <c:ext xmlns:c15="http://schemas.microsoft.com/office/drawing/2012/chart" uri="{CE6537A1-D6FC-4f65-9D91-7224C49458BB}"/>
                <c:ext xmlns:c16="http://schemas.microsoft.com/office/drawing/2014/chart" uri="{C3380CC4-5D6E-409C-BE32-E72D297353CC}">
                  <c16:uniqueId val="{00000046-64FD-46E4-9A34-9AF580EF1877}"/>
                </c:ext>
              </c:extLst>
            </c:dLbl>
            <c:dLbl>
              <c:idx val="8"/>
              <c:delete val="1"/>
              <c:extLst>
                <c:ext xmlns:c15="http://schemas.microsoft.com/office/drawing/2012/chart" uri="{CE6537A1-D6FC-4f65-9D91-7224C49458BB}"/>
                <c:ext xmlns:c16="http://schemas.microsoft.com/office/drawing/2014/chart" uri="{C3380CC4-5D6E-409C-BE32-E72D297353CC}">
                  <c16:uniqueId val="{00000047-64FD-46E4-9A34-9AF580EF1877}"/>
                </c:ext>
              </c:extLst>
            </c:dLbl>
            <c:dLbl>
              <c:idx val="9"/>
              <c:tx>
                <c:strRef>
                  <c:f>'C05X'!$AO$21</c:f>
                  <c:strCache>
                    <c:ptCount val="1"/>
                    <c:pt idx="0">
                      <c:v>-202</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{6CE51CBB-6FFB-451B-8944-6DC8792696EB}</c15:txfldGUID>
                      <c15:f>'C05X'!$AO$21</c15:f>
                      <c15:dlblFieldTableCache>
                        <c:ptCount val="1"/>
                        <c:pt idx="0">
                          <c:v>-202</c:v>
                        </c:pt>
                      </c15:dlblFieldTableCache>
                    </c15:dlblFTEntry>
                  </c15:dlblFieldTable>
                  <c15:showDataLabelsRange val="0"/>
                </c:ext>
                <c:ext xmlns:c16="http://schemas.microsoft.com/office/drawing/2014/chart" uri="{C3380CC4-5D6E-409C-BE32-E72D297353CC}">
                  <c16:uniqueId val="{00000048-64FD-46E4-9A34-9AF580EF1877}"/>
                </c:ext>
              </c:extLst>
            </c:dLbl>
            <c:dLbl>
              <c:idx val="10"/>
              <c:delete val="1"/>
              <c:extLst>
                <c:ext xmlns:c15="http://schemas.microsoft.com/office/drawing/2012/chart" uri="{CE6537A1-D6FC-4f65-9D91-7224C49458BB}"/>
                <c:ext xmlns:c16="http://schemas.microsoft.com/office/drawing/2014/chart" uri="{C3380CC4-5D6E-409C-BE32-E72D297353CC}">
                  <c16:uniqueId val="{00000049-64FD-46E4-9A34-9AF580EF1877}"/>
                </c:ext>
              </c:extLst>
            </c:dLbl>
            <c:dLbl>
              <c:idx val="11"/>
              <c:delete val="1"/>
              <c:extLst>
                <c:ext xmlns:c15="http://schemas.microsoft.com/office/drawing/2012/chart" uri="{CE6537A1-D6FC-4f65-9D91-7224C49458BB}"/>
                <c:ext xmlns:c16="http://schemas.microsoft.com/office/drawing/2014/chart" uri="{C3380CC4-5D6E-409C-BE32-E72D297353CC}">
                  <c16:uniqueId val="{0000004A-64FD-46E4-9A34-9AF580EF1877}"/>
                </c:ext>
              </c:extLst>
            </c:dLbl>
            <c:dLbl>
              <c:idx val="12"/>
              <c:delete val="1"/>
              <c:extLst>
                <c:ext xmlns:c15="http://schemas.microsoft.com/office/drawing/2012/chart" uri="{CE6537A1-D6FC-4f65-9D91-7224C49458BB}"/>
                <c:ext xmlns:c16="http://schemas.microsoft.com/office/drawing/2014/chart" uri="{C3380CC4-5D6E-409C-BE32-E72D297353CC}">
                  <c16:uniqueId val="{0000004B-64FD-46E4-9A34-9AF580EF1877}"/>
                </c:ext>
              </c:extLst>
            </c:dLbl>
            <c:dLbl>
              <c:idx val="13"/>
              <c:delete val="1"/>
              <c:extLst>
                <c:ext xmlns:c15="http://schemas.microsoft.com/office/drawing/2012/chart" uri="{CE6537A1-D6FC-4f65-9D91-7224C49458BB}"/>
                <c:ext xmlns:c16="http://schemas.microsoft.com/office/drawing/2014/chart" uri="{C3380CC4-5D6E-409C-BE32-E72D297353CC}">
                  <c16:uniqueId val="{0000004C-64FD-46E4-9A34-9AF580EF1877}"/>
                </c:ext>
              </c:extLst>
            </c:dLbl>
            <c:dLbl>
              <c:idx val="14"/>
              <c:delete val="1"/>
              <c:extLst>
                <c:ext xmlns:c15="http://schemas.microsoft.com/office/drawing/2012/chart" uri="{CE6537A1-D6FC-4f65-9D91-7224C49458BB}"/>
                <c:ext xmlns:c16="http://schemas.microsoft.com/office/drawing/2014/chart" uri="{C3380CC4-5D6E-409C-BE32-E72D297353CC}">
                  <c16:uniqueId val="{0000004D-64FD-46E4-9A34-9AF580EF1877}"/>
                </c:ext>
              </c:extLst>
            </c:dLbl>
            <c:dLbl>
              <c:idx val="15"/>
              <c:delete val="1"/>
              <c:extLst>
                <c:ext xmlns:c15="http://schemas.microsoft.com/office/drawing/2012/chart" uri="{CE6537A1-D6FC-4f65-9D91-7224C49458BB}"/>
                <c:ext xmlns:c16="http://schemas.microsoft.com/office/drawing/2014/chart" uri="{C3380CC4-5D6E-409C-BE32-E72D297353CC}">
                  <c16:uniqueId val="{0000004E-64FD-46E4-9A34-9AF580EF1877}"/>
                </c:ext>
              </c:extLst>
            </c:dLbl>
            <c:dLbl>
              <c:idx val="16"/>
              <c:delete val="1"/>
              <c:extLst>
                <c:ext xmlns:c15="http://schemas.microsoft.com/office/drawing/2012/chart" uri="{CE6537A1-D6FC-4f65-9D91-7224C49458BB}"/>
                <c:ext xmlns:c16="http://schemas.microsoft.com/office/drawing/2014/chart" uri="{C3380CC4-5D6E-409C-BE32-E72D297353CC}">
                  <c16:uniqueId val="{0000004F-64FD-46E4-9A34-9AF580EF1877}"/>
                </c:ext>
              </c:extLst>
            </c:dLbl>
            <c:numFmt formatCode="&quot;-&quot;#,##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'C05X'!$A$12:$A$28</c:f>
              <c:strCache>
                <c:ptCount val="17"/>
                <c:pt idx="0">
                  <c:v>2026 PL</c:v>
                </c:pt>
                <c:pt idx="1">
                  <c:v>2025 AC</c:v>
                </c:pt>
                <c:pt idx="2">
                  <c:v>Jan</c:v>
                </c:pt>
                <c:pt idx="3">
                  <c:v>Feb</c:v>
                </c:pt>
                <c:pt idx="4">
                  <c:v>Mar</c:v>
                </c:pt>
                <c:pt idx="5">
                  <c:v>Apr</c:v>
                </c:pt>
                <c:pt idx="6">
                  <c:v>May</c:v>
                </c:pt>
                <c:pt idx="7">
                  <c:v>Jun</c:v>
                </c:pt>
                <c:pt idx="8">
                  <c:v>Jul</c:v>
                </c:pt>
                <c:pt idx="9">
                  <c:v>Aug</c:v>
                </c:pt>
                <c:pt idx="10">
                  <c:v>Sep</c:v>
                </c:pt>
                <c:pt idx="11">
                  <c:v>Oct</c:v>
                </c:pt>
                <c:pt idx="12">
                  <c:v>Nov</c:v>
                </c:pt>
                <c:pt idx="13">
                  <c:v>Dec</c:v>
                </c:pt>
                <c:pt idx="14">
                  <c:v>2026 AC+FC</c:v>
                </c:pt>
                <c:pt idx="15">
                  <c:v>vs PY</c:v>
                </c:pt>
                <c:pt idx="16">
                  <c:v>vs PL</c:v>
                </c:pt>
              </c:strCache>
            </c:strRef>
          </c:cat>
          <c:val>
            <c:numRef>
              <c:f>'C05X'!$AN$12:$AN$28</c:f>
              <c:numCache>
                <c:formatCode>0.000000</c:formatCode>
                <c:ptCount val="17"/>
                <c:pt idx="0">
                  <c:v>0</c:v>
                </c:pt>
                <c:pt idx="1">
                  <c:v>0</c:v>
                </c:pt>
                <c:pt idx="2">
                  <c:v>0</c:v>
                </c:pt>
                <c:pt idx="3">
                  <c:v>0</c:v>
                </c:pt>
                <c:pt idx="4">
                  <c:v>0</c:v>
                </c:pt>
                <c:pt idx="5">
                  <c:v>0</c:v>
                </c:pt>
                <c:pt idx="6">
                  <c:v>0</c:v>
                </c:pt>
                <c:pt idx="7">
                  <c:v>0</c:v>
                </c:pt>
                <c:pt idx="8">
                  <c:v>0</c:v>
                </c:pt>
                <c:pt idx="9">
                  <c:v>1.7756680731364275E-2</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3E-64FD-46E4-9A34-9AF580EF1877}"/>
            </c:ext>
          </c:extLst>
        </c:ser>
        <c:dLbls>
          <c:showLegendKey val="0"/>
          <c:showVal val="0"/>
          <c:showCatName val="0"/>
          <c:showSerName val="0"/>
          <c:showPercent val="0"/>
          <c:showBubbleSize val="0"/>
        </c:dLbls>
        <c:gapWidth val="150"/>
        <c:overlap val="100"/>
        <c:axId val="1204868560"/>
        <c:axId val="1096020592"/>
      </c:barChart>
      <c:catAx>
        <c:axId val="1204868560"/>
        <c:scaling>
          <c:orientation val="minMax"/>
        </c:scaling>
        <c:delete val="0"/>
        <c:axPos val="b"/>
        <c:numFmt formatCode="General" sourceLinked="1"/>
        <c:majorTickMark val="none"/>
        <c:minorTickMark val="none"/>
        <c:tickLblPos val="none"/>
        <c:spPr>
          <a:ln w="47625">
            <a:solidFill>
              <a:srgbClr val="808080"/>
            </a:solidFill>
          </a:ln>
        </c:spPr>
        <c:crossAx val="1096020592"/>
        <c:crosses val="autoZero"/>
        <c:auto val="1"/>
        <c:lblAlgn val="ctr"/>
        <c:lblOffset val="100"/>
        <c:noMultiLvlLbl val="0"/>
      </c:catAx>
      <c:valAx>
        <c:axId val="1096020592"/>
        <c:scaling>
          <c:orientation val="minMax"/>
          <c:max val="1.1009862953910614"/>
          <c:min val="0.79426510125698324"/>
        </c:scaling>
        <c:delete val="0"/>
        <c:axPos val="l"/>
        <c:numFmt formatCode="0.00000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04868560"/>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0645161290322578E-2"/>
          <c:y val="3.6363636363636362E-2"/>
          <c:w val="0.90322580645161288"/>
          <c:h val="0.90909090909090917"/>
        </c:manualLayout>
      </c:layout>
      <c:barChart>
        <c:barDir val="col"/>
        <c:grouping val="clustered"/>
        <c:varyColors val="0"/>
        <c:ser>
          <c:idx val="0"/>
          <c:order val="0"/>
          <c:tx>
            <c:v>PY bar</c:v>
          </c:tx>
          <c:spPr>
            <a:solidFill>
              <a:srgbClr val="A6A6A6"/>
            </a:solidFill>
            <a:ln>
              <a:noFill/>
            </a:ln>
            <a:effectLst/>
            <a:extLst>
              <a:ext uri="{91240B29-F687-4F45-9708-019B960494DF}">
                <a14:hiddenLine xmlns:a14="http://schemas.microsoft.com/office/drawing/2010/main">
                  <a:noFill/>
                </a14:hiddenLine>
              </a:ext>
            </a:ex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8-DEF3-4D41-80A6-C6681710EBBC}"/>
                </c:ext>
              </c:extLst>
            </c:dLbl>
            <c:dLbl>
              <c:idx val="1"/>
              <c:tx>
                <c:strRef>
                  <c:f>'C05X'!$Z$13</c:f>
                  <c:strCache>
                    <c:ptCount val="1"/>
                    <c:pt idx="0">
                      <c:v>10,256</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{30CACCD5-B7F4-4E76-9B72-AD9DE3C78F89}</c15:txfldGUID>
                      <c15:f>'C05X'!$Z$13</c15:f>
                      <c15:dlblFieldTableCache>
                        <c:ptCount val="1"/>
                        <c:pt idx="0">
                          <c:v>10,256</c:v>
                        </c:pt>
                      </c15:dlblFieldTableCache>
                    </c15:dlblFTEntry>
                  </c15:dlblFieldTable>
                  <c15:showDataLabelsRange val="0"/>
                </c:ext>
                <c:ext xmlns:c16="http://schemas.microsoft.com/office/drawing/2014/chart" uri="{C3380CC4-5D6E-409C-BE32-E72D297353CC}">
                  <c16:uniqueId val="{00000009-DEF3-4D41-80A6-C6681710EBBC}"/>
                </c:ext>
              </c:extLst>
            </c:dLbl>
            <c:dLbl>
              <c:idx val="2"/>
              <c:delete val="1"/>
              <c:extLst>
                <c:ext xmlns:c15="http://schemas.microsoft.com/office/drawing/2012/chart" uri="{CE6537A1-D6FC-4f65-9D91-7224C49458BB}"/>
                <c:ext xmlns:c16="http://schemas.microsoft.com/office/drawing/2014/chart" uri="{C3380CC4-5D6E-409C-BE32-E72D297353CC}">
                  <c16:uniqueId val="{0000000A-DEF3-4D41-80A6-C6681710EBBC}"/>
                </c:ext>
              </c:extLst>
            </c:dLbl>
            <c:dLbl>
              <c:idx val="3"/>
              <c:delete val="1"/>
              <c:extLst>
                <c:ext xmlns:c15="http://schemas.microsoft.com/office/drawing/2012/chart" uri="{CE6537A1-D6FC-4f65-9D91-7224C49458BB}"/>
                <c:ext xmlns:c16="http://schemas.microsoft.com/office/drawing/2014/chart" uri="{C3380CC4-5D6E-409C-BE32-E72D297353CC}">
                  <c16:uniqueId val="{0000000B-DEF3-4D41-80A6-C6681710EBBC}"/>
                </c:ext>
              </c:extLst>
            </c:dLbl>
            <c:dLbl>
              <c:idx val="4"/>
              <c:delete val="1"/>
              <c:extLst>
                <c:ext xmlns:c15="http://schemas.microsoft.com/office/drawing/2012/chart" uri="{CE6537A1-D6FC-4f65-9D91-7224C49458BB}"/>
                <c:ext xmlns:c16="http://schemas.microsoft.com/office/drawing/2014/chart" uri="{C3380CC4-5D6E-409C-BE32-E72D297353CC}">
                  <c16:uniqueId val="{0000000C-DEF3-4D41-80A6-C6681710EBBC}"/>
                </c:ext>
              </c:extLst>
            </c:dLbl>
            <c:dLbl>
              <c:idx val="5"/>
              <c:delete val="1"/>
              <c:extLst>
                <c:ext xmlns:c15="http://schemas.microsoft.com/office/drawing/2012/chart" uri="{CE6537A1-D6FC-4f65-9D91-7224C49458BB}"/>
                <c:ext xmlns:c16="http://schemas.microsoft.com/office/drawing/2014/chart" uri="{C3380CC4-5D6E-409C-BE32-E72D297353CC}">
                  <c16:uniqueId val="{0000000D-DEF3-4D41-80A6-C6681710EBBC}"/>
                </c:ext>
              </c:extLst>
            </c:dLbl>
            <c:dLbl>
              <c:idx val="6"/>
              <c:delete val="1"/>
              <c:extLst>
                <c:ext xmlns:c15="http://schemas.microsoft.com/office/drawing/2012/chart" uri="{CE6537A1-D6FC-4f65-9D91-7224C49458BB}"/>
                <c:ext xmlns:c16="http://schemas.microsoft.com/office/drawing/2014/chart" uri="{C3380CC4-5D6E-409C-BE32-E72D297353CC}">
                  <c16:uniqueId val="{0000000E-DEF3-4D41-80A6-C6681710EBBC}"/>
                </c:ext>
              </c:extLst>
            </c:dLbl>
            <c:dLbl>
              <c:idx val="7"/>
              <c:delete val="1"/>
              <c:extLst>
                <c:ext xmlns:c15="http://schemas.microsoft.com/office/drawing/2012/chart" uri="{CE6537A1-D6FC-4f65-9D91-7224C49458BB}"/>
                <c:ext xmlns:c16="http://schemas.microsoft.com/office/drawing/2014/chart" uri="{C3380CC4-5D6E-409C-BE32-E72D297353CC}">
                  <c16:uniqueId val="{0000000F-DEF3-4D41-80A6-C6681710EBBC}"/>
                </c:ext>
              </c:extLst>
            </c:dLbl>
            <c:dLbl>
              <c:idx val="8"/>
              <c:delete val="1"/>
              <c:extLst>
                <c:ext xmlns:c15="http://schemas.microsoft.com/office/drawing/2012/chart" uri="{CE6537A1-D6FC-4f65-9D91-7224C49458BB}"/>
                <c:ext xmlns:c16="http://schemas.microsoft.com/office/drawing/2014/chart" uri="{C3380CC4-5D6E-409C-BE32-E72D297353CC}">
                  <c16:uniqueId val="{00000010-DEF3-4D41-80A6-C6681710EBBC}"/>
                </c:ext>
              </c:extLst>
            </c:dLbl>
            <c:dLbl>
              <c:idx val="9"/>
              <c:delete val="1"/>
              <c:extLst>
                <c:ext xmlns:c15="http://schemas.microsoft.com/office/drawing/2012/chart" uri="{CE6537A1-D6FC-4f65-9D91-7224C49458BB}"/>
                <c:ext xmlns:c16="http://schemas.microsoft.com/office/drawing/2014/chart" uri="{C3380CC4-5D6E-409C-BE32-E72D297353CC}">
                  <c16:uniqueId val="{00000011-DEF3-4D41-80A6-C6681710EBBC}"/>
                </c:ext>
              </c:extLst>
            </c:dLbl>
            <c:dLbl>
              <c:idx val="10"/>
              <c:delete val="1"/>
              <c:extLst>
                <c:ext xmlns:c15="http://schemas.microsoft.com/office/drawing/2012/chart" uri="{CE6537A1-D6FC-4f65-9D91-7224C49458BB}"/>
                <c:ext xmlns:c16="http://schemas.microsoft.com/office/drawing/2014/chart" uri="{C3380CC4-5D6E-409C-BE32-E72D297353CC}">
                  <c16:uniqueId val="{00000012-DEF3-4D41-80A6-C6681710EBBC}"/>
                </c:ext>
              </c:extLst>
            </c:dLbl>
            <c:dLbl>
              <c:idx val="11"/>
              <c:delete val="1"/>
              <c:extLst>
                <c:ext xmlns:c15="http://schemas.microsoft.com/office/drawing/2012/chart" uri="{CE6537A1-D6FC-4f65-9D91-7224C49458BB}"/>
                <c:ext xmlns:c16="http://schemas.microsoft.com/office/drawing/2014/chart" uri="{C3380CC4-5D6E-409C-BE32-E72D297353CC}">
                  <c16:uniqueId val="{00000013-DEF3-4D41-80A6-C6681710EBBC}"/>
                </c:ext>
              </c:extLst>
            </c:dLbl>
            <c:dLbl>
              <c:idx val="12"/>
              <c:delete val="1"/>
              <c:extLst>
                <c:ext xmlns:c15="http://schemas.microsoft.com/office/drawing/2012/chart" uri="{CE6537A1-D6FC-4f65-9D91-7224C49458BB}"/>
                <c:ext xmlns:c16="http://schemas.microsoft.com/office/drawing/2014/chart" uri="{C3380CC4-5D6E-409C-BE32-E72D297353CC}">
                  <c16:uniqueId val="{00000014-DEF3-4D41-80A6-C6681710EBBC}"/>
                </c:ext>
              </c:extLst>
            </c:dLbl>
            <c:dLbl>
              <c:idx val="13"/>
              <c:delete val="1"/>
              <c:extLst>
                <c:ext xmlns:c15="http://schemas.microsoft.com/office/drawing/2012/chart" uri="{CE6537A1-D6FC-4f65-9D91-7224C49458BB}"/>
                <c:ext xmlns:c16="http://schemas.microsoft.com/office/drawing/2014/chart" uri="{C3380CC4-5D6E-409C-BE32-E72D297353CC}">
                  <c16:uniqueId val="{00000015-DEF3-4D41-80A6-C6681710EBBC}"/>
                </c:ext>
              </c:extLst>
            </c:dLbl>
            <c:dLbl>
              <c:idx val="14"/>
              <c:delete val="1"/>
              <c:extLst>
                <c:ext xmlns:c15="http://schemas.microsoft.com/office/drawing/2012/chart" uri="{CE6537A1-D6FC-4f65-9D91-7224C49458BB}"/>
                <c:ext xmlns:c16="http://schemas.microsoft.com/office/drawing/2014/chart" uri="{C3380CC4-5D6E-409C-BE32-E72D297353CC}">
                  <c16:uniqueId val="{00000016-DEF3-4D41-80A6-C6681710EBBC}"/>
                </c:ext>
              </c:extLst>
            </c:dLbl>
            <c:dLbl>
              <c:idx val="15"/>
              <c:delete val="1"/>
              <c:extLst>
                <c:ext xmlns:c15="http://schemas.microsoft.com/office/drawing/2012/chart" uri="{CE6537A1-D6FC-4f65-9D91-7224C49458BB}"/>
                <c:ext xmlns:c16="http://schemas.microsoft.com/office/drawing/2014/chart" uri="{C3380CC4-5D6E-409C-BE32-E72D297353CC}">
                  <c16:uniqueId val="{00000017-DEF3-4D41-80A6-C6681710EBBC}"/>
                </c:ext>
              </c:extLst>
            </c:dLbl>
            <c:dLbl>
              <c:idx val="16"/>
              <c:delete val="1"/>
              <c:extLst>
                <c:ext xmlns:c15="http://schemas.microsoft.com/office/drawing/2012/chart" uri="{CE6537A1-D6FC-4f65-9D91-7224C49458BB}"/>
                <c:ext xmlns:c16="http://schemas.microsoft.com/office/drawing/2014/chart" uri="{C3380CC4-5D6E-409C-BE32-E72D297353CC}">
                  <c16:uniqueId val="{00000018-DEF3-4D41-80A6-C6681710EBBC}"/>
                </c:ext>
              </c:extLst>
            </c:dLbl>
            <c:numFmt formatCode="#,##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'C05X'!$A$12:$A$28</c:f>
              <c:strCache>
                <c:ptCount val="17"/>
                <c:pt idx="0">
                  <c:v>2026 PL</c:v>
                </c:pt>
                <c:pt idx="1">
                  <c:v>2025 AC</c:v>
                </c:pt>
                <c:pt idx="2">
                  <c:v>Jan</c:v>
                </c:pt>
                <c:pt idx="3">
                  <c:v>Feb</c:v>
                </c:pt>
                <c:pt idx="4">
                  <c:v>Mar</c:v>
                </c:pt>
                <c:pt idx="5">
                  <c:v>Apr</c:v>
                </c:pt>
                <c:pt idx="6">
                  <c:v>May</c:v>
                </c:pt>
                <c:pt idx="7">
                  <c:v>Jun</c:v>
                </c:pt>
                <c:pt idx="8">
                  <c:v>Jul</c:v>
                </c:pt>
                <c:pt idx="9">
                  <c:v>Aug</c:v>
                </c:pt>
                <c:pt idx="10">
                  <c:v>Sep</c:v>
                </c:pt>
                <c:pt idx="11">
                  <c:v>Oct</c:v>
                </c:pt>
                <c:pt idx="12">
                  <c:v>Nov</c:v>
                </c:pt>
                <c:pt idx="13">
                  <c:v>Dec</c:v>
                </c:pt>
                <c:pt idx="14">
                  <c:v>2026 AC+FC</c:v>
                </c:pt>
                <c:pt idx="15">
                  <c:v>vs PY</c:v>
                </c:pt>
                <c:pt idx="16">
                  <c:v>vs PL</c:v>
                </c:pt>
              </c:strCache>
            </c:strRef>
          </c:cat>
          <c:val>
            <c:numRef>
              <c:f>'C05X'!$Y$12:$Y$28</c:f>
              <c:numCache>
                <c:formatCode>0.000000</c:formatCode>
                <c:ptCount val="17"/>
                <c:pt idx="0">
                  <c:v>#N/A</c:v>
                </c:pt>
                <c:pt idx="1">
                  <c:v>0.90154711673699017</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numCache>
            </c:numRef>
          </c:val>
          <c:extLst>
            <c:ext xmlns:c16="http://schemas.microsoft.com/office/drawing/2014/chart" uri="{C3380CC4-5D6E-409C-BE32-E72D297353CC}">
              <c16:uniqueId val="{00000007-DEF3-4D41-80A6-C6681710EBBC}"/>
            </c:ext>
          </c:extLst>
        </c:ser>
        <c:ser>
          <c:idx val="1"/>
          <c:order val="1"/>
          <c:tx>
            <c:v>PY bar</c:v>
          </c:tx>
          <c:spPr>
            <a:solidFill>
              <a:srgbClr val="FFFFFF"/>
            </a:solidFill>
            <a:ln w="9525">
              <a:solidFill>
                <a:srgbClr val="404040"/>
              </a:solidFill>
            </a:ln>
          </c:spPr>
          <c:invertIfNegative val="0"/>
          <c:dLbls>
            <c:dLbl>
              <c:idx val="0"/>
              <c:tx>
                <c:strRef>
                  <c:f>'C05X'!$AB$12</c:f>
                  <c:strCache>
                    <c:ptCount val="1"/>
                    <c:pt idx="0">
                      <c:v>10,256</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{033EEDFD-A8F1-4E3D-89C2-7DD84FAA97B0}</c15:txfldGUID>
                      <c15:f>'C05X'!$AB$12</c15:f>
                      <c15:dlblFieldTableCache>
                        <c:ptCount val="1"/>
                        <c:pt idx="0">
                          <c:v>10,256</c:v>
                        </c:pt>
                      </c15:dlblFieldTableCache>
                    </c15:dlblFTEntry>
                  </c15:dlblFieldTable>
                  <c15:showDataLabelsRange val="0"/>
                </c:ext>
                <c:ext xmlns:c16="http://schemas.microsoft.com/office/drawing/2014/chart" uri="{C3380CC4-5D6E-409C-BE32-E72D297353CC}">
                  <c16:uniqueId val="{0000001A-DEF3-4D41-80A6-C6681710EBBC}"/>
                </c:ext>
              </c:extLst>
            </c:dLbl>
            <c:dLbl>
              <c:idx val="1"/>
              <c:delete val="1"/>
              <c:extLst>
                <c:ext xmlns:c15="http://schemas.microsoft.com/office/drawing/2012/chart" uri="{CE6537A1-D6FC-4f65-9D91-7224C49458BB}"/>
                <c:ext xmlns:c16="http://schemas.microsoft.com/office/drawing/2014/chart" uri="{C3380CC4-5D6E-409C-BE32-E72D297353CC}">
                  <c16:uniqueId val="{0000001B-DEF3-4D41-80A6-C6681710EBBC}"/>
                </c:ext>
              </c:extLst>
            </c:dLbl>
            <c:dLbl>
              <c:idx val="2"/>
              <c:tx>
                <c:strRef>
                  <c:f>'C05X'!$AB$14</c:f>
                  <c:strCache>
                    <c:ptCount val="1"/>
                    <c:pt idx="0">
                      <c:v>1,047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{9DAC2A13-4A82-4A08-AC2A-183E9A5AB706}</c15:txfldGUID>
                      <c15:f>'C05X'!$AB$14</c15:f>
                      <c15:dlblFieldTableCache>
                        <c:ptCount val="1"/>
                        <c:pt idx="0">
                          <c:v>1,047</c:v>
                        </c:pt>
                      </c15:dlblFieldTableCache>
                    </c15:dlblFTEntry>
                  </c15:dlblFieldTable>
                  <c15:showDataLabelsRange val="0"/>
                </c:ext>
                <c:ext xmlns:c16="http://schemas.microsoft.com/office/drawing/2014/chart" uri="{C3380CC4-5D6E-409C-BE32-E72D297353CC}">
                  <c16:uniqueId val="{0000001C-DEF3-4D41-80A6-C6681710EBBC}"/>
                </c:ext>
              </c:extLst>
            </c:dLbl>
            <c:dLbl>
              <c:idx val="3"/>
              <c:tx>
                <c:strRef>
                  <c:f>'C05X'!$AB$15</c:f>
                  <c:strCache>
                    <c:ptCount val="1"/>
                    <c:pt idx="0">
                      <c:v>1,050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{6F346F6A-C854-4062-816B-51909EFF5D8F}</c15:txfldGUID>
                      <c15:f>'C05X'!$AB$15</c15:f>
                      <c15:dlblFieldTableCache>
                        <c:ptCount val="1"/>
                        <c:pt idx="0">
                          <c:v>1,050</c:v>
                        </c:pt>
                      </c15:dlblFieldTableCache>
                    </c15:dlblFTEntry>
                  </c15:dlblFieldTable>
                  <c15:showDataLabelsRange val="0"/>
                </c:ext>
                <c:ext xmlns:c16="http://schemas.microsoft.com/office/drawing/2014/chart" uri="{C3380CC4-5D6E-409C-BE32-E72D297353CC}">
                  <c16:uniqueId val="{0000001D-DEF3-4D41-80A6-C6681710EBBC}"/>
                </c:ext>
              </c:extLst>
            </c:dLbl>
            <c:dLbl>
              <c:idx val="4"/>
              <c:tx>
                <c:strRef>
                  <c:f>'C05X'!$AB$16</c:f>
                  <c:strCache>
                    <c:ptCount val="1"/>
                    <c:pt idx="0">
                      <c:v>618</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{FEDF1215-6750-40A0-9FC4-9310195827E8}</c15:txfldGUID>
                      <c15:f>'C05X'!$AB$16</c15:f>
                      <c15:dlblFieldTableCache>
                        <c:ptCount val="1"/>
                        <c:pt idx="0">
                          <c:v>618</c:v>
                        </c:pt>
                      </c15:dlblFieldTableCache>
                    </c15:dlblFTEntry>
                  </c15:dlblFieldTable>
                  <c15:showDataLabelsRange val="0"/>
                </c:ext>
                <c:ext xmlns:c16="http://schemas.microsoft.com/office/drawing/2014/chart" uri="{C3380CC4-5D6E-409C-BE32-E72D297353CC}">
                  <c16:uniqueId val="{0000001E-DEF3-4D41-80A6-C6681710EBBC}"/>
                </c:ext>
              </c:extLst>
            </c:dLbl>
            <c:dLbl>
              <c:idx val="5"/>
              <c:tx>
                <c:strRef>
                  <c:f>'C05X'!$AB$17</c:f>
                  <c:strCache>
                    <c:ptCount val="1"/>
                    <c:pt idx="0">
                      <c:v>1,003</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{9770D725-44A2-4886-B5AC-4CD8C0D0AD16}</c15:txfldGUID>
                      <c15:f>'C05X'!$AB$17</c15:f>
                      <c15:dlblFieldTableCache>
                        <c:ptCount val="1"/>
                        <c:pt idx="0">
                          <c:v>1,003</c:v>
                        </c:pt>
                      </c15:dlblFieldTableCache>
                    </c15:dlblFTEntry>
                  </c15:dlblFieldTable>
                  <c15:showDataLabelsRange val="0"/>
                </c:ext>
                <c:ext xmlns:c16="http://schemas.microsoft.com/office/drawing/2014/chart" uri="{C3380CC4-5D6E-409C-BE32-E72D297353CC}">
                  <c16:uniqueId val="{0000001F-DEF3-4D41-80A6-C6681710EBBC}"/>
                </c:ext>
              </c:extLst>
            </c:dLbl>
            <c:dLbl>
              <c:idx val="6"/>
              <c:tx>
                <c:strRef>
                  <c:f>'C05X'!$AB$18</c:f>
                  <c:strCache>
                    <c:ptCount val="1"/>
                    <c:pt idx="0">
                      <c:v>880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{FF003251-3198-47D5-B34B-8602AD93892D}</c15:txfldGUID>
                      <c15:f>'C05X'!$AB$18</c15:f>
                      <c15:dlblFieldTableCache>
                        <c:ptCount val="1"/>
                        <c:pt idx="0">
                          <c:v>880</c:v>
                        </c:pt>
                      </c15:dlblFieldTableCache>
                    </c15:dlblFTEntry>
                  </c15:dlblFieldTable>
                  <c15:showDataLabelsRange val="0"/>
                </c:ext>
                <c:ext xmlns:c16="http://schemas.microsoft.com/office/drawing/2014/chart" uri="{C3380CC4-5D6E-409C-BE32-E72D297353CC}">
                  <c16:uniqueId val="{00000020-DEF3-4D41-80A6-C6681710EBBC}"/>
                </c:ext>
              </c:extLst>
            </c:dLbl>
            <c:dLbl>
              <c:idx val="7"/>
              <c:tx>
                <c:strRef>
                  <c:f>'C05X'!$AB$19</c:f>
                  <c:strCache>
                    <c:ptCount val="1"/>
                    <c:pt idx="0">
                      <c:v>932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{60BA8B04-0EEB-425C-B5EF-211A27798C10}</c15:txfldGUID>
                      <c15:f>'C05X'!$AB$19</c15:f>
                      <c15:dlblFieldTableCache>
                        <c:ptCount val="1"/>
                        <c:pt idx="0">
                          <c:v>932</c:v>
                        </c:pt>
                      </c15:dlblFieldTableCache>
                    </c15:dlblFTEntry>
                  </c15:dlblFieldTable>
                  <c15:showDataLabelsRange val="0"/>
                </c:ext>
                <c:ext xmlns:c16="http://schemas.microsoft.com/office/drawing/2014/chart" uri="{C3380CC4-5D6E-409C-BE32-E72D297353CC}">
                  <c16:uniqueId val="{00000021-DEF3-4D41-80A6-C6681710EBBC}"/>
                </c:ext>
              </c:extLst>
            </c:dLbl>
            <c:dLbl>
              <c:idx val="8"/>
              <c:tx>
                <c:strRef>
                  <c:f>'C05X'!$AB$20</c:f>
                  <c:strCache>
                    <c:ptCount val="1"/>
                    <c:pt idx="0">
                      <c:v>1,027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{88BC93AF-8C53-4E1C-9DE7-14233B7B15CA}</c15:txfldGUID>
                      <c15:f>'C05X'!$AB$20</c15:f>
                      <c15:dlblFieldTableCache>
                        <c:ptCount val="1"/>
                        <c:pt idx="0">
                          <c:v>1,027</c:v>
                        </c:pt>
                      </c15:dlblFieldTableCache>
                    </c15:dlblFTEntry>
                  </c15:dlblFieldTable>
                  <c15:showDataLabelsRange val="0"/>
                </c:ext>
                <c:ext xmlns:c16="http://schemas.microsoft.com/office/drawing/2014/chart" uri="{C3380CC4-5D6E-409C-BE32-E72D297353CC}">
                  <c16:uniqueId val="{00000022-DEF3-4D41-80A6-C6681710EBBC}"/>
                </c:ext>
              </c:extLst>
            </c:dLbl>
            <c:dLbl>
              <c:idx val="9"/>
              <c:tx>
                <c:strRef>
                  <c:f>'C05X'!$AB$21</c:f>
                  <c:strCache>
                    <c:ptCount val="1"/>
                    <c:pt idx="0">
                      <c:v>1,189</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{7D2C5C8F-CF35-4E43-B6ED-53000F5F7D04}</c15:txfldGUID>
                      <c15:f>'C05X'!$AB$21</c15:f>
                      <c15:dlblFieldTableCache>
                        <c:ptCount val="1"/>
                        <c:pt idx="0">
                          <c:v>1,189</c:v>
                        </c:pt>
                      </c15:dlblFieldTableCache>
                    </c15:dlblFTEntry>
                  </c15:dlblFieldTable>
                  <c15:showDataLabelsRange val="0"/>
                </c:ext>
                <c:ext xmlns:c16="http://schemas.microsoft.com/office/drawing/2014/chart" uri="{C3380CC4-5D6E-409C-BE32-E72D297353CC}">
                  <c16:uniqueId val="{00000023-DEF3-4D41-80A6-C6681710EBBC}"/>
                </c:ext>
              </c:extLst>
            </c:dLbl>
            <c:dLbl>
              <c:idx val="10"/>
              <c:tx>
                <c:strRef>
                  <c:f>'C05X'!$AB$22</c:f>
                  <c:strCache>
                    <c:ptCount val="1"/>
                    <c:pt idx="0">
                      <c:v>-27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{97ECA585-6E33-4AAE-988F-7D7E3BD45A5F}</c15:txfldGUID>
                      <c15:f>'C05X'!$AB$22</c15:f>
                      <c15:dlblFieldTableCache>
                        <c:ptCount val="1"/>
                        <c:pt idx="0">
                          <c:v>-27</c:v>
                        </c:pt>
                      </c15:dlblFieldTableCache>
                    </c15:dlblFTEntry>
                  </c15:dlblFieldTable>
                  <c15:showDataLabelsRange val="0"/>
                </c:ext>
                <c:ext xmlns:c16="http://schemas.microsoft.com/office/drawing/2014/chart" uri="{C3380CC4-5D6E-409C-BE32-E72D297353CC}">
                  <c16:uniqueId val="{00000024-DEF3-4D41-80A6-C6681710EBBC}"/>
                </c:ext>
              </c:extLst>
            </c:dLbl>
            <c:dLbl>
              <c:idx val="11"/>
              <c:tx>
                <c:strRef>
                  <c:f>'C05X'!$AB$23</c:f>
                  <c:strCache>
                    <c:ptCount val="1"/>
                    <c:pt idx="0">
                      <c:v>729</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{75F74816-F4D7-4E6A-B2C2-FED2112D4453}</c15:txfldGUID>
                      <c15:f>'C05X'!$AB$23</c15:f>
                      <c15:dlblFieldTableCache>
                        <c:ptCount val="1"/>
                        <c:pt idx="0">
                          <c:v>729</c:v>
                        </c:pt>
                      </c15:dlblFieldTableCache>
                    </c15:dlblFTEntry>
                  </c15:dlblFieldTable>
                  <c15:showDataLabelsRange val="0"/>
                </c:ext>
                <c:ext xmlns:c16="http://schemas.microsoft.com/office/drawing/2014/chart" uri="{C3380CC4-5D6E-409C-BE32-E72D297353CC}">
                  <c16:uniqueId val="{00000025-DEF3-4D41-80A6-C6681710EBBC}"/>
                </c:ext>
              </c:extLst>
            </c:dLbl>
            <c:dLbl>
              <c:idx val="12"/>
              <c:tx>
                <c:strRef>
                  <c:f>'C05X'!$AB$24</c:f>
                  <c:strCache>
                    <c:ptCount val="1"/>
                    <c:pt idx="0">
                      <c:v>889</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{0C7CBDB3-3419-44C0-BEC4-A7785E05A79F}</c15:txfldGUID>
                      <c15:f>'C05X'!$AB$24</c15:f>
                      <c15:dlblFieldTableCache>
                        <c:ptCount val="1"/>
                        <c:pt idx="0">
                          <c:v>889</c:v>
                        </c:pt>
                      </c15:dlblFieldTableCache>
                    </c15:dlblFTEntry>
                  </c15:dlblFieldTable>
                  <c15:showDataLabelsRange val="0"/>
                </c:ext>
                <c:ext xmlns:c16="http://schemas.microsoft.com/office/drawing/2014/chart" uri="{C3380CC4-5D6E-409C-BE32-E72D297353CC}">
                  <c16:uniqueId val="{00000026-DEF3-4D41-80A6-C6681710EBBC}"/>
                </c:ext>
              </c:extLst>
            </c:dLbl>
            <c:dLbl>
              <c:idx val="13"/>
              <c:tx>
                <c:strRef>
                  <c:f>'C05X'!$AB$25</c:f>
                  <c:strCache>
                    <c:ptCount val="1"/>
                    <c:pt idx="0">
                      <c:v>919</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{4691A418-50E4-4DB0-86B0-8E4FB51E295D}</c15:txfldGUID>
                      <c15:f>'C05X'!$AB$25</c15:f>
                      <c15:dlblFieldTableCache>
                        <c:ptCount val="1"/>
                        <c:pt idx="0">
                          <c:v>919</c:v>
                        </c:pt>
                      </c15:dlblFieldTableCache>
                    </c15:dlblFTEntry>
                  </c15:dlblFieldTable>
                  <c15:showDataLabelsRange val="0"/>
                </c:ext>
                <c:ext xmlns:c16="http://schemas.microsoft.com/office/drawing/2014/chart" uri="{C3380CC4-5D6E-409C-BE32-E72D297353CC}">
                  <c16:uniqueId val="{00000027-DEF3-4D41-80A6-C6681710EBBC}"/>
                </c:ext>
              </c:extLst>
            </c:dLbl>
            <c:dLbl>
              <c:idx val="14"/>
              <c:delete val="1"/>
              <c:extLst>
                <c:ext xmlns:c15="http://schemas.microsoft.com/office/drawing/2012/chart" uri="{CE6537A1-D6FC-4f65-9D91-7224C49458BB}"/>
                <c:ext xmlns:c16="http://schemas.microsoft.com/office/drawing/2014/chart" uri="{C3380CC4-5D6E-409C-BE32-E72D297353CC}">
                  <c16:uniqueId val="{00000028-DEF3-4D41-80A6-C6681710EBBC}"/>
                </c:ext>
              </c:extLst>
            </c:dLbl>
            <c:dLbl>
              <c:idx val="15"/>
              <c:delete val="1"/>
              <c:extLst>
                <c:ext xmlns:c15="http://schemas.microsoft.com/office/drawing/2012/chart" uri="{CE6537A1-D6FC-4f65-9D91-7224C49458BB}"/>
                <c:ext xmlns:c16="http://schemas.microsoft.com/office/drawing/2014/chart" uri="{C3380CC4-5D6E-409C-BE32-E72D297353CC}">
                  <c16:uniqueId val="{00000029-DEF3-4D41-80A6-C6681710EBBC}"/>
                </c:ext>
              </c:extLst>
            </c:dLbl>
            <c:dLbl>
              <c:idx val="16"/>
              <c:delete val="1"/>
              <c:extLst>
                <c:ext xmlns:c15="http://schemas.microsoft.com/office/drawing/2012/chart" uri="{CE6537A1-D6FC-4f65-9D91-7224C49458BB}"/>
                <c:ext xmlns:c16="http://schemas.microsoft.com/office/drawing/2014/chart" uri="{C3380CC4-5D6E-409C-BE32-E72D297353CC}">
                  <c16:uniqueId val="{0000002A-DEF3-4D41-80A6-C6681710EBBC}"/>
                </c:ext>
              </c:extLst>
            </c:dLbl>
            <c:numFmt formatCode="#,##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'C05X'!$A$12:$A$28</c:f>
              <c:strCache>
                <c:ptCount val="17"/>
                <c:pt idx="0">
                  <c:v>2026 PL</c:v>
                </c:pt>
                <c:pt idx="1">
                  <c:v>2025 AC</c:v>
                </c:pt>
                <c:pt idx="2">
                  <c:v>Jan</c:v>
                </c:pt>
                <c:pt idx="3">
                  <c:v>Feb</c:v>
                </c:pt>
                <c:pt idx="4">
                  <c:v>Mar</c:v>
                </c:pt>
                <c:pt idx="5">
                  <c:v>Apr</c:v>
                </c:pt>
                <c:pt idx="6">
                  <c:v>May</c:v>
                </c:pt>
                <c:pt idx="7">
                  <c:v>Jun</c:v>
                </c:pt>
                <c:pt idx="8">
                  <c:v>Jul</c:v>
                </c:pt>
                <c:pt idx="9">
                  <c:v>Aug</c:v>
                </c:pt>
                <c:pt idx="10">
                  <c:v>Sep</c:v>
                </c:pt>
                <c:pt idx="11">
                  <c:v>Oct</c:v>
                </c:pt>
                <c:pt idx="12">
                  <c:v>Nov</c:v>
                </c:pt>
                <c:pt idx="13">
                  <c:v>Dec</c:v>
                </c:pt>
                <c:pt idx="14">
                  <c:v>2026 AC+FC</c:v>
                </c:pt>
                <c:pt idx="15">
                  <c:v>vs PY</c:v>
                </c:pt>
                <c:pt idx="16">
                  <c:v>vs PL</c:v>
                </c:pt>
              </c:strCache>
            </c:strRef>
          </c:cat>
          <c:val>
            <c:numRef>
              <c:f>'C05X'!$AA$12:$AA$28</c:f>
              <c:numCache>
                <c:formatCode>0.000000</c:formatCode>
                <c:ptCount val="17"/>
                <c:pt idx="0">
                  <c:v>0.90154711673699017</c:v>
                </c:pt>
                <c:pt idx="1">
                  <c:v>#N/A</c:v>
                </c:pt>
                <c:pt idx="2">
                  <c:v>9.2035864978902954E-2</c:v>
                </c:pt>
                <c:pt idx="3">
                  <c:v>9.2299578059071727E-2</c:v>
                </c:pt>
                <c:pt idx="4">
                  <c:v>5.4324894514767935E-2</c:v>
                </c:pt>
                <c:pt idx="5">
                  <c:v>8.8168073136427563E-2</c:v>
                </c:pt>
                <c:pt idx="6">
                  <c:v>7.7355836849507739E-2</c:v>
                </c:pt>
                <c:pt idx="7">
                  <c:v>8.1926863572433187E-2</c:v>
                </c:pt>
                <c:pt idx="8">
                  <c:v>9.0277777777777776E-2</c:v>
                </c:pt>
                <c:pt idx="9">
                  <c:v>0.10451828410689171</c:v>
                </c:pt>
                <c:pt idx="10">
                  <c:v>-2.3734177215189874E-3</c:v>
                </c:pt>
                <c:pt idx="11">
                  <c:v>6.4082278481012653E-2</c:v>
                </c:pt>
                <c:pt idx="12">
                  <c:v>7.8146976090014059E-2</c:v>
                </c:pt>
                <c:pt idx="13">
                  <c:v>8.0784106891701832E-2</c:v>
                </c:pt>
                <c:pt idx="14">
                  <c:v>#N/A</c:v>
                </c:pt>
                <c:pt idx="15">
                  <c:v>#N/A</c:v>
                </c:pt>
                <c:pt idx="16">
                  <c:v>#N/A</c:v>
                </c:pt>
              </c:numCache>
            </c:numRef>
          </c:val>
          <c:extLst>
            <c:ext xmlns:c16="http://schemas.microsoft.com/office/drawing/2014/chart" uri="{C3380CC4-5D6E-409C-BE32-E72D297353CC}">
              <c16:uniqueId val="{00000019-DEF3-4D41-80A6-C6681710EBBC}"/>
            </c:ext>
          </c:extLst>
        </c:ser>
        <c:ser>
          <c:idx val="2"/>
          <c:order val="2"/>
          <c:tx>
            <c:v>AC bar</c:v>
          </c:tx>
          <c:spPr>
            <a:solidFill>
              <a:srgbClr val="404040"/>
            </a:solidFill>
            <a:ln>
              <a:noFill/>
            </a:ln>
            <a:effectLst/>
            <a:extLst>
              <a:ext uri="{91240B29-F687-4F45-9708-019B960494DF}">
                <a14:hiddenLine xmlns:a14="http://schemas.microsoft.com/office/drawing/2010/main">
                  <a:noFill/>
                </a14:hiddenLine>
              </a:ext>
            </a:ex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2C-DEF3-4D41-80A6-C6681710EBBC}"/>
                </c:ext>
              </c:extLst>
            </c:dLbl>
            <c:dLbl>
              <c:idx val="1"/>
              <c:delete val="1"/>
              <c:extLst>
                <c:ext xmlns:c15="http://schemas.microsoft.com/office/drawing/2012/chart" uri="{CE6537A1-D6FC-4f65-9D91-7224C49458BB}"/>
                <c:ext xmlns:c16="http://schemas.microsoft.com/office/drawing/2014/chart" uri="{C3380CC4-5D6E-409C-BE32-E72D297353CC}">
                  <c16:uniqueId val="{0000002D-DEF3-4D41-80A6-C6681710EBBC}"/>
                </c:ext>
              </c:extLst>
            </c:dLbl>
            <c:dLbl>
              <c:idx val="2"/>
              <c:tx>
                <c:strRef>
                  <c:f>'C05X'!$AD$14</c:f>
                  <c:strCache>
                    <c:ptCount val="1"/>
                    <c:pt idx="0">
                      <c:v>1,080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{FC246451-7114-48E1-B2B7-3BE9AAE7728D}</c15:txfldGUID>
                      <c15:f>'C05X'!$AD$14</c15:f>
                      <c15:dlblFieldTableCache>
                        <c:ptCount val="1"/>
                        <c:pt idx="0">
                          <c:v>1,080</c:v>
                        </c:pt>
                      </c15:dlblFieldTableCache>
                    </c15:dlblFTEntry>
                  </c15:dlblFieldTable>
                  <c15:showDataLabelsRange val="0"/>
                </c:ext>
                <c:ext xmlns:c16="http://schemas.microsoft.com/office/drawing/2014/chart" uri="{C3380CC4-5D6E-409C-BE32-E72D297353CC}">
                  <c16:uniqueId val="{0000002E-DEF3-4D41-80A6-C6681710EBBC}"/>
                </c:ext>
              </c:extLst>
            </c:dLbl>
            <c:dLbl>
              <c:idx val="3"/>
              <c:tx>
                <c:strRef>
                  <c:f>'C05X'!$AD$15</c:f>
                  <c:strCache>
                    <c:ptCount val="1"/>
                    <c:pt idx="0">
                      <c:v>934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{B5E3433A-7A6E-4276-AB94-D378372F0D5A}</c15:txfldGUID>
                      <c15:f>'C05X'!$AD$15</c15:f>
                      <c15:dlblFieldTableCache>
                        <c:ptCount val="1"/>
                        <c:pt idx="0">
                          <c:v>934</c:v>
                        </c:pt>
                      </c15:dlblFieldTableCache>
                    </c15:dlblFTEntry>
                  </c15:dlblFieldTable>
                  <c15:showDataLabelsRange val="0"/>
                </c:ext>
                <c:ext xmlns:c16="http://schemas.microsoft.com/office/drawing/2014/chart" uri="{C3380CC4-5D6E-409C-BE32-E72D297353CC}">
                  <c16:uniqueId val="{0000002F-DEF3-4D41-80A6-C6681710EBBC}"/>
                </c:ext>
              </c:extLst>
            </c:dLbl>
            <c:dLbl>
              <c:idx val="4"/>
              <c:tx>
                <c:strRef>
                  <c:f>'C05X'!$AD$16</c:f>
                  <c:strCache>
                    <c:ptCount val="1"/>
                    <c:pt idx="0">
                      <c:v>842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{CD05A9D3-E6C4-4C64-872F-9FCDE311C254}</c15:txfldGUID>
                      <c15:f>'C05X'!$AD$16</c15:f>
                      <c15:dlblFieldTableCache>
                        <c:ptCount val="1"/>
                        <c:pt idx="0">
                          <c:v>842</c:v>
                        </c:pt>
                      </c15:dlblFieldTableCache>
                    </c15:dlblFTEntry>
                  </c15:dlblFieldTable>
                  <c15:showDataLabelsRange val="0"/>
                </c:ext>
                <c:ext xmlns:c16="http://schemas.microsoft.com/office/drawing/2014/chart" uri="{C3380CC4-5D6E-409C-BE32-E72D297353CC}">
                  <c16:uniqueId val="{00000030-DEF3-4D41-80A6-C6681710EBBC}"/>
                </c:ext>
              </c:extLst>
            </c:dLbl>
            <c:dLbl>
              <c:idx val="5"/>
              <c:tx>
                <c:strRef>
                  <c:f>'C05X'!$AD$17</c:f>
                  <c:strCache>
                    <c:ptCount val="1"/>
                    <c:pt idx="0">
                      <c:v>697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{0D36A651-0F3B-435F-AA35-7A2C1B078B3E}</c15:txfldGUID>
                      <c15:f>'C05X'!$AD$17</c15:f>
                      <c15:dlblFieldTableCache>
                        <c:ptCount val="1"/>
                        <c:pt idx="0">
                          <c:v>697</c:v>
                        </c:pt>
                      </c15:dlblFieldTableCache>
                    </c15:dlblFTEntry>
                  </c15:dlblFieldTable>
                  <c15:showDataLabelsRange val="0"/>
                </c:ext>
                <c:ext xmlns:c16="http://schemas.microsoft.com/office/drawing/2014/chart" uri="{C3380CC4-5D6E-409C-BE32-E72D297353CC}">
                  <c16:uniqueId val="{00000031-DEF3-4D41-80A6-C6681710EBBC}"/>
                </c:ext>
              </c:extLst>
            </c:dLbl>
            <c:dLbl>
              <c:idx val="6"/>
              <c:tx>
                <c:strRef>
                  <c:f>'C05X'!$AD$18</c:f>
                  <c:strCache>
                    <c:ptCount val="1"/>
                    <c:pt idx="0">
                      <c:v>1,318</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{35AA0B9C-5C9B-4570-AC3E-22324155B8AE}</c15:txfldGUID>
                      <c15:f>'C05X'!$AD$18</c15:f>
                      <c15:dlblFieldTableCache>
                        <c:ptCount val="1"/>
                        <c:pt idx="0">
                          <c:v>1,318</c:v>
                        </c:pt>
                      </c15:dlblFieldTableCache>
                    </c15:dlblFTEntry>
                  </c15:dlblFieldTable>
                  <c15:showDataLabelsRange val="0"/>
                </c:ext>
                <c:ext xmlns:c16="http://schemas.microsoft.com/office/drawing/2014/chart" uri="{C3380CC4-5D6E-409C-BE32-E72D297353CC}">
                  <c16:uniqueId val="{00000032-DEF3-4D41-80A6-C6681710EBBC}"/>
                </c:ext>
              </c:extLst>
            </c:dLbl>
            <c:dLbl>
              <c:idx val="7"/>
              <c:tx>
                <c:strRef>
                  <c:f>'C05X'!$AD$19</c:f>
                  <c:strCache>
                    <c:ptCount val="1"/>
                    <c:pt idx="0">
                      <c:v>710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{F06C9405-74A9-413D-BB47-5388BB12AFE0}</c15:txfldGUID>
                      <c15:f>'C05X'!$AD$19</c15:f>
                      <c15:dlblFieldTableCache>
                        <c:ptCount val="1"/>
                        <c:pt idx="0">
                          <c:v>710</c:v>
                        </c:pt>
                      </c15:dlblFieldTableCache>
                    </c15:dlblFTEntry>
                  </c15:dlblFieldTable>
                  <c15:showDataLabelsRange val="0"/>
                </c:ext>
                <c:ext xmlns:c16="http://schemas.microsoft.com/office/drawing/2014/chart" uri="{C3380CC4-5D6E-409C-BE32-E72D297353CC}">
                  <c16:uniqueId val="{00000033-DEF3-4D41-80A6-C6681710EBBC}"/>
                </c:ext>
              </c:extLst>
            </c:dLbl>
            <c:dLbl>
              <c:idx val="8"/>
              <c:tx>
                <c:strRef>
                  <c:f>'C05X'!$AD$20</c:f>
                  <c:strCache>
                    <c:ptCount val="1"/>
                    <c:pt idx="0">
                      <c:v>971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{4BD41764-E1BF-4D15-AC44-8ADC79924BA6}</c15:txfldGUID>
                      <c15:f>'C05X'!$AD$20</c15:f>
                      <c15:dlblFieldTableCache>
                        <c:ptCount val="1"/>
                        <c:pt idx="0">
                          <c:v>971</c:v>
                        </c:pt>
                      </c15:dlblFieldTableCache>
                    </c15:dlblFTEntry>
                  </c15:dlblFieldTable>
                  <c15:showDataLabelsRange val="0"/>
                </c:ext>
                <c:ext xmlns:c16="http://schemas.microsoft.com/office/drawing/2014/chart" uri="{C3380CC4-5D6E-409C-BE32-E72D297353CC}">
                  <c16:uniqueId val="{00000034-DEF3-4D41-80A6-C6681710EBBC}"/>
                </c:ext>
              </c:extLst>
            </c:dLbl>
            <c:dLbl>
              <c:idx val="9"/>
              <c:delete val="1"/>
              <c:extLst>
                <c:ext xmlns:c15="http://schemas.microsoft.com/office/drawing/2012/chart" uri="{CE6537A1-D6FC-4f65-9D91-7224C49458BB}"/>
                <c:ext xmlns:c16="http://schemas.microsoft.com/office/drawing/2014/chart" uri="{C3380CC4-5D6E-409C-BE32-E72D297353CC}">
                  <c16:uniqueId val="{00000035-DEF3-4D41-80A6-C6681710EBBC}"/>
                </c:ext>
              </c:extLst>
            </c:dLbl>
            <c:dLbl>
              <c:idx val="10"/>
              <c:delete val="1"/>
              <c:extLst>
                <c:ext xmlns:c15="http://schemas.microsoft.com/office/drawing/2012/chart" uri="{CE6537A1-D6FC-4f65-9D91-7224C49458BB}"/>
                <c:ext xmlns:c16="http://schemas.microsoft.com/office/drawing/2014/chart" uri="{C3380CC4-5D6E-409C-BE32-E72D297353CC}">
                  <c16:uniqueId val="{00000036-DEF3-4D41-80A6-C6681710EBBC}"/>
                </c:ext>
              </c:extLst>
            </c:dLbl>
            <c:dLbl>
              <c:idx val="11"/>
              <c:delete val="1"/>
              <c:extLst>
                <c:ext xmlns:c15="http://schemas.microsoft.com/office/drawing/2012/chart" uri="{CE6537A1-D6FC-4f65-9D91-7224C49458BB}"/>
                <c:ext xmlns:c16="http://schemas.microsoft.com/office/drawing/2014/chart" uri="{C3380CC4-5D6E-409C-BE32-E72D297353CC}">
                  <c16:uniqueId val="{00000037-DEF3-4D41-80A6-C6681710EBBC}"/>
                </c:ext>
              </c:extLst>
            </c:dLbl>
            <c:dLbl>
              <c:idx val="12"/>
              <c:delete val="1"/>
              <c:extLst>
                <c:ext xmlns:c15="http://schemas.microsoft.com/office/drawing/2012/chart" uri="{CE6537A1-D6FC-4f65-9D91-7224C49458BB}"/>
                <c:ext xmlns:c16="http://schemas.microsoft.com/office/drawing/2014/chart" uri="{C3380CC4-5D6E-409C-BE32-E72D297353CC}">
                  <c16:uniqueId val="{00000038-DEF3-4D41-80A6-C6681710EBBC}"/>
                </c:ext>
              </c:extLst>
            </c:dLbl>
            <c:dLbl>
              <c:idx val="13"/>
              <c:delete val="1"/>
              <c:extLst>
                <c:ext xmlns:c15="http://schemas.microsoft.com/office/drawing/2012/chart" uri="{CE6537A1-D6FC-4f65-9D91-7224C49458BB}"/>
                <c:ext xmlns:c16="http://schemas.microsoft.com/office/drawing/2014/chart" uri="{C3380CC4-5D6E-409C-BE32-E72D297353CC}">
                  <c16:uniqueId val="{00000039-DEF3-4D41-80A6-C6681710EBBC}"/>
                </c:ext>
              </c:extLst>
            </c:dLbl>
            <c:dLbl>
              <c:idx val="14"/>
              <c:tx>
                <c:strRef>
                  <c:f>'C05X'!$AD$26</c:f>
                  <c:strCache>
                    <c:ptCount val="1"/>
                    <c:pt idx="0">
                      <c:v>6,552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{24D8C105-2F2E-4547-979D-249ECA947953}</c15:txfldGUID>
                      <c15:f>'C05X'!$AD$26</c15:f>
                      <c15:dlblFieldTableCache>
                        <c:ptCount val="1"/>
                        <c:pt idx="0">
                          <c:v>6,552</c:v>
                        </c:pt>
                      </c15:dlblFieldTableCache>
                    </c15:dlblFTEntry>
                  </c15:dlblFieldTable>
                  <c15:showDataLabelsRange val="0"/>
                </c:ext>
                <c:ext xmlns:c16="http://schemas.microsoft.com/office/drawing/2014/chart" uri="{C3380CC4-5D6E-409C-BE32-E72D297353CC}">
                  <c16:uniqueId val="{0000003A-DEF3-4D41-80A6-C6681710EBBC}"/>
                </c:ext>
              </c:extLst>
            </c:dLbl>
            <c:dLbl>
              <c:idx val="15"/>
              <c:delete val="1"/>
              <c:extLst>
                <c:ext xmlns:c15="http://schemas.microsoft.com/office/drawing/2012/chart" uri="{CE6537A1-D6FC-4f65-9D91-7224C49458BB}"/>
                <c:ext xmlns:c16="http://schemas.microsoft.com/office/drawing/2014/chart" uri="{C3380CC4-5D6E-409C-BE32-E72D297353CC}">
                  <c16:uniqueId val="{0000003B-DEF3-4D41-80A6-C6681710EBBC}"/>
                </c:ext>
              </c:extLst>
            </c:dLbl>
            <c:dLbl>
              <c:idx val="16"/>
              <c:delete val="1"/>
              <c:extLst>
                <c:ext xmlns:c15="http://schemas.microsoft.com/office/drawing/2012/chart" uri="{CE6537A1-D6FC-4f65-9D91-7224C49458BB}"/>
                <c:ext xmlns:c16="http://schemas.microsoft.com/office/drawing/2014/chart" uri="{C3380CC4-5D6E-409C-BE32-E72D297353CC}">
                  <c16:uniqueId val="{0000003C-DEF3-4D41-80A6-C6681710EBBC}"/>
                </c:ext>
              </c:extLst>
            </c:dLbl>
            <c:numFmt formatCode="#,##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'C05X'!$A$12:$A$28</c:f>
              <c:strCache>
                <c:ptCount val="17"/>
                <c:pt idx="0">
                  <c:v>2026 PL</c:v>
                </c:pt>
                <c:pt idx="1">
                  <c:v>2025 AC</c:v>
                </c:pt>
                <c:pt idx="2">
                  <c:v>Jan</c:v>
                </c:pt>
                <c:pt idx="3">
                  <c:v>Feb</c:v>
                </c:pt>
                <c:pt idx="4">
                  <c:v>Mar</c:v>
                </c:pt>
                <c:pt idx="5">
                  <c:v>Apr</c:v>
                </c:pt>
                <c:pt idx="6">
                  <c:v>May</c:v>
                </c:pt>
                <c:pt idx="7">
                  <c:v>Jun</c:v>
                </c:pt>
                <c:pt idx="8">
                  <c:v>Jul</c:v>
                </c:pt>
                <c:pt idx="9">
                  <c:v>Aug</c:v>
                </c:pt>
                <c:pt idx="10">
                  <c:v>Sep</c:v>
                </c:pt>
                <c:pt idx="11">
                  <c:v>Oct</c:v>
                </c:pt>
                <c:pt idx="12">
                  <c:v>Nov</c:v>
                </c:pt>
                <c:pt idx="13">
                  <c:v>Dec</c:v>
                </c:pt>
                <c:pt idx="14">
                  <c:v>2026 AC+FC</c:v>
                </c:pt>
                <c:pt idx="15">
                  <c:v>vs PY</c:v>
                </c:pt>
                <c:pt idx="16">
                  <c:v>vs PL</c:v>
                </c:pt>
              </c:strCache>
            </c:strRef>
          </c:cat>
          <c:val>
            <c:numRef>
              <c:f>'C05X'!$AC$12:$AC$28</c:f>
              <c:numCache>
                <c:formatCode>0.000000</c:formatCode>
                <c:ptCount val="17"/>
                <c:pt idx="0">
                  <c:v>#N/A</c:v>
                </c:pt>
                <c:pt idx="1">
                  <c:v>#N/A</c:v>
                </c:pt>
                <c:pt idx="2">
                  <c:v>9.49367088607595E-2</c:v>
                </c:pt>
                <c:pt idx="3">
                  <c:v>8.2102672292545711E-2</c:v>
                </c:pt>
                <c:pt idx="4">
                  <c:v>7.4015471167369895E-2</c:v>
                </c:pt>
                <c:pt idx="5">
                  <c:v>6.1269338959212376E-2</c:v>
                </c:pt>
                <c:pt idx="6">
                  <c:v>0.11585794655414909</c:v>
                </c:pt>
                <c:pt idx="7">
                  <c:v>6.2412095639943745E-2</c:v>
                </c:pt>
                <c:pt idx="8">
                  <c:v>8.5355133614627279E-2</c:v>
                </c:pt>
                <c:pt idx="9">
                  <c:v>#N/A</c:v>
                </c:pt>
                <c:pt idx="10">
                  <c:v>#N/A</c:v>
                </c:pt>
                <c:pt idx="11">
                  <c:v>#N/A</c:v>
                </c:pt>
                <c:pt idx="12">
                  <c:v>#N/A</c:v>
                </c:pt>
                <c:pt idx="13">
                  <c:v>#N/A</c:v>
                </c:pt>
                <c:pt idx="14">
                  <c:v>0.57594936708860756</c:v>
                </c:pt>
                <c:pt idx="15">
                  <c:v>#N/A</c:v>
                </c:pt>
                <c:pt idx="16">
                  <c:v>#N/A</c:v>
                </c:pt>
              </c:numCache>
            </c:numRef>
          </c:val>
          <c:extLst>
            <c:ext xmlns:c16="http://schemas.microsoft.com/office/drawing/2014/chart" uri="{C3380CC4-5D6E-409C-BE32-E72D297353CC}">
              <c16:uniqueId val="{0000002B-DEF3-4D41-80A6-C6681710EBBC}"/>
            </c:ext>
          </c:extLst>
        </c:ser>
        <c:ser>
          <c:idx val="3"/>
          <c:order val="3"/>
          <c:tx>
            <c:v>FC bar</c:v>
          </c:tx>
          <c:spPr>
            <a:pattFill prst="wdUpDiag">
              <a:fgClr>
                <a:srgbClr val="404040"/>
              </a:fgClr>
              <a:bgClr>
                <a:srgbClr val="F2F2F2"/>
              </a:bgClr>
            </a:pattFill>
            <a:ln w="9525">
              <a:solidFill>
                <a:srgbClr val="404040"/>
              </a:solidFill>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3E-DEF3-4D41-80A6-C6681710EBBC}"/>
                </c:ext>
              </c:extLst>
            </c:dLbl>
            <c:dLbl>
              <c:idx val="1"/>
              <c:delete val="1"/>
              <c:extLst>
                <c:ext xmlns:c15="http://schemas.microsoft.com/office/drawing/2012/chart" uri="{CE6537A1-D6FC-4f65-9D91-7224C49458BB}"/>
                <c:ext xmlns:c16="http://schemas.microsoft.com/office/drawing/2014/chart" uri="{C3380CC4-5D6E-409C-BE32-E72D297353CC}">
                  <c16:uniqueId val="{0000003F-DEF3-4D41-80A6-C6681710EBBC}"/>
                </c:ext>
              </c:extLst>
            </c:dLbl>
            <c:dLbl>
              <c:idx val="2"/>
              <c:delete val="1"/>
              <c:extLst>
                <c:ext xmlns:c15="http://schemas.microsoft.com/office/drawing/2012/chart" uri="{CE6537A1-D6FC-4f65-9D91-7224C49458BB}"/>
                <c:ext xmlns:c16="http://schemas.microsoft.com/office/drawing/2014/chart" uri="{C3380CC4-5D6E-409C-BE32-E72D297353CC}">
                  <c16:uniqueId val="{00000040-DEF3-4D41-80A6-C6681710EBBC}"/>
                </c:ext>
              </c:extLst>
            </c:dLbl>
            <c:dLbl>
              <c:idx val="3"/>
              <c:delete val="1"/>
              <c:extLst>
                <c:ext xmlns:c15="http://schemas.microsoft.com/office/drawing/2012/chart" uri="{CE6537A1-D6FC-4f65-9D91-7224C49458BB}"/>
                <c:ext xmlns:c16="http://schemas.microsoft.com/office/drawing/2014/chart" uri="{C3380CC4-5D6E-409C-BE32-E72D297353CC}">
                  <c16:uniqueId val="{00000041-DEF3-4D41-80A6-C6681710EBBC}"/>
                </c:ext>
              </c:extLst>
            </c:dLbl>
            <c:dLbl>
              <c:idx val="4"/>
              <c:delete val="1"/>
              <c:extLst>
                <c:ext xmlns:c15="http://schemas.microsoft.com/office/drawing/2012/chart" uri="{CE6537A1-D6FC-4f65-9D91-7224C49458BB}"/>
                <c:ext xmlns:c16="http://schemas.microsoft.com/office/drawing/2014/chart" uri="{C3380CC4-5D6E-409C-BE32-E72D297353CC}">
                  <c16:uniqueId val="{00000042-DEF3-4D41-80A6-C6681710EBBC}"/>
                </c:ext>
              </c:extLst>
            </c:dLbl>
            <c:dLbl>
              <c:idx val="5"/>
              <c:delete val="1"/>
              <c:extLst>
                <c:ext xmlns:c15="http://schemas.microsoft.com/office/drawing/2012/chart" uri="{CE6537A1-D6FC-4f65-9D91-7224C49458BB}"/>
                <c:ext xmlns:c16="http://schemas.microsoft.com/office/drawing/2014/chart" uri="{C3380CC4-5D6E-409C-BE32-E72D297353CC}">
                  <c16:uniqueId val="{00000043-DEF3-4D41-80A6-C6681710EBBC}"/>
                </c:ext>
              </c:extLst>
            </c:dLbl>
            <c:dLbl>
              <c:idx val="6"/>
              <c:delete val="1"/>
              <c:extLst>
                <c:ext xmlns:c15="http://schemas.microsoft.com/office/drawing/2012/chart" uri="{CE6537A1-D6FC-4f65-9D91-7224C49458BB}"/>
                <c:ext xmlns:c16="http://schemas.microsoft.com/office/drawing/2014/chart" uri="{C3380CC4-5D6E-409C-BE32-E72D297353CC}">
                  <c16:uniqueId val="{00000044-DEF3-4D41-80A6-C6681710EBBC}"/>
                </c:ext>
              </c:extLst>
            </c:dLbl>
            <c:dLbl>
              <c:idx val="7"/>
              <c:delete val="1"/>
              <c:extLst>
                <c:ext xmlns:c15="http://schemas.microsoft.com/office/drawing/2012/chart" uri="{CE6537A1-D6FC-4f65-9D91-7224C49458BB}"/>
                <c:ext xmlns:c16="http://schemas.microsoft.com/office/drawing/2014/chart" uri="{C3380CC4-5D6E-409C-BE32-E72D297353CC}">
                  <c16:uniqueId val="{00000045-DEF3-4D41-80A6-C6681710EBBC}"/>
                </c:ext>
              </c:extLst>
            </c:dLbl>
            <c:dLbl>
              <c:idx val="8"/>
              <c:delete val="1"/>
              <c:extLst>
                <c:ext xmlns:c15="http://schemas.microsoft.com/office/drawing/2012/chart" uri="{CE6537A1-D6FC-4f65-9D91-7224C49458BB}"/>
                <c:ext xmlns:c16="http://schemas.microsoft.com/office/drawing/2014/chart" uri="{C3380CC4-5D6E-409C-BE32-E72D297353CC}">
                  <c16:uniqueId val="{00000046-DEF3-4D41-80A6-C6681710EBBC}"/>
                </c:ext>
              </c:extLst>
            </c:dLbl>
            <c:dLbl>
              <c:idx val="9"/>
              <c:tx>
                <c:strRef>
                  <c:f>'C05X'!$AF$21</c:f>
                  <c:strCache>
                    <c:ptCount val="1"/>
                    <c:pt idx="0">
                      <c:v>987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{90083A4A-6EB7-4A55-B26F-C09D45760BD3}</c15:txfldGUID>
                      <c15:f>'C05X'!$AF$21</c15:f>
                      <c15:dlblFieldTableCache>
                        <c:ptCount val="1"/>
                        <c:pt idx="0">
                          <c:v>987</c:v>
                        </c:pt>
                      </c15:dlblFieldTableCache>
                    </c15:dlblFTEntry>
                  </c15:dlblFieldTable>
                  <c15:showDataLabelsRange val="0"/>
                </c:ext>
                <c:ext xmlns:c16="http://schemas.microsoft.com/office/drawing/2014/chart" uri="{C3380CC4-5D6E-409C-BE32-E72D297353CC}">
                  <c16:uniqueId val="{00000047-DEF3-4D41-80A6-C6681710EBBC}"/>
                </c:ext>
              </c:extLst>
            </c:dLbl>
            <c:dLbl>
              <c:idx val="10"/>
              <c:tx>
                <c:strRef>
                  <c:f>'C05X'!$AF$22</c:f>
                  <c:strCache>
                    <c:ptCount val="1"/>
                    <c:pt idx="0">
                      <c:v>958</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{AD49D46E-4A29-4172-8D74-2C1F5A2306A0}</c15:txfldGUID>
                      <c15:f>'C05X'!$AF$22</c15:f>
                      <c15:dlblFieldTableCache>
                        <c:ptCount val="1"/>
                        <c:pt idx="0">
                          <c:v>958</c:v>
                        </c:pt>
                      </c15:dlblFieldTableCache>
                    </c15:dlblFTEntry>
                  </c15:dlblFieldTable>
                  <c15:showDataLabelsRange val="0"/>
                </c:ext>
                <c:ext xmlns:c16="http://schemas.microsoft.com/office/drawing/2014/chart" uri="{C3380CC4-5D6E-409C-BE32-E72D297353CC}">
                  <c16:uniqueId val="{00000048-DEF3-4D41-80A6-C6681710EBBC}"/>
                </c:ext>
              </c:extLst>
            </c:dLbl>
            <c:dLbl>
              <c:idx val="11"/>
              <c:tx>
                <c:strRef>
                  <c:f>'C05X'!$AF$23</c:f>
                  <c:strCache>
                    <c:ptCount val="1"/>
                    <c:pt idx="0">
                      <c:v>993</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{F5D91DC3-7846-4A2B-9D0A-0F0540249DAD}</c15:txfldGUID>
                      <c15:f>'C05X'!$AF$23</c15:f>
                      <c15:dlblFieldTableCache>
                        <c:ptCount val="1"/>
                        <c:pt idx="0">
                          <c:v>993</c:v>
                        </c:pt>
                      </c15:dlblFieldTableCache>
                    </c15:dlblFTEntry>
                  </c15:dlblFieldTable>
                  <c15:showDataLabelsRange val="0"/>
                </c:ext>
                <c:ext xmlns:c16="http://schemas.microsoft.com/office/drawing/2014/chart" uri="{C3380CC4-5D6E-409C-BE32-E72D297353CC}">
                  <c16:uniqueId val="{00000049-DEF3-4D41-80A6-C6681710EBBC}"/>
                </c:ext>
              </c:extLst>
            </c:dLbl>
            <c:dLbl>
              <c:idx val="12"/>
              <c:tx>
                <c:strRef>
                  <c:f>'C05X'!$AF$24</c:f>
                  <c:strCache>
                    <c:ptCount val="1"/>
                    <c:pt idx="0">
                      <c:v>967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{27E8EFB0-BD75-4909-ADCD-ADAF300A034F}</c15:txfldGUID>
                      <c15:f>'C05X'!$AF$24</c15:f>
                      <c15:dlblFieldTableCache>
                        <c:ptCount val="1"/>
                        <c:pt idx="0">
                          <c:v>967</c:v>
                        </c:pt>
                      </c15:dlblFieldTableCache>
                    </c15:dlblFTEntry>
                  </c15:dlblFieldTable>
                  <c15:showDataLabelsRange val="0"/>
                </c:ext>
                <c:ext xmlns:c16="http://schemas.microsoft.com/office/drawing/2014/chart" uri="{C3380CC4-5D6E-409C-BE32-E72D297353CC}">
                  <c16:uniqueId val="{0000004A-DEF3-4D41-80A6-C6681710EBBC}"/>
                </c:ext>
              </c:extLst>
            </c:dLbl>
            <c:dLbl>
              <c:idx val="13"/>
              <c:tx>
                <c:strRef>
                  <c:f>'C05X'!$AF$25</c:f>
                  <c:strCache>
                    <c:ptCount val="1"/>
                    <c:pt idx="0">
                      <c:v>999</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{74AE2D0D-1B7F-4896-8D30-F30E971C5602}</c15:txfldGUID>
                      <c15:f>'C05X'!$AF$25</c15:f>
                      <c15:dlblFieldTableCache>
                        <c:ptCount val="1"/>
                        <c:pt idx="0">
                          <c:v>999</c:v>
                        </c:pt>
                      </c15:dlblFieldTableCache>
                    </c15:dlblFTEntry>
                  </c15:dlblFieldTable>
                  <c15:showDataLabelsRange val="0"/>
                </c:ext>
                <c:ext xmlns:c16="http://schemas.microsoft.com/office/drawing/2014/chart" uri="{C3380CC4-5D6E-409C-BE32-E72D297353CC}">
                  <c16:uniqueId val="{0000004B-DEF3-4D41-80A6-C6681710EBBC}"/>
                </c:ext>
              </c:extLst>
            </c:dLbl>
            <c:dLbl>
              <c:idx val="14"/>
              <c:tx>
                <c:strRef>
                  <c:f>'C05X'!$AF$26</c:f>
                  <c:strCache>
                    <c:ptCount val="1"/>
                    <c:pt idx="0">
                      <c:v>4,904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{B3625EFA-A5AE-409A-9C5E-289893E974F8}</c15:txfldGUID>
                      <c15:f>'C05X'!$AF$26</c15:f>
                      <c15:dlblFieldTableCache>
                        <c:ptCount val="1"/>
                        <c:pt idx="0">
                          <c:v>4,904</c:v>
                        </c:pt>
                      </c15:dlblFieldTableCache>
                    </c15:dlblFTEntry>
                  </c15:dlblFieldTable>
                  <c15:showDataLabelsRange val="0"/>
                </c:ext>
                <c:ext xmlns:c16="http://schemas.microsoft.com/office/drawing/2014/chart" uri="{C3380CC4-5D6E-409C-BE32-E72D297353CC}">
                  <c16:uniqueId val="{0000004C-DEF3-4D41-80A6-C6681710EBBC}"/>
                </c:ext>
              </c:extLst>
            </c:dLbl>
            <c:dLbl>
              <c:idx val="15"/>
              <c:delete val="1"/>
              <c:extLst>
                <c:ext xmlns:c15="http://schemas.microsoft.com/office/drawing/2012/chart" uri="{CE6537A1-D6FC-4f65-9D91-7224C49458BB}"/>
                <c:ext xmlns:c16="http://schemas.microsoft.com/office/drawing/2014/chart" uri="{C3380CC4-5D6E-409C-BE32-E72D297353CC}">
                  <c16:uniqueId val="{0000004D-DEF3-4D41-80A6-C6681710EBBC}"/>
                </c:ext>
              </c:extLst>
            </c:dLbl>
            <c:dLbl>
              <c:idx val="16"/>
              <c:delete val="1"/>
              <c:extLst>
                <c:ext xmlns:c15="http://schemas.microsoft.com/office/drawing/2012/chart" uri="{CE6537A1-D6FC-4f65-9D91-7224C49458BB}"/>
                <c:ext xmlns:c16="http://schemas.microsoft.com/office/drawing/2014/chart" uri="{C3380CC4-5D6E-409C-BE32-E72D297353CC}">
                  <c16:uniqueId val="{0000004E-DEF3-4D41-80A6-C6681710EBBC}"/>
                </c:ext>
              </c:extLst>
            </c:dLbl>
            <c:numFmt formatCode="#,##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'C05X'!$A$12:$A$28</c:f>
              <c:strCache>
                <c:ptCount val="17"/>
                <c:pt idx="0">
                  <c:v>2026 PL</c:v>
                </c:pt>
                <c:pt idx="1">
                  <c:v>2025 AC</c:v>
                </c:pt>
                <c:pt idx="2">
                  <c:v>Jan</c:v>
                </c:pt>
                <c:pt idx="3">
                  <c:v>Feb</c:v>
                </c:pt>
                <c:pt idx="4">
                  <c:v>Mar</c:v>
                </c:pt>
                <c:pt idx="5">
                  <c:v>Apr</c:v>
                </c:pt>
                <c:pt idx="6">
                  <c:v>May</c:v>
                </c:pt>
                <c:pt idx="7">
                  <c:v>Jun</c:v>
                </c:pt>
                <c:pt idx="8">
                  <c:v>Jul</c:v>
                </c:pt>
                <c:pt idx="9">
                  <c:v>Aug</c:v>
                </c:pt>
                <c:pt idx="10">
                  <c:v>Sep</c:v>
                </c:pt>
                <c:pt idx="11">
                  <c:v>Oct</c:v>
                </c:pt>
                <c:pt idx="12">
                  <c:v>Nov</c:v>
                </c:pt>
                <c:pt idx="13">
                  <c:v>Dec</c:v>
                </c:pt>
                <c:pt idx="14">
                  <c:v>2026 AC+FC</c:v>
                </c:pt>
                <c:pt idx="15">
                  <c:v>vs PY</c:v>
                </c:pt>
                <c:pt idx="16">
                  <c:v>vs PL</c:v>
                </c:pt>
              </c:strCache>
            </c:strRef>
          </c:cat>
          <c:val>
            <c:numRef>
              <c:f>'C05X'!$AE$12:$AE$28</c:f>
              <c:numCache>
                <c:formatCode>0.000000</c:formatCode>
                <c:ptCount val="17"/>
                <c:pt idx="0">
                  <c:v>#N/A</c:v>
                </c:pt>
                <c:pt idx="1">
                  <c:v>#N/A</c:v>
                </c:pt>
                <c:pt idx="2">
                  <c:v>#N/A</c:v>
                </c:pt>
                <c:pt idx="3">
                  <c:v>#N/A</c:v>
                </c:pt>
                <c:pt idx="4">
                  <c:v>#N/A</c:v>
                </c:pt>
                <c:pt idx="5">
                  <c:v>#N/A</c:v>
                </c:pt>
                <c:pt idx="6">
                  <c:v>#N/A</c:v>
                </c:pt>
                <c:pt idx="7">
                  <c:v>#N/A</c:v>
                </c:pt>
                <c:pt idx="8">
                  <c:v>#N/A</c:v>
                </c:pt>
                <c:pt idx="9">
                  <c:v>8.6761603375527421E-2</c:v>
                </c:pt>
                <c:pt idx="10">
                  <c:v>8.4212376933895924E-2</c:v>
                </c:pt>
                <c:pt idx="11">
                  <c:v>8.7289029535864981E-2</c:v>
                </c:pt>
                <c:pt idx="12">
                  <c:v>8.5003516174402244E-2</c:v>
                </c:pt>
                <c:pt idx="13">
                  <c:v>8.7816455696202528E-2</c:v>
                </c:pt>
                <c:pt idx="14">
                  <c:v>0.4310829817158931</c:v>
                </c:pt>
                <c:pt idx="15">
                  <c:v>#N/A</c:v>
                </c:pt>
                <c:pt idx="16">
                  <c:v>#N/A</c:v>
                </c:pt>
              </c:numCache>
            </c:numRef>
          </c:val>
          <c:extLst>
            <c:ext xmlns:c16="http://schemas.microsoft.com/office/drawing/2014/chart" uri="{C3380CC4-5D6E-409C-BE32-E72D297353CC}">
              <c16:uniqueId val="{0000003D-DEF3-4D41-80A6-C6681710EBBC}"/>
            </c:ext>
          </c:extLst>
        </c:ser>
        <c:dLbls>
          <c:showLegendKey val="0"/>
          <c:showVal val="0"/>
          <c:showCatName val="0"/>
          <c:showSerName val="0"/>
          <c:showPercent val="0"/>
          <c:showBubbleSize val="0"/>
        </c:dLbls>
        <c:gapWidth val="40"/>
        <c:overlap val="76"/>
        <c:axId val="1204886656"/>
        <c:axId val="1096022032"/>
      </c:barChart>
      <c:catAx>
        <c:axId val="1204886656"/>
        <c:scaling>
          <c:orientation val="minMax"/>
        </c:scaling>
        <c:delete val="0"/>
        <c:axPos val="b"/>
        <c:numFmt formatCode="General" sourceLinked="1"/>
        <c:majorTickMark val="none"/>
        <c:minorTickMark val="none"/>
        <c:tickLblPos val="none"/>
        <c:crossAx val="1096022032"/>
        <c:crosses val="autoZero"/>
        <c:auto val="1"/>
        <c:lblAlgn val="ctr"/>
        <c:lblOffset val="100"/>
        <c:noMultiLvlLbl val="0"/>
      </c:catAx>
      <c:valAx>
        <c:axId val="1096022032"/>
        <c:scaling>
          <c:orientation val="minMax"/>
          <c:max val="1.02"/>
          <c:min val="-2.403980446927374E-3"/>
        </c:scaling>
        <c:delete val="0"/>
        <c:axPos val="l"/>
        <c:numFmt formatCode="0.00000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04886656"/>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357142857142857"/>
          <c:y val="5.5813953488372092E-2"/>
          <c:w val="0.7857142857142857"/>
          <c:h val="0.93023255813953487"/>
        </c:manualLayout>
      </c:layout>
      <c:barChart>
        <c:barDir val="bar"/>
        <c:grouping val="stacked"/>
        <c:varyColors val="0"/>
        <c:ser>
          <c:idx val="0"/>
          <c:order val="0"/>
          <c:tx>
            <c:v>AC bar</c:v>
          </c:tx>
          <c:spPr>
            <a:solidFill>
              <a:srgbClr val="404040"/>
            </a:solidFill>
            <a:ln>
              <a:noFill/>
            </a:ln>
            <a:effectLst/>
            <a:extLst>
              <a:ext uri="{91240B29-F687-4F45-9708-019B960494DF}">
                <a14:hiddenLine xmlns:a14="http://schemas.microsoft.com/office/drawing/2010/main">
                  <a:noFill/>
                </a14:hiddenLine>
              </a:ext>
            </a:ex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8-2D94-49E0-BE8B-2481DD3FD2DE}"/>
                </c:ext>
              </c:extLst>
            </c:dLbl>
            <c:dLbl>
              <c:idx val="1"/>
              <c:tx>
                <c:strRef>
                  <c:f>'C06F'!$W$13</c:f>
                  <c:strCache>
                    <c:ptCount val="1"/>
                    <c:pt idx="0">
                      <c:v>10,315</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{65215553-8B95-4729-8C81-0B39144A960E}</c15:txfldGUID>
                      <c15:f>'C06F'!$W$13</c15:f>
                      <c15:dlblFieldTableCache>
                        <c:ptCount val="1"/>
                        <c:pt idx="0">
                          <c:v>10,315</c:v>
                        </c:pt>
                      </c15:dlblFieldTableCache>
                    </c15:dlblFTEntry>
                  </c15:dlblFieldTable>
                  <c15:showDataLabelsRange val="0"/>
                </c:ext>
                <c:ext xmlns:c16="http://schemas.microsoft.com/office/drawing/2014/chart" uri="{C3380CC4-5D6E-409C-BE32-E72D297353CC}">
                  <c16:uniqueId val="{00000009-2D94-49E0-BE8B-2481DD3FD2DE}"/>
                </c:ext>
              </c:extLst>
            </c:dLbl>
            <c:dLbl>
              <c:idx val="2"/>
              <c:tx>
                <c:strRef>
                  <c:f>'C06F'!$W$14</c:f>
                  <c:strCache>
                    <c:ptCount val="1"/>
                    <c:pt idx="0">
                      <c:v>4,777</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{ED25E5FA-2C15-4080-95B0-92E7A6A402D2}</c15:txfldGUID>
                      <c15:f>'C06F'!$W$14</c15:f>
                      <c15:dlblFieldTableCache>
                        <c:ptCount val="1"/>
                        <c:pt idx="0">
                          <c:v>4,777</c:v>
                        </c:pt>
                      </c15:dlblFieldTableCache>
                    </c15:dlblFTEntry>
                  </c15:dlblFieldTable>
                  <c15:showDataLabelsRange val="0"/>
                </c:ext>
                <c:ext xmlns:c16="http://schemas.microsoft.com/office/drawing/2014/chart" uri="{C3380CC4-5D6E-409C-BE32-E72D297353CC}">
                  <c16:uniqueId val="{0000000A-2D94-49E0-BE8B-2481DD3FD2DE}"/>
                </c:ext>
              </c:extLst>
            </c:dLbl>
            <c:dLbl>
              <c:idx val="3"/>
              <c:tx>
                <c:strRef>
                  <c:f>'C06F'!$W$15</c:f>
                  <c:strCache>
                    <c:ptCount val="1"/>
                    <c:pt idx="0">
                      <c:v>2,830</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{751718FF-CDD6-4EEB-AB57-EC43BB592379}</c15:txfldGUID>
                      <c15:f>'C06F'!$W$15</c15:f>
                      <c15:dlblFieldTableCache>
                        <c:ptCount val="1"/>
                        <c:pt idx="0">
                          <c:v>2,830</c:v>
                        </c:pt>
                      </c15:dlblFieldTableCache>
                    </c15:dlblFTEntry>
                  </c15:dlblFieldTable>
                  <c15:showDataLabelsRange val="0"/>
                </c:ext>
                <c:ext xmlns:c16="http://schemas.microsoft.com/office/drawing/2014/chart" uri="{C3380CC4-5D6E-409C-BE32-E72D297353CC}">
                  <c16:uniqueId val="{0000000B-2D94-49E0-BE8B-2481DD3FD2DE}"/>
                </c:ext>
              </c:extLst>
            </c:dLbl>
            <c:dLbl>
              <c:idx val="4"/>
              <c:tx>
                <c:strRef>
                  <c:f>'C06F'!$W$16</c:f>
                  <c:strCache>
                    <c:ptCount val="1"/>
                    <c:pt idx="0">
                      <c:v>3,359</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{6B6EDBFA-5264-414D-8E34-6836D964F25B}</c15:txfldGUID>
                      <c15:f>'C06F'!$W$16</c15:f>
                      <c15:dlblFieldTableCache>
                        <c:ptCount val="1"/>
                        <c:pt idx="0">
                          <c:v>3,359</c:v>
                        </c:pt>
                      </c15:dlblFieldTableCache>
                    </c15:dlblFTEntry>
                  </c15:dlblFieldTable>
                  <c15:showDataLabelsRange val="0"/>
                </c:ext>
                <c:ext xmlns:c16="http://schemas.microsoft.com/office/drawing/2014/chart" uri="{C3380CC4-5D6E-409C-BE32-E72D297353CC}">
                  <c16:uniqueId val="{0000000C-2D94-49E0-BE8B-2481DD3FD2DE}"/>
                </c:ext>
              </c:extLst>
            </c:dLbl>
            <c:dLbl>
              <c:idx val="5"/>
              <c:tx>
                <c:strRef>
                  <c:f>'C06F'!$W$17</c:f>
                  <c:strCache>
                    <c:ptCount val="1"/>
                    <c:pt idx="0">
                      <c:v>4,084</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{9F9DAD22-56F8-4368-8E7B-7804233A6326}</c15:txfldGUID>
                      <c15:f>'C06F'!$W$17</c15:f>
                      <c15:dlblFieldTableCache>
                        <c:ptCount val="1"/>
                        <c:pt idx="0">
                          <c:v>4,084</c:v>
                        </c:pt>
                      </c15:dlblFieldTableCache>
                    </c15:dlblFTEntry>
                  </c15:dlblFieldTable>
                  <c15:showDataLabelsRange val="0"/>
                </c:ext>
                <c:ext xmlns:c16="http://schemas.microsoft.com/office/drawing/2014/chart" uri="{C3380CC4-5D6E-409C-BE32-E72D297353CC}">
                  <c16:uniqueId val="{0000000D-2D94-49E0-BE8B-2481DD3FD2DE}"/>
                </c:ext>
              </c:extLst>
            </c:dLbl>
            <c:dLbl>
              <c:idx val="6"/>
              <c:tx>
                <c:strRef>
                  <c:f>'C06F'!$W$18</c:f>
                  <c:strCache>
                    <c:ptCount val="1"/>
                    <c:pt idx="0">
                      <c:v>2,445</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{D8668F8E-F841-4BA4-A9B4-65497F93CF15}</c15:txfldGUID>
                      <c15:f>'C06F'!$W$18</c15:f>
                      <c15:dlblFieldTableCache>
                        <c:ptCount val="1"/>
                        <c:pt idx="0">
                          <c:v>2,445</c:v>
                        </c:pt>
                      </c15:dlblFieldTableCache>
                    </c15:dlblFTEntry>
                  </c15:dlblFieldTable>
                  <c15:showDataLabelsRange val="0"/>
                </c:ext>
                <c:ext xmlns:c16="http://schemas.microsoft.com/office/drawing/2014/chart" uri="{C3380CC4-5D6E-409C-BE32-E72D297353CC}">
                  <c16:uniqueId val="{0000000E-2D94-49E0-BE8B-2481DD3FD2DE}"/>
                </c:ext>
              </c:extLst>
            </c:dLbl>
            <c:dLbl>
              <c:idx val="7"/>
              <c:tx>
                <c:strRef>
                  <c:f>'C06F'!$W$19</c:f>
                  <c:strCache>
                    <c:ptCount val="1"/>
                    <c:pt idx="0">
                      <c:v>2,240</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{54031D6D-BDD8-4CB8-A3E1-F29907C747D7}</c15:txfldGUID>
                      <c15:f>'C06F'!$W$19</c15:f>
                      <c15:dlblFieldTableCache>
                        <c:ptCount val="1"/>
                        <c:pt idx="0">
                          <c:v>2,240</c:v>
                        </c:pt>
                      </c15:dlblFieldTableCache>
                    </c15:dlblFTEntry>
                  </c15:dlblFieldTable>
                  <c15:showDataLabelsRange val="0"/>
                </c:ext>
                <c:ext xmlns:c16="http://schemas.microsoft.com/office/drawing/2014/chart" uri="{C3380CC4-5D6E-409C-BE32-E72D297353CC}">
                  <c16:uniqueId val="{0000000F-2D94-49E0-BE8B-2481DD3FD2DE}"/>
                </c:ext>
              </c:extLst>
            </c:dLbl>
            <c:dLbl>
              <c:idx val="8"/>
              <c:tx>
                <c:strRef>
                  <c:f>'C06F'!$W$20</c:f>
                  <c:strCache>
                    <c:ptCount val="1"/>
                    <c:pt idx="0">
                      <c:v>2,414</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{F71958EC-AF33-4922-BCAB-F57BEB1914EF}</c15:txfldGUID>
                      <c15:f>'C06F'!$W$20</c15:f>
                      <c15:dlblFieldTableCache>
                        <c:ptCount val="1"/>
                        <c:pt idx="0">
                          <c:v>2,414</c:v>
                        </c:pt>
                      </c15:dlblFieldTableCache>
                    </c15:dlblFTEntry>
                  </c15:dlblFieldTable>
                  <c15:showDataLabelsRange val="0"/>
                </c:ext>
                <c:ext xmlns:c16="http://schemas.microsoft.com/office/drawing/2014/chart" uri="{C3380CC4-5D6E-409C-BE32-E72D297353CC}">
                  <c16:uniqueId val="{00000010-2D94-49E0-BE8B-2481DD3FD2DE}"/>
                </c:ext>
              </c:extLst>
            </c:dLbl>
            <c:dLbl>
              <c:idx val="9"/>
              <c:tx>
                <c:strRef>
                  <c:f>'C06F'!$W$21</c:f>
                  <c:strCache>
                    <c:ptCount val="1"/>
                    <c:pt idx="0">
                      <c:v>2,775</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{99E518BB-9DEC-4BAA-9EE6-9D35A1A00192}</c15:txfldGUID>
                      <c15:f>'C06F'!$W$21</c15:f>
                      <c15:dlblFieldTableCache>
                        <c:ptCount val="1"/>
                        <c:pt idx="0">
                          <c:v>2,775</c:v>
                        </c:pt>
                      </c15:dlblFieldTableCache>
                    </c15:dlblFTEntry>
                  </c15:dlblFieldTable>
                  <c15:showDataLabelsRange val="0"/>
                </c:ext>
                <c:ext xmlns:c16="http://schemas.microsoft.com/office/drawing/2014/chart" uri="{C3380CC4-5D6E-409C-BE32-E72D297353CC}">
                  <c16:uniqueId val="{00000011-2D94-49E0-BE8B-2481DD3FD2DE}"/>
                </c:ext>
              </c:extLst>
            </c:dLbl>
            <c:dLbl>
              <c:idx val="10"/>
              <c:tx>
                <c:strRef>
                  <c:f>'C06F'!$W$22</c:f>
                  <c:strCache>
                    <c:ptCount val="1"/>
                    <c:pt idx="0">
                      <c:v>10,261</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{F1F9E684-E4FC-4BFA-8E7B-C5E881127B89}</c15:txfldGUID>
                      <c15:f>'C06F'!$W$22</c15:f>
                      <c15:dlblFieldTableCache>
                        <c:ptCount val="1"/>
                        <c:pt idx="0">
                          <c:v>10,261</c:v>
                        </c:pt>
                      </c15:dlblFieldTableCache>
                    </c15:dlblFTEntry>
                  </c15:dlblFieldTable>
                  <c15:showDataLabelsRange val="0"/>
                </c:ext>
                <c:ext xmlns:c16="http://schemas.microsoft.com/office/drawing/2014/chart" uri="{C3380CC4-5D6E-409C-BE32-E72D297353CC}">
                  <c16:uniqueId val="{00000012-2D94-49E0-BE8B-2481DD3FD2DE}"/>
                </c:ext>
              </c:extLst>
            </c:dLbl>
            <c:dLbl>
              <c:idx val="11"/>
              <c:tx>
                <c:strRef>
                  <c:f>'C06F'!$W$23</c:f>
                  <c:strCache>
                    <c:ptCount val="1"/>
                    <c:pt idx="0">
                      <c:v>37,674</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{F6FD0DE0-6261-4348-9DAC-E05F4E9A2B1C}</c15:txfldGUID>
                      <c15:f>'C06F'!$W$23</c15:f>
                      <c15:dlblFieldTableCache>
                        <c:ptCount val="1"/>
                        <c:pt idx="0">
                          <c:v>37,674</c:v>
                        </c:pt>
                      </c15:dlblFieldTableCache>
                    </c15:dlblFTEntry>
                  </c15:dlblFieldTable>
                  <c15:showDataLabelsRange val="0"/>
                </c:ext>
                <c:ext xmlns:c16="http://schemas.microsoft.com/office/drawing/2014/chart" uri="{C3380CC4-5D6E-409C-BE32-E72D297353CC}">
                  <c16:uniqueId val="{00000013-2D94-49E0-BE8B-2481DD3FD2DE}"/>
                </c:ext>
              </c:extLst>
            </c:dLbl>
            <c:dLbl>
              <c:idx val="12"/>
              <c:delete val="1"/>
              <c:extLst>
                <c:ext xmlns:c15="http://schemas.microsoft.com/office/drawing/2012/chart" uri="{CE6537A1-D6FC-4f65-9D91-7224C49458BB}"/>
                <c:ext xmlns:c16="http://schemas.microsoft.com/office/drawing/2014/chart" uri="{C3380CC4-5D6E-409C-BE32-E72D297353CC}">
                  <c16:uniqueId val="{00000014-2D94-49E0-BE8B-2481DD3FD2DE}"/>
                </c:ext>
              </c:extLst>
            </c:dLbl>
            <c:dLbl>
              <c:idx val="13"/>
              <c:delete val="1"/>
              <c:extLst>
                <c:ext xmlns:c15="http://schemas.microsoft.com/office/drawing/2012/chart" uri="{CE6537A1-D6FC-4f65-9D91-7224C49458BB}"/>
                <c:ext xmlns:c16="http://schemas.microsoft.com/office/drawing/2014/chart" uri="{C3380CC4-5D6E-409C-BE32-E72D297353CC}">
                  <c16:uniqueId val="{00000015-2D94-49E0-BE8B-2481DD3FD2DE}"/>
                </c:ext>
              </c:extLst>
            </c:dLbl>
            <c:dLbl>
              <c:idx val="14"/>
              <c:delete val="1"/>
              <c:extLst>
                <c:ext xmlns:c15="http://schemas.microsoft.com/office/drawing/2012/chart" uri="{CE6537A1-D6FC-4f65-9D91-7224C49458BB}"/>
                <c:ext xmlns:c16="http://schemas.microsoft.com/office/drawing/2014/chart" uri="{C3380CC4-5D6E-409C-BE32-E72D297353CC}">
                  <c16:uniqueId val="{00000016-2D94-49E0-BE8B-2481DD3FD2DE}"/>
                </c:ext>
              </c:extLst>
            </c:dLbl>
            <c:dLbl>
              <c:idx val="15"/>
              <c:delete val="1"/>
              <c:extLst>
                <c:ext xmlns:c15="http://schemas.microsoft.com/office/drawing/2012/chart" uri="{CE6537A1-D6FC-4f65-9D91-7224C49458BB}"/>
                <c:ext xmlns:c16="http://schemas.microsoft.com/office/drawing/2014/chart" uri="{C3380CC4-5D6E-409C-BE32-E72D297353CC}">
                  <c16:uniqueId val="{00000017-2D94-49E0-BE8B-2481DD3FD2DE}"/>
                </c:ext>
              </c:extLst>
            </c:dLbl>
            <c:dLbl>
              <c:idx val="16"/>
              <c:delete val="1"/>
              <c:extLst>
                <c:ext xmlns:c15="http://schemas.microsoft.com/office/drawing/2012/chart" uri="{CE6537A1-D6FC-4f65-9D91-7224C49458BB}"/>
                <c:ext xmlns:c16="http://schemas.microsoft.com/office/drawing/2014/chart" uri="{C3380CC4-5D6E-409C-BE32-E72D297353CC}">
                  <c16:uniqueId val="{00000018-2D94-49E0-BE8B-2481DD3FD2DE}"/>
                </c:ext>
              </c:extLst>
            </c:dLbl>
            <c:dLbl>
              <c:idx val="17"/>
              <c:delete val="1"/>
              <c:extLst>
                <c:ext xmlns:c15="http://schemas.microsoft.com/office/drawing/2012/chart" uri="{CE6537A1-D6FC-4f65-9D91-7224C49458BB}"/>
                <c:ext xmlns:c16="http://schemas.microsoft.com/office/drawing/2014/chart" uri="{C3380CC4-5D6E-409C-BE32-E72D297353CC}">
                  <c16:uniqueId val="{00000019-2D94-49E0-BE8B-2481DD3FD2DE}"/>
                </c:ext>
              </c:extLst>
            </c:dLbl>
            <c:dLbl>
              <c:idx val="18"/>
              <c:delete val="1"/>
              <c:extLst>
                <c:ext xmlns:c15="http://schemas.microsoft.com/office/drawing/2012/chart" uri="{CE6537A1-D6FC-4f65-9D91-7224C49458BB}"/>
                <c:ext xmlns:c16="http://schemas.microsoft.com/office/drawing/2014/chart" uri="{C3380CC4-5D6E-409C-BE32-E72D297353CC}">
                  <c16:uniqueId val="{0000001A-2D94-49E0-BE8B-2481DD3FD2DE}"/>
                </c:ext>
              </c:extLst>
            </c:dLbl>
            <c:dLbl>
              <c:idx val="19"/>
              <c:delete val="1"/>
              <c:extLst>
                <c:ext xmlns:c15="http://schemas.microsoft.com/office/drawing/2012/chart" uri="{CE6537A1-D6FC-4f65-9D91-7224C49458BB}"/>
                <c:ext xmlns:c16="http://schemas.microsoft.com/office/drawing/2014/chart" uri="{C3380CC4-5D6E-409C-BE32-E72D297353CC}">
                  <c16:uniqueId val="{0000001B-2D94-49E0-BE8B-2481DD3FD2DE}"/>
                </c:ext>
              </c:extLst>
            </c:dLbl>
            <c:numFmt formatCode="#,##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'C06F'!$A$12:$A$31</c:f>
              <c:strCache>
                <c:ptCount val="14"/>
                <c:pt idx="0">
                  <c:v>PY</c:v>
                </c:pt>
                <c:pt idx="1">
                  <c:v>Texas</c:v>
                </c:pt>
                <c:pt idx="2">
                  <c:v>California</c:v>
                </c:pt>
                <c:pt idx="3">
                  <c:v>New Jersey</c:v>
                </c:pt>
                <c:pt idx="4">
                  <c:v>New York</c:v>
                </c:pt>
                <c:pt idx="5">
                  <c:v>Georgia</c:v>
                </c:pt>
                <c:pt idx="6">
                  <c:v>Ohio</c:v>
                </c:pt>
                <c:pt idx="7">
                  <c:v>Arizona</c:v>
                </c:pt>
                <c:pt idx="8">
                  <c:v>Pennsylvania</c:v>
                </c:pt>
                <c:pt idx="9">
                  <c:v>Michigan</c:v>
                </c:pt>
                <c:pt idx="10">
                  <c:v>Florida</c:v>
                </c:pt>
                <c:pt idx="11">
                  <c:v>All other</c:v>
                </c:pt>
                <c:pt idx="12">
                  <c:v>AC</c:v>
                </c:pt>
                <c:pt idx="13">
                  <c:v>ΔPY</c:v>
                </c:pt>
              </c:strCache>
            </c:strRef>
          </c:cat>
          <c:val>
            <c:numRef>
              <c:f>'C06F'!$V$12:$V$31</c:f>
              <c:numCache>
                <c:formatCode>0.000000</c:formatCode>
                <c:ptCount val="20"/>
                <c:pt idx="0">
                  <c:v>0</c:v>
                </c:pt>
                <c:pt idx="1">
                  <c:v>0.12401712073484503</c:v>
                </c:pt>
                <c:pt idx="2">
                  <c:v>5.743381345131892E-2</c:v>
                </c:pt>
                <c:pt idx="3">
                  <c:v>3.4025055906893982E-2</c:v>
                </c:pt>
                <c:pt idx="4">
                  <c:v>4.038521653401303E-2</c:v>
                </c:pt>
                <c:pt idx="5">
                  <c:v>4.9101882799913434E-2</c:v>
                </c:pt>
                <c:pt idx="6">
                  <c:v>2.9396205545002045E-2</c:v>
                </c:pt>
                <c:pt idx="7">
                  <c:v>2.6931493014643999E-2</c:v>
                </c:pt>
                <c:pt idx="8">
                  <c:v>2.9023492918460094E-2</c:v>
                </c:pt>
                <c:pt idx="9">
                  <c:v>3.3363791569480848E-2</c:v>
                </c:pt>
                <c:pt idx="10">
                  <c:v>0.12336787938538486</c:v>
                </c:pt>
                <c:pt idx="11">
                  <c:v>0.45295404814004375</c:v>
                </c:pt>
                <c:pt idx="12">
                  <c:v>0</c:v>
                </c:pt>
                <c:pt idx="13">
                  <c:v>0</c:v>
                </c:pt>
              </c:numCache>
            </c:numRef>
          </c:val>
          <c:extLst>
            <c:ext xmlns:c16="http://schemas.microsoft.com/office/drawing/2014/chart" uri="{C3380CC4-5D6E-409C-BE32-E72D297353CC}">
              <c16:uniqueId val="{00000007-2D94-49E0-BE8B-2481DD3FD2DE}"/>
            </c:ext>
          </c:extLst>
        </c:ser>
        <c:ser>
          <c:idx val="1"/>
          <c:order val="1"/>
          <c:tx>
            <c:v>PY short</c:v>
          </c:tx>
          <c:spPr>
            <a:solidFill>
              <a:srgbClr val="A6A6A6"/>
            </a:solidFill>
            <a:ln>
              <a:noFill/>
            </a:ln>
            <a:effectLst/>
            <a:extLst>
              <a:ext uri="{91240B29-F687-4F45-9708-019B960494DF}">
                <a14:hiddenLine xmlns:a14="http://schemas.microsoft.com/office/drawing/2010/main">
                  <a:noFill/>
                </a14:hiddenLine>
              </a:ext>
            </a:extLst>
          </c:spPr>
          <c:invertIfNegative val="0"/>
          <c:cat>
            <c:strRef>
              <c:f>'C06F'!$A$12:$A$31</c:f>
              <c:strCache>
                <c:ptCount val="14"/>
                <c:pt idx="0">
                  <c:v>PY</c:v>
                </c:pt>
                <c:pt idx="1">
                  <c:v>Texas</c:v>
                </c:pt>
                <c:pt idx="2">
                  <c:v>California</c:v>
                </c:pt>
                <c:pt idx="3">
                  <c:v>New Jersey</c:v>
                </c:pt>
                <c:pt idx="4">
                  <c:v>New York</c:v>
                </c:pt>
                <c:pt idx="5">
                  <c:v>Georgia</c:v>
                </c:pt>
                <c:pt idx="6">
                  <c:v>Ohio</c:v>
                </c:pt>
                <c:pt idx="7">
                  <c:v>Arizona</c:v>
                </c:pt>
                <c:pt idx="8">
                  <c:v>Pennsylvania</c:v>
                </c:pt>
                <c:pt idx="9">
                  <c:v>Michigan</c:v>
                </c:pt>
                <c:pt idx="10">
                  <c:v>Florida</c:v>
                </c:pt>
                <c:pt idx="11">
                  <c:v>All other</c:v>
                </c:pt>
                <c:pt idx="12">
                  <c:v>AC</c:v>
                </c:pt>
                <c:pt idx="13">
                  <c:v>ΔPY</c:v>
                </c:pt>
              </c:strCache>
            </c:strRef>
          </c:cat>
          <c:val>
            <c:numRef>
              <c:f>'C06F'!$X$12:$X$31</c:f>
              <c:numCache>
                <c:formatCode>0.000000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C-2D94-49E0-BE8B-2481DD3FD2DE}"/>
            </c:ext>
          </c:extLst>
        </c:ser>
        <c:ser>
          <c:idx val="2"/>
          <c:order val="2"/>
          <c:tx>
            <c:v>PL bar</c:v>
          </c:tx>
          <c:spPr>
            <a:solidFill>
              <a:srgbClr val="FFFFFF"/>
            </a:solidFill>
            <a:ln w="9525">
              <a:solidFill>
                <a:srgbClr val="404040"/>
              </a:solidFill>
            </a:ln>
          </c:spPr>
          <c:invertIfNegative val="0"/>
          <c:cat>
            <c:strRef>
              <c:f>'C06F'!$A$12:$A$31</c:f>
              <c:strCache>
                <c:ptCount val="14"/>
                <c:pt idx="0">
                  <c:v>PY</c:v>
                </c:pt>
                <c:pt idx="1">
                  <c:v>Texas</c:v>
                </c:pt>
                <c:pt idx="2">
                  <c:v>California</c:v>
                </c:pt>
                <c:pt idx="3">
                  <c:v>New Jersey</c:v>
                </c:pt>
                <c:pt idx="4">
                  <c:v>New York</c:v>
                </c:pt>
                <c:pt idx="5">
                  <c:v>Georgia</c:v>
                </c:pt>
                <c:pt idx="6">
                  <c:v>Ohio</c:v>
                </c:pt>
                <c:pt idx="7">
                  <c:v>Arizona</c:v>
                </c:pt>
                <c:pt idx="8">
                  <c:v>Pennsylvania</c:v>
                </c:pt>
                <c:pt idx="9">
                  <c:v>Michigan</c:v>
                </c:pt>
                <c:pt idx="10">
                  <c:v>Florida</c:v>
                </c:pt>
                <c:pt idx="11">
                  <c:v>All other</c:v>
                </c:pt>
                <c:pt idx="12">
                  <c:v>AC</c:v>
                </c:pt>
                <c:pt idx="13">
                  <c:v>ΔPY</c:v>
                </c:pt>
              </c:strCache>
            </c:strRef>
          </c:cat>
          <c:val>
            <c:numRef>
              <c:f>'C06F'!$Y$12:$Y$31</c:f>
              <c:numCache>
                <c:formatCode>0.000000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D-2D94-49E0-BE8B-2481DD3FD2DE}"/>
            </c:ext>
          </c:extLst>
        </c:ser>
        <c:ser>
          <c:idx val="3"/>
          <c:order val="3"/>
          <c:tx>
            <c:v>PY bar</c:v>
          </c:tx>
          <c:spPr>
            <a:solidFill>
              <a:srgbClr val="A6A6A6"/>
            </a:solidFill>
            <a:ln>
              <a:noFill/>
            </a:ln>
            <a:effectLst/>
            <a:extLst>
              <a:ext uri="{91240B29-F687-4F45-9708-019B960494DF}">
                <a14:hiddenLine xmlns:a14="http://schemas.microsoft.com/office/drawing/2010/main">
                  <a:noFill/>
                </a14:hiddenLine>
              </a:ext>
            </a:extLst>
          </c:spPr>
          <c:invertIfNegative val="0"/>
          <c:dLbls>
            <c:dLbl>
              <c:idx val="0"/>
              <c:tx>
                <c:strRef>
                  <c:f>'C06F'!$AB$12</c:f>
                  <c:strCache>
                    <c:ptCount val="1"/>
                    <c:pt idx="0">
                      <c:v>74,424</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{A87B7D04-3152-4129-A197-7B58ED9162DD}</c15:txfldGUID>
                      <c15:f>'C06F'!$AB$12</c15:f>
                      <c15:dlblFieldTableCache>
                        <c:ptCount val="1"/>
                        <c:pt idx="0">
                          <c:v>74,424</c:v>
                        </c:pt>
                      </c15:dlblFieldTableCache>
                    </c15:dlblFTEntry>
                  </c15:dlblFieldTable>
                  <c15:showDataLabelsRange val="0"/>
                </c:ext>
                <c:ext xmlns:c16="http://schemas.microsoft.com/office/drawing/2014/chart" uri="{C3380CC4-5D6E-409C-BE32-E72D297353CC}">
                  <c16:uniqueId val="{00000033-2D94-49E0-BE8B-2481DD3FD2DE}"/>
                </c:ext>
              </c:extLst>
            </c:dLbl>
            <c:dLbl>
              <c:idx val="1"/>
              <c:delete val="1"/>
              <c:extLst>
                <c:ext xmlns:c15="http://schemas.microsoft.com/office/drawing/2012/chart" uri="{CE6537A1-D6FC-4f65-9D91-7224C49458BB}"/>
                <c:ext xmlns:c16="http://schemas.microsoft.com/office/drawing/2014/chart" uri="{C3380CC4-5D6E-409C-BE32-E72D297353CC}">
                  <c16:uniqueId val="{00000034-2D94-49E0-BE8B-2481DD3FD2DE}"/>
                </c:ext>
              </c:extLst>
            </c:dLbl>
            <c:dLbl>
              <c:idx val="2"/>
              <c:delete val="1"/>
              <c:extLst>
                <c:ext xmlns:c15="http://schemas.microsoft.com/office/drawing/2012/chart" uri="{CE6537A1-D6FC-4f65-9D91-7224C49458BB}"/>
                <c:ext xmlns:c16="http://schemas.microsoft.com/office/drawing/2014/chart" uri="{C3380CC4-5D6E-409C-BE32-E72D297353CC}">
                  <c16:uniqueId val="{00000035-2D94-49E0-BE8B-2481DD3FD2DE}"/>
                </c:ext>
              </c:extLst>
            </c:dLbl>
            <c:dLbl>
              <c:idx val="3"/>
              <c:delete val="1"/>
              <c:extLst>
                <c:ext xmlns:c15="http://schemas.microsoft.com/office/drawing/2012/chart" uri="{CE6537A1-D6FC-4f65-9D91-7224C49458BB}"/>
                <c:ext xmlns:c16="http://schemas.microsoft.com/office/drawing/2014/chart" uri="{C3380CC4-5D6E-409C-BE32-E72D297353CC}">
                  <c16:uniqueId val="{00000036-2D94-49E0-BE8B-2481DD3FD2DE}"/>
                </c:ext>
              </c:extLst>
            </c:dLbl>
            <c:dLbl>
              <c:idx val="4"/>
              <c:delete val="1"/>
              <c:extLst>
                <c:ext xmlns:c15="http://schemas.microsoft.com/office/drawing/2012/chart" uri="{CE6537A1-D6FC-4f65-9D91-7224C49458BB}"/>
                <c:ext xmlns:c16="http://schemas.microsoft.com/office/drawing/2014/chart" uri="{C3380CC4-5D6E-409C-BE32-E72D297353CC}">
                  <c16:uniqueId val="{00000037-2D94-49E0-BE8B-2481DD3FD2DE}"/>
                </c:ext>
              </c:extLst>
            </c:dLbl>
            <c:dLbl>
              <c:idx val="5"/>
              <c:delete val="1"/>
              <c:extLst>
                <c:ext xmlns:c15="http://schemas.microsoft.com/office/drawing/2012/chart" uri="{CE6537A1-D6FC-4f65-9D91-7224C49458BB}"/>
                <c:ext xmlns:c16="http://schemas.microsoft.com/office/drawing/2014/chart" uri="{C3380CC4-5D6E-409C-BE32-E72D297353CC}">
                  <c16:uniqueId val="{00000038-2D94-49E0-BE8B-2481DD3FD2DE}"/>
                </c:ext>
              </c:extLst>
            </c:dLbl>
            <c:dLbl>
              <c:idx val="6"/>
              <c:delete val="1"/>
              <c:extLst>
                <c:ext xmlns:c15="http://schemas.microsoft.com/office/drawing/2012/chart" uri="{CE6537A1-D6FC-4f65-9D91-7224C49458BB}"/>
                <c:ext xmlns:c16="http://schemas.microsoft.com/office/drawing/2014/chart" uri="{C3380CC4-5D6E-409C-BE32-E72D297353CC}">
                  <c16:uniqueId val="{00000039-2D94-49E0-BE8B-2481DD3FD2DE}"/>
                </c:ext>
              </c:extLst>
            </c:dLbl>
            <c:dLbl>
              <c:idx val="7"/>
              <c:delete val="1"/>
              <c:extLst>
                <c:ext xmlns:c15="http://schemas.microsoft.com/office/drawing/2012/chart" uri="{CE6537A1-D6FC-4f65-9D91-7224C49458BB}"/>
                <c:ext xmlns:c16="http://schemas.microsoft.com/office/drawing/2014/chart" uri="{C3380CC4-5D6E-409C-BE32-E72D297353CC}">
                  <c16:uniqueId val="{0000003A-2D94-49E0-BE8B-2481DD3FD2DE}"/>
                </c:ext>
              </c:extLst>
            </c:dLbl>
            <c:dLbl>
              <c:idx val="8"/>
              <c:delete val="1"/>
              <c:extLst>
                <c:ext xmlns:c15="http://schemas.microsoft.com/office/drawing/2012/chart" uri="{CE6537A1-D6FC-4f65-9D91-7224C49458BB}"/>
                <c:ext xmlns:c16="http://schemas.microsoft.com/office/drawing/2014/chart" uri="{C3380CC4-5D6E-409C-BE32-E72D297353CC}">
                  <c16:uniqueId val="{0000003B-2D94-49E0-BE8B-2481DD3FD2DE}"/>
                </c:ext>
              </c:extLst>
            </c:dLbl>
            <c:dLbl>
              <c:idx val="9"/>
              <c:delete val="1"/>
              <c:extLst>
                <c:ext xmlns:c15="http://schemas.microsoft.com/office/drawing/2012/chart" uri="{CE6537A1-D6FC-4f65-9D91-7224C49458BB}"/>
                <c:ext xmlns:c16="http://schemas.microsoft.com/office/drawing/2014/chart" uri="{C3380CC4-5D6E-409C-BE32-E72D297353CC}">
                  <c16:uniqueId val="{0000003C-2D94-49E0-BE8B-2481DD3FD2DE}"/>
                </c:ext>
              </c:extLst>
            </c:dLbl>
            <c:dLbl>
              <c:idx val="10"/>
              <c:delete val="1"/>
              <c:extLst>
                <c:ext xmlns:c15="http://schemas.microsoft.com/office/drawing/2012/chart" uri="{CE6537A1-D6FC-4f65-9D91-7224C49458BB}"/>
                <c:ext xmlns:c16="http://schemas.microsoft.com/office/drawing/2014/chart" uri="{C3380CC4-5D6E-409C-BE32-E72D297353CC}">
                  <c16:uniqueId val="{0000003D-2D94-49E0-BE8B-2481DD3FD2DE}"/>
                </c:ext>
              </c:extLst>
            </c:dLbl>
            <c:dLbl>
              <c:idx val="11"/>
              <c:delete val="1"/>
              <c:extLst>
                <c:ext xmlns:c15="http://schemas.microsoft.com/office/drawing/2012/chart" uri="{CE6537A1-D6FC-4f65-9D91-7224C49458BB}"/>
                <c:ext xmlns:c16="http://schemas.microsoft.com/office/drawing/2014/chart" uri="{C3380CC4-5D6E-409C-BE32-E72D297353CC}">
                  <c16:uniqueId val="{0000003E-2D94-49E0-BE8B-2481DD3FD2DE}"/>
                </c:ext>
              </c:extLst>
            </c:dLbl>
            <c:dLbl>
              <c:idx val="12"/>
              <c:delete val="1"/>
              <c:extLst>
                <c:ext xmlns:c15="http://schemas.microsoft.com/office/drawing/2012/chart" uri="{CE6537A1-D6FC-4f65-9D91-7224C49458BB}"/>
                <c:ext xmlns:c16="http://schemas.microsoft.com/office/drawing/2014/chart" uri="{C3380CC4-5D6E-409C-BE32-E72D297353CC}">
                  <c16:uniqueId val="{0000003F-2D94-49E0-BE8B-2481DD3FD2DE}"/>
                </c:ext>
              </c:extLst>
            </c:dLbl>
            <c:dLbl>
              <c:idx val="13"/>
              <c:delete val="1"/>
              <c:extLst>
                <c:ext xmlns:c15="http://schemas.microsoft.com/office/drawing/2012/chart" uri="{CE6537A1-D6FC-4f65-9D91-7224C49458BB}"/>
                <c:ext xmlns:c16="http://schemas.microsoft.com/office/drawing/2014/chart" uri="{C3380CC4-5D6E-409C-BE32-E72D297353CC}">
                  <c16:uniqueId val="{00000040-2D94-49E0-BE8B-2481DD3FD2DE}"/>
                </c:ext>
              </c:extLst>
            </c:dLbl>
            <c:dLbl>
              <c:idx val="14"/>
              <c:delete val="1"/>
              <c:extLst>
                <c:ext xmlns:c15="http://schemas.microsoft.com/office/drawing/2012/chart" uri="{CE6537A1-D6FC-4f65-9D91-7224C49458BB}"/>
                <c:ext xmlns:c16="http://schemas.microsoft.com/office/drawing/2014/chart" uri="{C3380CC4-5D6E-409C-BE32-E72D297353CC}">
                  <c16:uniqueId val="{00000041-2D94-49E0-BE8B-2481DD3FD2DE}"/>
                </c:ext>
              </c:extLst>
            </c:dLbl>
            <c:dLbl>
              <c:idx val="15"/>
              <c:delete val="1"/>
              <c:extLst>
                <c:ext xmlns:c15="http://schemas.microsoft.com/office/drawing/2012/chart" uri="{CE6537A1-D6FC-4f65-9D91-7224C49458BB}"/>
                <c:ext xmlns:c16="http://schemas.microsoft.com/office/drawing/2014/chart" uri="{C3380CC4-5D6E-409C-BE32-E72D297353CC}">
                  <c16:uniqueId val="{00000042-2D94-49E0-BE8B-2481DD3FD2DE}"/>
                </c:ext>
              </c:extLst>
            </c:dLbl>
            <c:dLbl>
              <c:idx val="16"/>
              <c:delete val="1"/>
              <c:extLst>
                <c:ext xmlns:c15="http://schemas.microsoft.com/office/drawing/2012/chart" uri="{CE6537A1-D6FC-4f65-9D91-7224C49458BB}"/>
                <c:ext xmlns:c16="http://schemas.microsoft.com/office/drawing/2014/chart" uri="{C3380CC4-5D6E-409C-BE32-E72D297353CC}">
                  <c16:uniqueId val="{00000043-2D94-49E0-BE8B-2481DD3FD2DE}"/>
                </c:ext>
              </c:extLst>
            </c:dLbl>
            <c:dLbl>
              <c:idx val="17"/>
              <c:delete val="1"/>
              <c:extLst>
                <c:ext xmlns:c15="http://schemas.microsoft.com/office/drawing/2012/chart" uri="{CE6537A1-D6FC-4f65-9D91-7224C49458BB}"/>
                <c:ext xmlns:c16="http://schemas.microsoft.com/office/drawing/2014/chart" uri="{C3380CC4-5D6E-409C-BE32-E72D297353CC}">
                  <c16:uniqueId val="{00000044-2D94-49E0-BE8B-2481DD3FD2DE}"/>
                </c:ext>
              </c:extLst>
            </c:dLbl>
            <c:dLbl>
              <c:idx val="18"/>
              <c:delete val="1"/>
              <c:extLst>
                <c:ext xmlns:c15="http://schemas.microsoft.com/office/drawing/2012/chart" uri="{CE6537A1-D6FC-4f65-9D91-7224C49458BB}"/>
                <c:ext xmlns:c16="http://schemas.microsoft.com/office/drawing/2014/chart" uri="{C3380CC4-5D6E-409C-BE32-E72D297353CC}">
                  <c16:uniqueId val="{00000045-2D94-49E0-BE8B-2481DD3FD2DE}"/>
                </c:ext>
              </c:extLst>
            </c:dLbl>
            <c:dLbl>
              <c:idx val="19"/>
              <c:delete val="1"/>
              <c:extLst>
                <c:ext xmlns:c15="http://schemas.microsoft.com/office/drawing/2012/chart" uri="{CE6537A1-D6FC-4f65-9D91-7224C49458BB}"/>
                <c:ext xmlns:c16="http://schemas.microsoft.com/office/drawing/2014/chart" uri="{C3380CC4-5D6E-409C-BE32-E72D297353CC}">
                  <c16:uniqueId val="{00000046-2D94-49E0-BE8B-2481DD3FD2DE}"/>
                </c:ext>
              </c:extLst>
            </c:dLbl>
            <c:numFmt formatCode="#,##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'C06F'!$A$12:$A$31</c:f>
              <c:strCache>
                <c:ptCount val="14"/>
                <c:pt idx="0">
                  <c:v>PY</c:v>
                </c:pt>
                <c:pt idx="1">
                  <c:v>Texas</c:v>
                </c:pt>
                <c:pt idx="2">
                  <c:v>California</c:v>
                </c:pt>
                <c:pt idx="3">
                  <c:v>New Jersey</c:v>
                </c:pt>
                <c:pt idx="4">
                  <c:v>New York</c:v>
                </c:pt>
                <c:pt idx="5">
                  <c:v>Georgia</c:v>
                </c:pt>
                <c:pt idx="6">
                  <c:v>Ohio</c:v>
                </c:pt>
                <c:pt idx="7">
                  <c:v>Arizona</c:v>
                </c:pt>
                <c:pt idx="8">
                  <c:v>Pennsylvania</c:v>
                </c:pt>
                <c:pt idx="9">
                  <c:v>Michigan</c:v>
                </c:pt>
                <c:pt idx="10">
                  <c:v>Florida</c:v>
                </c:pt>
                <c:pt idx="11">
                  <c:v>All other</c:v>
                </c:pt>
                <c:pt idx="12">
                  <c:v>AC</c:v>
                </c:pt>
                <c:pt idx="13">
                  <c:v>ΔPY</c:v>
                </c:pt>
              </c:strCache>
            </c:strRef>
          </c:cat>
          <c:val>
            <c:numRef>
              <c:f>'C06F'!$AA$12:$AA$31</c:f>
              <c:numCache>
                <c:formatCode>0.000000</c:formatCode>
                <c:ptCount val="20"/>
                <c:pt idx="0">
                  <c:v>0.89479885541154691</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32-2D94-49E0-BE8B-2481DD3FD2DE}"/>
            </c:ext>
          </c:extLst>
        </c:ser>
        <c:ser>
          <c:idx val="4"/>
          <c:order val="4"/>
          <c:tx>
            <c:v>AC total</c:v>
          </c:tx>
          <c:spPr>
            <a:solidFill>
              <a:srgbClr val="404040"/>
            </a:solidFill>
            <a:ln>
              <a:noFill/>
            </a:ln>
            <a:effectLst/>
            <a:extLst>
              <a:ext uri="{91240B29-F687-4F45-9708-019B960494DF}">
                <a14:hiddenLine xmlns:a14="http://schemas.microsoft.com/office/drawing/2010/main">
                  <a:noFill/>
                </a14:hiddenLine>
              </a:ext>
            </a:ex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48-2D94-49E0-BE8B-2481DD3FD2DE}"/>
                </c:ext>
              </c:extLst>
            </c:dLbl>
            <c:dLbl>
              <c:idx val="1"/>
              <c:delete val="1"/>
              <c:extLst>
                <c:ext xmlns:c15="http://schemas.microsoft.com/office/drawing/2012/chart" uri="{CE6537A1-D6FC-4f65-9D91-7224C49458BB}"/>
                <c:ext xmlns:c16="http://schemas.microsoft.com/office/drawing/2014/chart" uri="{C3380CC4-5D6E-409C-BE32-E72D297353CC}">
                  <c16:uniqueId val="{00000049-2D94-49E0-BE8B-2481DD3FD2DE}"/>
                </c:ext>
              </c:extLst>
            </c:dLbl>
            <c:dLbl>
              <c:idx val="2"/>
              <c:delete val="1"/>
              <c:extLst>
                <c:ext xmlns:c15="http://schemas.microsoft.com/office/drawing/2012/chart" uri="{CE6537A1-D6FC-4f65-9D91-7224C49458BB}"/>
                <c:ext xmlns:c16="http://schemas.microsoft.com/office/drawing/2014/chart" uri="{C3380CC4-5D6E-409C-BE32-E72D297353CC}">
                  <c16:uniqueId val="{0000004A-2D94-49E0-BE8B-2481DD3FD2DE}"/>
                </c:ext>
              </c:extLst>
            </c:dLbl>
            <c:dLbl>
              <c:idx val="3"/>
              <c:delete val="1"/>
              <c:extLst>
                <c:ext xmlns:c15="http://schemas.microsoft.com/office/drawing/2012/chart" uri="{CE6537A1-D6FC-4f65-9D91-7224C49458BB}"/>
                <c:ext xmlns:c16="http://schemas.microsoft.com/office/drawing/2014/chart" uri="{C3380CC4-5D6E-409C-BE32-E72D297353CC}">
                  <c16:uniqueId val="{0000004B-2D94-49E0-BE8B-2481DD3FD2DE}"/>
                </c:ext>
              </c:extLst>
            </c:dLbl>
            <c:dLbl>
              <c:idx val="4"/>
              <c:delete val="1"/>
              <c:extLst>
                <c:ext xmlns:c15="http://schemas.microsoft.com/office/drawing/2012/chart" uri="{CE6537A1-D6FC-4f65-9D91-7224C49458BB}"/>
                <c:ext xmlns:c16="http://schemas.microsoft.com/office/drawing/2014/chart" uri="{C3380CC4-5D6E-409C-BE32-E72D297353CC}">
                  <c16:uniqueId val="{0000004C-2D94-49E0-BE8B-2481DD3FD2DE}"/>
                </c:ext>
              </c:extLst>
            </c:dLbl>
            <c:dLbl>
              <c:idx val="5"/>
              <c:delete val="1"/>
              <c:extLst>
                <c:ext xmlns:c15="http://schemas.microsoft.com/office/drawing/2012/chart" uri="{CE6537A1-D6FC-4f65-9D91-7224C49458BB}"/>
                <c:ext xmlns:c16="http://schemas.microsoft.com/office/drawing/2014/chart" uri="{C3380CC4-5D6E-409C-BE32-E72D297353CC}">
                  <c16:uniqueId val="{0000004D-2D94-49E0-BE8B-2481DD3FD2DE}"/>
                </c:ext>
              </c:extLst>
            </c:dLbl>
            <c:dLbl>
              <c:idx val="6"/>
              <c:delete val="1"/>
              <c:extLst>
                <c:ext xmlns:c15="http://schemas.microsoft.com/office/drawing/2012/chart" uri="{CE6537A1-D6FC-4f65-9D91-7224C49458BB}"/>
                <c:ext xmlns:c16="http://schemas.microsoft.com/office/drawing/2014/chart" uri="{C3380CC4-5D6E-409C-BE32-E72D297353CC}">
                  <c16:uniqueId val="{0000004E-2D94-49E0-BE8B-2481DD3FD2DE}"/>
                </c:ext>
              </c:extLst>
            </c:dLbl>
            <c:dLbl>
              <c:idx val="7"/>
              <c:delete val="1"/>
              <c:extLst>
                <c:ext xmlns:c15="http://schemas.microsoft.com/office/drawing/2012/chart" uri="{CE6537A1-D6FC-4f65-9D91-7224C49458BB}"/>
                <c:ext xmlns:c16="http://schemas.microsoft.com/office/drawing/2014/chart" uri="{C3380CC4-5D6E-409C-BE32-E72D297353CC}">
                  <c16:uniqueId val="{0000004F-2D94-49E0-BE8B-2481DD3FD2DE}"/>
                </c:ext>
              </c:extLst>
            </c:dLbl>
            <c:dLbl>
              <c:idx val="8"/>
              <c:delete val="1"/>
              <c:extLst>
                <c:ext xmlns:c15="http://schemas.microsoft.com/office/drawing/2012/chart" uri="{CE6537A1-D6FC-4f65-9D91-7224C49458BB}"/>
                <c:ext xmlns:c16="http://schemas.microsoft.com/office/drawing/2014/chart" uri="{C3380CC4-5D6E-409C-BE32-E72D297353CC}">
                  <c16:uniqueId val="{00000050-2D94-49E0-BE8B-2481DD3FD2DE}"/>
                </c:ext>
              </c:extLst>
            </c:dLbl>
            <c:dLbl>
              <c:idx val="9"/>
              <c:delete val="1"/>
              <c:extLst>
                <c:ext xmlns:c15="http://schemas.microsoft.com/office/drawing/2012/chart" uri="{CE6537A1-D6FC-4f65-9D91-7224C49458BB}"/>
                <c:ext xmlns:c16="http://schemas.microsoft.com/office/drawing/2014/chart" uri="{C3380CC4-5D6E-409C-BE32-E72D297353CC}">
                  <c16:uniqueId val="{00000051-2D94-49E0-BE8B-2481DD3FD2DE}"/>
                </c:ext>
              </c:extLst>
            </c:dLbl>
            <c:dLbl>
              <c:idx val="10"/>
              <c:delete val="1"/>
              <c:extLst>
                <c:ext xmlns:c15="http://schemas.microsoft.com/office/drawing/2012/chart" uri="{CE6537A1-D6FC-4f65-9D91-7224C49458BB}"/>
                <c:ext xmlns:c16="http://schemas.microsoft.com/office/drawing/2014/chart" uri="{C3380CC4-5D6E-409C-BE32-E72D297353CC}">
                  <c16:uniqueId val="{00000052-2D94-49E0-BE8B-2481DD3FD2DE}"/>
                </c:ext>
              </c:extLst>
            </c:dLbl>
            <c:dLbl>
              <c:idx val="11"/>
              <c:delete val="1"/>
              <c:extLst>
                <c:ext xmlns:c15="http://schemas.microsoft.com/office/drawing/2012/chart" uri="{CE6537A1-D6FC-4f65-9D91-7224C49458BB}"/>
                <c:ext xmlns:c16="http://schemas.microsoft.com/office/drawing/2014/chart" uri="{C3380CC4-5D6E-409C-BE32-E72D297353CC}">
                  <c16:uniqueId val="{00000053-2D94-49E0-BE8B-2481DD3FD2DE}"/>
                </c:ext>
              </c:extLst>
            </c:dLbl>
            <c:dLbl>
              <c:idx val="12"/>
              <c:tx>
                <c:strRef>
                  <c:f>'C06F'!$AD$24</c:f>
                  <c:strCache>
                    <c:ptCount val="1"/>
                    <c:pt idx="0">
                      <c:v>83,174</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{7AD764A4-1F2A-46AE-9701-B9AFD4D43FB7}</c15:txfldGUID>
                      <c15:f>'C06F'!$AD$24</c15:f>
                      <c15:dlblFieldTableCache>
                        <c:ptCount val="1"/>
                        <c:pt idx="0">
                          <c:v>83,174</c:v>
                        </c:pt>
                      </c15:dlblFieldTableCache>
                    </c15:dlblFTEntry>
                  </c15:dlblFieldTable>
                  <c15:showDataLabelsRange val="0"/>
                </c:ext>
                <c:ext xmlns:c16="http://schemas.microsoft.com/office/drawing/2014/chart" uri="{C3380CC4-5D6E-409C-BE32-E72D297353CC}">
                  <c16:uniqueId val="{00000054-2D94-49E0-BE8B-2481DD3FD2DE}"/>
                </c:ext>
              </c:extLst>
            </c:dLbl>
            <c:dLbl>
              <c:idx val="13"/>
              <c:delete val="1"/>
              <c:extLst>
                <c:ext xmlns:c15="http://schemas.microsoft.com/office/drawing/2012/chart" uri="{CE6537A1-D6FC-4f65-9D91-7224C49458BB}"/>
                <c:ext xmlns:c16="http://schemas.microsoft.com/office/drawing/2014/chart" uri="{C3380CC4-5D6E-409C-BE32-E72D297353CC}">
                  <c16:uniqueId val="{00000055-2D94-49E0-BE8B-2481DD3FD2DE}"/>
                </c:ext>
              </c:extLst>
            </c:dLbl>
            <c:dLbl>
              <c:idx val="14"/>
              <c:delete val="1"/>
              <c:extLst>
                <c:ext xmlns:c15="http://schemas.microsoft.com/office/drawing/2012/chart" uri="{CE6537A1-D6FC-4f65-9D91-7224C49458BB}"/>
                <c:ext xmlns:c16="http://schemas.microsoft.com/office/drawing/2014/chart" uri="{C3380CC4-5D6E-409C-BE32-E72D297353CC}">
                  <c16:uniqueId val="{00000056-2D94-49E0-BE8B-2481DD3FD2DE}"/>
                </c:ext>
              </c:extLst>
            </c:dLbl>
            <c:dLbl>
              <c:idx val="15"/>
              <c:delete val="1"/>
              <c:extLst>
                <c:ext xmlns:c15="http://schemas.microsoft.com/office/drawing/2012/chart" uri="{CE6537A1-D6FC-4f65-9D91-7224C49458BB}"/>
                <c:ext xmlns:c16="http://schemas.microsoft.com/office/drawing/2014/chart" uri="{C3380CC4-5D6E-409C-BE32-E72D297353CC}">
                  <c16:uniqueId val="{00000057-2D94-49E0-BE8B-2481DD3FD2DE}"/>
                </c:ext>
              </c:extLst>
            </c:dLbl>
            <c:dLbl>
              <c:idx val="16"/>
              <c:delete val="1"/>
              <c:extLst>
                <c:ext xmlns:c15="http://schemas.microsoft.com/office/drawing/2012/chart" uri="{CE6537A1-D6FC-4f65-9D91-7224C49458BB}"/>
                <c:ext xmlns:c16="http://schemas.microsoft.com/office/drawing/2014/chart" uri="{C3380CC4-5D6E-409C-BE32-E72D297353CC}">
                  <c16:uniqueId val="{00000058-2D94-49E0-BE8B-2481DD3FD2DE}"/>
                </c:ext>
              </c:extLst>
            </c:dLbl>
            <c:dLbl>
              <c:idx val="17"/>
              <c:delete val="1"/>
              <c:extLst>
                <c:ext xmlns:c15="http://schemas.microsoft.com/office/drawing/2012/chart" uri="{CE6537A1-D6FC-4f65-9D91-7224C49458BB}"/>
                <c:ext xmlns:c16="http://schemas.microsoft.com/office/drawing/2014/chart" uri="{C3380CC4-5D6E-409C-BE32-E72D297353CC}">
                  <c16:uniqueId val="{00000059-2D94-49E0-BE8B-2481DD3FD2DE}"/>
                </c:ext>
              </c:extLst>
            </c:dLbl>
            <c:dLbl>
              <c:idx val="18"/>
              <c:delete val="1"/>
              <c:extLst>
                <c:ext xmlns:c15="http://schemas.microsoft.com/office/drawing/2012/chart" uri="{CE6537A1-D6FC-4f65-9D91-7224C49458BB}"/>
                <c:ext xmlns:c16="http://schemas.microsoft.com/office/drawing/2014/chart" uri="{C3380CC4-5D6E-409C-BE32-E72D297353CC}">
                  <c16:uniqueId val="{0000005A-2D94-49E0-BE8B-2481DD3FD2DE}"/>
                </c:ext>
              </c:extLst>
            </c:dLbl>
            <c:dLbl>
              <c:idx val="19"/>
              <c:delete val="1"/>
              <c:extLst>
                <c:ext xmlns:c15="http://schemas.microsoft.com/office/drawing/2012/chart" uri="{CE6537A1-D6FC-4f65-9D91-7224C49458BB}"/>
                <c:ext xmlns:c16="http://schemas.microsoft.com/office/drawing/2014/chart" uri="{C3380CC4-5D6E-409C-BE32-E72D297353CC}">
                  <c16:uniqueId val="{0000005B-2D94-49E0-BE8B-2481DD3FD2DE}"/>
                </c:ext>
              </c:extLst>
            </c:dLbl>
            <c:numFmt formatCode="#,##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'C06F'!$A$12:$A$31</c:f>
              <c:strCache>
                <c:ptCount val="14"/>
                <c:pt idx="0">
                  <c:v>PY</c:v>
                </c:pt>
                <c:pt idx="1">
                  <c:v>Texas</c:v>
                </c:pt>
                <c:pt idx="2">
                  <c:v>California</c:v>
                </c:pt>
                <c:pt idx="3">
                  <c:v>New Jersey</c:v>
                </c:pt>
                <c:pt idx="4">
                  <c:v>New York</c:v>
                </c:pt>
                <c:pt idx="5">
                  <c:v>Georgia</c:v>
                </c:pt>
                <c:pt idx="6">
                  <c:v>Ohio</c:v>
                </c:pt>
                <c:pt idx="7">
                  <c:v>Arizona</c:v>
                </c:pt>
                <c:pt idx="8">
                  <c:v>Pennsylvania</c:v>
                </c:pt>
                <c:pt idx="9">
                  <c:v>Michigan</c:v>
                </c:pt>
                <c:pt idx="10">
                  <c:v>Florida</c:v>
                </c:pt>
                <c:pt idx="11">
                  <c:v>All other</c:v>
                </c:pt>
                <c:pt idx="12">
                  <c:v>AC</c:v>
                </c:pt>
                <c:pt idx="13">
                  <c:v>ΔPY</c:v>
                </c:pt>
              </c:strCache>
            </c:strRef>
          </c:cat>
          <c:val>
            <c:numRef>
              <c:f>'C06F'!$AC$12:$AC$31</c:f>
              <c:numCache>
                <c:formatCode>0.000000</c:formatCode>
                <c:ptCount val="20"/>
                <c:pt idx="0">
                  <c:v>0</c:v>
                </c:pt>
                <c:pt idx="1">
                  <c:v>0</c:v>
                </c:pt>
                <c:pt idx="2">
                  <c:v>0</c:v>
                </c:pt>
                <c:pt idx="3">
                  <c:v>0</c:v>
                </c:pt>
                <c:pt idx="4">
                  <c:v>0</c:v>
                </c:pt>
                <c:pt idx="5">
                  <c:v>0</c:v>
                </c:pt>
                <c:pt idx="6">
                  <c:v>0</c:v>
                </c:pt>
                <c:pt idx="7">
                  <c:v>0</c:v>
                </c:pt>
                <c:pt idx="8">
                  <c:v>0</c:v>
                </c:pt>
                <c:pt idx="9">
                  <c:v>0</c:v>
                </c:pt>
                <c:pt idx="10">
                  <c:v>0</c:v>
                </c:pt>
                <c:pt idx="11">
                  <c:v>0</c:v>
                </c:pt>
                <c:pt idx="12">
                  <c:v>1</c:v>
                </c:pt>
                <c:pt idx="13">
                  <c:v>0</c:v>
                </c:pt>
              </c:numCache>
            </c:numRef>
          </c:val>
          <c:extLst>
            <c:ext xmlns:c16="http://schemas.microsoft.com/office/drawing/2014/chart" uri="{C3380CC4-5D6E-409C-BE32-E72D297353CC}">
              <c16:uniqueId val="{00000047-2D94-49E0-BE8B-2481DD3FD2DE}"/>
            </c:ext>
          </c:extLst>
        </c:ser>
        <c:dLbls>
          <c:showLegendKey val="0"/>
          <c:showVal val="0"/>
          <c:showCatName val="0"/>
          <c:showSerName val="0"/>
          <c:showPercent val="0"/>
          <c:showBubbleSize val="0"/>
        </c:dLbls>
        <c:gapWidth val="150"/>
        <c:overlap val="100"/>
        <c:axId val="1226658784"/>
        <c:axId val="1096024432"/>
      </c:barChart>
      <c:catAx>
        <c:axId val="1226658784"/>
        <c:scaling>
          <c:orientation val="maxMin"/>
        </c:scaling>
        <c:delete val="0"/>
        <c:axPos val="l"/>
        <c:numFmt formatCode="General" sourceLinked="1"/>
        <c:majorTickMark val="none"/>
        <c:minorTickMark val="none"/>
        <c:tickLblPos val="low"/>
        <c:txPr>
          <a:bodyPr/>
          <a:lstStyle/>
          <a:p>
            <a:pPr>
              <a:defRPr sz="900">
                <a:latin typeface="Arial"/>
                <a:ea typeface="Arial"/>
                <a:cs typeface="Arial"/>
              </a:defRPr>
            </a:pPr>
            <a:endParaRPr lang="en-US"/>
          </a:p>
        </c:txPr>
        <c:crossAx val="1096024432"/>
        <c:crosses val="autoZero"/>
        <c:auto val="1"/>
        <c:lblAlgn val="ctr"/>
        <c:lblOffset val="100"/>
        <c:noMultiLvlLbl val="0"/>
      </c:catAx>
      <c:valAx>
        <c:axId val="1096024432"/>
        <c:scaling>
          <c:orientation val="minMax"/>
          <c:max val="1.02"/>
          <c:min val="0"/>
        </c:scaling>
        <c:delete val="0"/>
        <c:axPos val="b"/>
        <c:numFmt formatCode="0.00000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26658784"/>
        <c:crosses val="max"/>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
          <c:y val="5.5813953488372092E-2"/>
          <c:w val="0.8571428571428571"/>
          <c:h val="0.93023255813953487"/>
        </c:manualLayout>
      </c:layout>
      <c:barChart>
        <c:barDir val="bar"/>
        <c:grouping val="stacked"/>
        <c:varyColors val="0"/>
        <c:ser>
          <c:idx val="0"/>
          <c:order val="0"/>
          <c:tx>
            <c:v>base</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cat>
            <c:strRef>
              <c:f>'C06F'!$A$12:$A$31</c:f>
              <c:strCache>
                <c:ptCount val="14"/>
                <c:pt idx="0">
                  <c:v>PY</c:v>
                </c:pt>
                <c:pt idx="1">
                  <c:v>Texas</c:v>
                </c:pt>
                <c:pt idx="2">
                  <c:v>California</c:v>
                </c:pt>
                <c:pt idx="3">
                  <c:v>New Jersey</c:v>
                </c:pt>
                <c:pt idx="4">
                  <c:v>New York</c:v>
                </c:pt>
                <c:pt idx="5">
                  <c:v>Georgia</c:v>
                </c:pt>
                <c:pt idx="6">
                  <c:v>Ohio</c:v>
                </c:pt>
                <c:pt idx="7">
                  <c:v>Arizona</c:v>
                </c:pt>
                <c:pt idx="8">
                  <c:v>Pennsylvania</c:v>
                </c:pt>
                <c:pt idx="9">
                  <c:v>Michigan</c:v>
                </c:pt>
                <c:pt idx="10">
                  <c:v>Florida</c:v>
                </c:pt>
                <c:pt idx="11">
                  <c:v>All other</c:v>
                </c:pt>
                <c:pt idx="12">
                  <c:v>AC</c:v>
                </c:pt>
                <c:pt idx="13">
                  <c:v>ΔPY</c:v>
                </c:pt>
              </c:strCache>
            </c:strRef>
          </c:cat>
          <c:val>
            <c:numRef>
              <c:f>'C06F'!$AE$12:$AE$31</c:f>
              <c:numCache>
                <c:formatCode>0.000000</c:formatCode>
                <c:ptCount val="20"/>
                <c:pt idx="0">
                  <c:v>0</c:v>
                </c:pt>
                <c:pt idx="1">
                  <c:v>0.89479885541154691</c:v>
                </c:pt>
                <c:pt idx="2">
                  <c:v>0.90290234929184598</c:v>
                </c:pt>
                <c:pt idx="3">
                  <c:v>0.91075336042513289</c:v>
                </c:pt>
                <c:pt idx="4">
                  <c:v>0.91825570490778363</c:v>
                </c:pt>
                <c:pt idx="5">
                  <c:v>0.92461586553490271</c:v>
                </c:pt>
                <c:pt idx="6">
                  <c:v>0.93001418712578454</c:v>
                </c:pt>
                <c:pt idx="7">
                  <c:v>0.93334455478875611</c:v>
                </c:pt>
                <c:pt idx="8">
                  <c:v>0.93636232476495063</c:v>
                </c:pt>
                <c:pt idx="9">
                  <c:v>0.9390314280905091</c:v>
                </c:pt>
                <c:pt idx="10">
                  <c:v>0.94079880731959509</c:v>
                </c:pt>
                <c:pt idx="11">
                  <c:v>0.94126770384976077</c:v>
                </c:pt>
                <c:pt idx="12">
                  <c:v>0</c:v>
                </c:pt>
                <c:pt idx="13">
                  <c:v>0.89479885541154691</c:v>
                </c:pt>
              </c:numCache>
            </c:numRef>
          </c:val>
          <c:extLst>
            <c:ext xmlns:c16="http://schemas.microsoft.com/office/drawing/2014/chart" uri="{C3380CC4-5D6E-409C-BE32-E72D297353CC}">
              <c16:uniqueId val="{00000007-72B5-45D3-A427-4FC00DCA7E7D}"/>
            </c:ext>
          </c:extLst>
        </c:ser>
        <c:ser>
          <c:idx val="1"/>
          <c:order val="1"/>
          <c:tx>
            <c:v>step up</c:v>
          </c:tx>
          <c:spPr>
            <a:solidFill>
              <a:srgbClr val="8CB400"/>
            </a:solidFill>
            <a:ln>
              <a:noFill/>
            </a:ln>
            <a:effectLst/>
            <a:extLst>
              <a:ext uri="{91240B29-F687-4F45-9708-019B960494DF}">
                <a14:hiddenLine xmlns:a14="http://schemas.microsoft.com/office/drawing/2010/main">
                  <a:noFill/>
                </a14:hiddenLine>
              </a:ext>
            </a:ex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9-72B5-45D3-A427-4FC00DCA7E7D}"/>
                </c:ext>
              </c:extLst>
            </c:dLbl>
            <c:dLbl>
              <c:idx val="1"/>
              <c:tx>
                <c:strRef>
                  <c:f>'C06F'!$AG$13</c:f>
                  <c:strCache>
                    <c:ptCount val="1"/>
                    <c:pt idx="0">
                      <c:v>+674</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{34138B94-2828-4E92-B0B3-B45B3369EDD7}</c15:txfldGUID>
                      <c15:f>'C06F'!$AG$13</c15:f>
                      <c15:dlblFieldTableCache>
                        <c:ptCount val="1"/>
                        <c:pt idx="0">
                          <c:v>+674</c:v>
                        </c:pt>
                      </c15:dlblFieldTableCache>
                    </c15:dlblFTEntry>
                  </c15:dlblFieldTable>
                  <c15:showDataLabelsRange val="0"/>
                </c:ext>
                <c:ext xmlns:c16="http://schemas.microsoft.com/office/drawing/2014/chart" uri="{C3380CC4-5D6E-409C-BE32-E72D297353CC}">
                  <c16:uniqueId val="{0000000A-72B5-45D3-A427-4FC00DCA7E7D}"/>
                </c:ext>
              </c:extLst>
            </c:dLbl>
            <c:dLbl>
              <c:idx val="2"/>
              <c:tx>
                <c:strRef>
                  <c:f>'C06F'!$AG$14</c:f>
                  <c:strCache>
                    <c:ptCount val="1"/>
                    <c:pt idx="0">
                      <c:v>+653</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{38BA708B-4486-42DA-ADA0-77828BE64C40}</c15:txfldGUID>
                      <c15:f>'C06F'!$AG$14</c15:f>
                      <c15:dlblFieldTableCache>
                        <c:ptCount val="1"/>
                        <c:pt idx="0">
                          <c:v>+653</c:v>
                        </c:pt>
                      </c15:dlblFieldTableCache>
                    </c15:dlblFTEntry>
                  </c15:dlblFieldTable>
                  <c15:showDataLabelsRange val="0"/>
                </c:ext>
                <c:ext xmlns:c16="http://schemas.microsoft.com/office/drawing/2014/chart" uri="{C3380CC4-5D6E-409C-BE32-E72D297353CC}">
                  <c16:uniqueId val="{0000000B-72B5-45D3-A427-4FC00DCA7E7D}"/>
                </c:ext>
              </c:extLst>
            </c:dLbl>
            <c:dLbl>
              <c:idx val="3"/>
              <c:tx>
                <c:strRef>
                  <c:f>'C06F'!$AG$15</c:f>
                  <c:strCache>
                    <c:ptCount val="1"/>
                    <c:pt idx="0">
                      <c:v>+624</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{906E4AD4-C6DE-4564-B309-6C1ED8AA2B20}</c15:txfldGUID>
                      <c15:f>'C06F'!$AG$15</c15:f>
                      <c15:dlblFieldTableCache>
                        <c:ptCount val="1"/>
                        <c:pt idx="0">
                          <c:v>+624</c:v>
                        </c:pt>
                      </c15:dlblFieldTableCache>
                    </c15:dlblFTEntry>
                  </c15:dlblFieldTable>
                  <c15:showDataLabelsRange val="0"/>
                </c:ext>
                <c:ext xmlns:c16="http://schemas.microsoft.com/office/drawing/2014/chart" uri="{C3380CC4-5D6E-409C-BE32-E72D297353CC}">
                  <c16:uniqueId val="{0000000C-72B5-45D3-A427-4FC00DCA7E7D}"/>
                </c:ext>
              </c:extLst>
            </c:dLbl>
            <c:dLbl>
              <c:idx val="4"/>
              <c:tx>
                <c:strRef>
                  <c:f>'C06F'!$AG$16</c:f>
                  <c:strCache>
                    <c:ptCount val="1"/>
                    <c:pt idx="0">
                      <c:v>+529</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{30288324-4736-4103-ADEA-4260993732C3}</c15:txfldGUID>
                      <c15:f>'C06F'!$AG$16</c15:f>
                      <c15:dlblFieldTableCache>
                        <c:ptCount val="1"/>
                        <c:pt idx="0">
                          <c:v>+529</c:v>
                        </c:pt>
                      </c15:dlblFieldTableCache>
                    </c15:dlblFTEntry>
                  </c15:dlblFieldTable>
                  <c15:showDataLabelsRange val="0"/>
                </c:ext>
                <c:ext xmlns:c16="http://schemas.microsoft.com/office/drawing/2014/chart" uri="{C3380CC4-5D6E-409C-BE32-E72D297353CC}">
                  <c16:uniqueId val="{0000000D-72B5-45D3-A427-4FC00DCA7E7D}"/>
                </c:ext>
              </c:extLst>
            </c:dLbl>
            <c:dLbl>
              <c:idx val="5"/>
              <c:tx>
                <c:strRef>
                  <c:f>'C06F'!$AG$17</c:f>
                  <c:strCache>
                    <c:ptCount val="1"/>
                    <c:pt idx="0">
                      <c:v>+449</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{6E1BF334-A026-4DF4-BF0E-09E3D6C83CF7}</c15:txfldGUID>
                      <c15:f>'C06F'!$AG$17</c15:f>
                      <c15:dlblFieldTableCache>
                        <c:ptCount val="1"/>
                        <c:pt idx="0">
                          <c:v>+449</c:v>
                        </c:pt>
                      </c15:dlblFieldTableCache>
                    </c15:dlblFTEntry>
                  </c15:dlblFieldTable>
                  <c15:showDataLabelsRange val="0"/>
                </c:ext>
                <c:ext xmlns:c16="http://schemas.microsoft.com/office/drawing/2014/chart" uri="{C3380CC4-5D6E-409C-BE32-E72D297353CC}">
                  <c16:uniqueId val="{0000000E-72B5-45D3-A427-4FC00DCA7E7D}"/>
                </c:ext>
              </c:extLst>
            </c:dLbl>
            <c:dLbl>
              <c:idx val="6"/>
              <c:tx>
                <c:strRef>
                  <c:f>'C06F'!$AG$18</c:f>
                  <c:strCache>
                    <c:ptCount val="1"/>
                    <c:pt idx="0">
                      <c:v>+277</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{52267FDD-B570-4555-93C8-930160496AA7}</c15:txfldGUID>
                      <c15:f>'C06F'!$AG$18</c15:f>
                      <c15:dlblFieldTableCache>
                        <c:ptCount val="1"/>
                        <c:pt idx="0">
                          <c:v>+277</c:v>
                        </c:pt>
                      </c15:dlblFieldTableCache>
                    </c15:dlblFTEntry>
                  </c15:dlblFieldTable>
                  <c15:showDataLabelsRange val="0"/>
                </c:ext>
                <c:ext xmlns:c16="http://schemas.microsoft.com/office/drawing/2014/chart" uri="{C3380CC4-5D6E-409C-BE32-E72D297353CC}">
                  <c16:uniqueId val="{0000000F-72B5-45D3-A427-4FC00DCA7E7D}"/>
                </c:ext>
              </c:extLst>
            </c:dLbl>
            <c:dLbl>
              <c:idx val="7"/>
              <c:tx>
                <c:strRef>
                  <c:f>'C06F'!$AG$19</c:f>
                  <c:strCache>
                    <c:ptCount val="1"/>
                    <c:pt idx="0">
                      <c:v>+251</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{84BAE954-4328-4EF2-9189-974737F1C772}</c15:txfldGUID>
                      <c15:f>'C06F'!$AG$19</c15:f>
                      <c15:dlblFieldTableCache>
                        <c:ptCount val="1"/>
                        <c:pt idx="0">
                          <c:v>+251</c:v>
                        </c:pt>
                      </c15:dlblFieldTableCache>
                    </c15:dlblFTEntry>
                  </c15:dlblFieldTable>
                  <c15:showDataLabelsRange val="0"/>
                </c:ext>
                <c:ext xmlns:c16="http://schemas.microsoft.com/office/drawing/2014/chart" uri="{C3380CC4-5D6E-409C-BE32-E72D297353CC}">
                  <c16:uniqueId val="{00000010-72B5-45D3-A427-4FC00DCA7E7D}"/>
                </c:ext>
              </c:extLst>
            </c:dLbl>
            <c:dLbl>
              <c:idx val="8"/>
              <c:tx>
                <c:strRef>
                  <c:f>'C06F'!$AG$20</c:f>
                  <c:strCache>
                    <c:ptCount val="1"/>
                    <c:pt idx="0">
                      <c:v>+222</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{6F031226-655D-4980-B18B-A97C7F05827B}</c15:txfldGUID>
                      <c15:f>'C06F'!$AG$20</c15:f>
                      <c15:dlblFieldTableCache>
                        <c:ptCount val="1"/>
                        <c:pt idx="0">
                          <c:v>+222</c:v>
                        </c:pt>
                      </c15:dlblFieldTableCache>
                    </c15:dlblFTEntry>
                  </c15:dlblFieldTable>
                  <c15:showDataLabelsRange val="0"/>
                </c:ext>
                <c:ext xmlns:c16="http://schemas.microsoft.com/office/drawing/2014/chart" uri="{C3380CC4-5D6E-409C-BE32-E72D297353CC}">
                  <c16:uniqueId val="{00000011-72B5-45D3-A427-4FC00DCA7E7D}"/>
                </c:ext>
              </c:extLst>
            </c:dLbl>
            <c:dLbl>
              <c:idx val="9"/>
              <c:tx>
                <c:strRef>
                  <c:f>'C06F'!$AG$21</c:f>
                  <c:strCache>
                    <c:ptCount val="1"/>
                    <c:pt idx="0">
                      <c:v>+147</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{0F61C299-D2A3-42FA-8956-816F565DE9BB}</c15:txfldGUID>
                      <c15:f>'C06F'!$AG$21</c15:f>
                      <c15:dlblFieldTableCache>
                        <c:ptCount val="1"/>
                        <c:pt idx="0">
                          <c:v>+147</c:v>
                        </c:pt>
                      </c15:dlblFieldTableCache>
                    </c15:dlblFTEntry>
                  </c15:dlblFieldTable>
                  <c15:showDataLabelsRange val="0"/>
                </c:ext>
                <c:ext xmlns:c16="http://schemas.microsoft.com/office/drawing/2014/chart" uri="{C3380CC4-5D6E-409C-BE32-E72D297353CC}">
                  <c16:uniqueId val="{00000012-72B5-45D3-A427-4FC00DCA7E7D}"/>
                </c:ext>
              </c:extLst>
            </c:dLbl>
            <c:dLbl>
              <c:idx val="10"/>
              <c:tx>
                <c:strRef>
                  <c:f>'C06F'!$AG$22</c:f>
                  <c:strCache>
                    <c:ptCount val="1"/>
                    <c:pt idx="0">
                      <c:v>+39</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{84326A0A-54B5-4848-A498-5E92537BBC26}</c15:txfldGUID>
                      <c15:f>'C06F'!$AG$22</c15:f>
                      <c15:dlblFieldTableCache>
                        <c:ptCount val="1"/>
                        <c:pt idx="0">
                          <c:v>+39</c:v>
                        </c:pt>
                      </c15:dlblFieldTableCache>
                    </c15:dlblFTEntry>
                  </c15:dlblFieldTable>
                  <c15:showDataLabelsRange val="0"/>
                </c:ext>
                <c:ext xmlns:c16="http://schemas.microsoft.com/office/drawing/2014/chart" uri="{C3380CC4-5D6E-409C-BE32-E72D297353CC}">
                  <c16:uniqueId val="{00000013-72B5-45D3-A427-4FC00DCA7E7D}"/>
                </c:ext>
              </c:extLst>
            </c:dLbl>
            <c:dLbl>
              <c:idx val="11"/>
              <c:tx>
                <c:strRef>
                  <c:f>'C06F'!$AG$23</c:f>
                  <c:strCache>
                    <c:ptCount val="1"/>
                    <c:pt idx="0">
                      <c:v>+4,885</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{52EA0DB4-064F-499B-B34D-9D445D9CDA74}</c15:txfldGUID>
                      <c15:f>'C06F'!$AG$23</c15:f>
                      <c15:dlblFieldTableCache>
                        <c:ptCount val="1"/>
                        <c:pt idx="0">
                          <c:v>+4,885</c:v>
                        </c:pt>
                      </c15:dlblFieldTableCache>
                    </c15:dlblFTEntry>
                  </c15:dlblFieldTable>
                  <c15:showDataLabelsRange val="0"/>
                </c:ext>
                <c:ext xmlns:c16="http://schemas.microsoft.com/office/drawing/2014/chart" uri="{C3380CC4-5D6E-409C-BE32-E72D297353CC}">
                  <c16:uniqueId val="{00000014-72B5-45D3-A427-4FC00DCA7E7D}"/>
                </c:ext>
              </c:extLst>
            </c:dLbl>
            <c:dLbl>
              <c:idx val="12"/>
              <c:delete val="1"/>
              <c:extLst>
                <c:ext xmlns:c15="http://schemas.microsoft.com/office/drawing/2012/chart" uri="{CE6537A1-D6FC-4f65-9D91-7224C49458BB}"/>
                <c:ext xmlns:c16="http://schemas.microsoft.com/office/drawing/2014/chart" uri="{C3380CC4-5D6E-409C-BE32-E72D297353CC}">
                  <c16:uniqueId val="{00000015-72B5-45D3-A427-4FC00DCA7E7D}"/>
                </c:ext>
              </c:extLst>
            </c:dLbl>
            <c:dLbl>
              <c:idx val="13"/>
              <c:tx>
                <c:strRef>
                  <c:f>'C06F'!$AG$25</c:f>
                  <c:strCache>
                    <c:ptCount val="1"/>
                    <c:pt idx="0">
                      <c:v>+8,750</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{36DF5B9A-402C-4EAA-9F07-D991965E086B}</c15:txfldGUID>
                      <c15:f>'C06F'!$AG$25</c15:f>
                      <c15:dlblFieldTableCache>
                        <c:ptCount val="1"/>
                        <c:pt idx="0">
                          <c:v>+8,750</c:v>
                        </c:pt>
                      </c15:dlblFieldTableCache>
                    </c15:dlblFTEntry>
                  </c15:dlblFieldTable>
                  <c15:showDataLabelsRange val="0"/>
                </c:ext>
                <c:ext xmlns:c16="http://schemas.microsoft.com/office/drawing/2014/chart" uri="{C3380CC4-5D6E-409C-BE32-E72D297353CC}">
                  <c16:uniqueId val="{00000016-72B5-45D3-A427-4FC00DCA7E7D}"/>
                </c:ext>
              </c:extLst>
            </c:dLbl>
            <c:dLbl>
              <c:idx val="14"/>
              <c:delete val="1"/>
              <c:extLst>
                <c:ext xmlns:c15="http://schemas.microsoft.com/office/drawing/2012/chart" uri="{CE6537A1-D6FC-4f65-9D91-7224C49458BB}"/>
                <c:ext xmlns:c16="http://schemas.microsoft.com/office/drawing/2014/chart" uri="{C3380CC4-5D6E-409C-BE32-E72D297353CC}">
                  <c16:uniqueId val="{00000017-72B5-45D3-A427-4FC00DCA7E7D}"/>
                </c:ext>
              </c:extLst>
            </c:dLbl>
            <c:dLbl>
              <c:idx val="15"/>
              <c:delete val="1"/>
              <c:extLst>
                <c:ext xmlns:c15="http://schemas.microsoft.com/office/drawing/2012/chart" uri="{CE6537A1-D6FC-4f65-9D91-7224C49458BB}"/>
                <c:ext xmlns:c16="http://schemas.microsoft.com/office/drawing/2014/chart" uri="{C3380CC4-5D6E-409C-BE32-E72D297353CC}">
                  <c16:uniqueId val="{00000018-72B5-45D3-A427-4FC00DCA7E7D}"/>
                </c:ext>
              </c:extLst>
            </c:dLbl>
            <c:dLbl>
              <c:idx val="16"/>
              <c:delete val="1"/>
              <c:extLst>
                <c:ext xmlns:c15="http://schemas.microsoft.com/office/drawing/2012/chart" uri="{CE6537A1-D6FC-4f65-9D91-7224C49458BB}"/>
                <c:ext xmlns:c16="http://schemas.microsoft.com/office/drawing/2014/chart" uri="{C3380CC4-5D6E-409C-BE32-E72D297353CC}">
                  <c16:uniqueId val="{00000019-72B5-45D3-A427-4FC00DCA7E7D}"/>
                </c:ext>
              </c:extLst>
            </c:dLbl>
            <c:dLbl>
              <c:idx val="17"/>
              <c:delete val="1"/>
              <c:extLst>
                <c:ext xmlns:c15="http://schemas.microsoft.com/office/drawing/2012/chart" uri="{CE6537A1-D6FC-4f65-9D91-7224C49458BB}"/>
                <c:ext xmlns:c16="http://schemas.microsoft.com/office/drawing/2014/chart" uri="{C3380CC4-5D6E-409C-BE32-E72D297353CC}">
                  <c16:uniqueId val="{0000001A-72B5-45D3-A427-4FC00DCA7E7D}"/>
                </c:ext>
              </c:extLst>
            </c:dLbl>
            <c:dLbl>
              <c:idx val="18"/>
              <c:delete val="1"/>
              <c:extLst>
                <c:ext xmlns:c15="http://schemas.microsoft.com/office/drawing/2012/chart" uri="{CE6537A1-D6FC-4f65-9D91-7224C49458BB}"/>
                <c:ext xmlns:c16="http://schemas.microsoft.com/office/drawing/2014/chart" uri="{C3380CC4-5D6E-409C-BE32-E72D297353CC}">
                  <c16:uniqueId val="{0000001B-72B5-45D3-A427-4FC00DCA7E7D}"/>
                </c:ext>
              </c:extLst>
            </c:dLbl>
            <c:dLbl>
              <c:idx val="19"/>
              <c:delete val="1"/>
              <c:extLst>
                <c:ext xmlns:c15="http://schemas.microsoft.com/office/drawing/2012/chart" uri="{CE6537A1-D6FC-4f65-9D91-7224C49458BB}"/>
                <c:ext xmlns:c16="http://schemas.microsoft.com/office/drawing/2014/chart" uri="{C3380CC4-5D6E-409C-BE32-E72D297353CC}">
                  <c16:uniqueId val="{0000001C-72B5-45D3-A427-4FC00DCA7E7D}"/>
                </c:ext>
              </c:extLst>
            </c:dLbl>
            <c:numFmt formatCode="\+#,##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'C06F'!$A$12:$A$31</c:f>
              <c:strCache>
                <c:ptCount val="14"/>
                <c:pt idx="0">
                  <c:v>PY</c:v>
                </c:pt>
                <c:pt idx="1">
                  <c:v>Texas</c:v>
                </c:pt>
                <c:pt idx="2">
                  <c:v>California</c:v>
                </c:pt>
                <c:pt idx="3">
                  <c:v>New Jersey</c:v>
                </c:pt>
                <c:pt idx="4">
                  <c:v>New York</c:v>
                </c:pt>
                <c:pt idx="5">
                  <c:v>Georgia</c:v>
                </c:pt>
                <c:pt idx="6">
                  <c:v>Ohio</c:v>
                </c:pt>
                <c:pt idx="7">
                  <c:v>Arizona</c:v>
                </c:pt>
                <c:pt idx="8">
                  <c:v>Pennsylvania</c:v>
                </c:pt>
                <c:pt idx="9">
                  <c:v>Michigan</c:v>
                </c:pt>
                <c:pt idx="10">
                  <c:v>Florida</c:v>
                </c:pt>
                <c:pt idx="11">
                  <c:v>All other</c:v>
                </c:pt>
                <c:pt idx="12">
                  <c:v>AC</c:v>
                </c:pt>
                <c:pt idx="13">
                  <c:v>ΔPY</c:v>
                </c:pt>
              </c:strCache>
            </c:strRef>
          </c:cat>
          <c:val>
            <c:numRef>
              <c:f>'C06F'!$AF$12:$AF$31</c:f>
              <c:numCache>
                <c:formatCode>0.000000</c:formatCode>
                <c:ptCount val="20"/>
                <c:pt idx="0">
                  <c:v>0</c:v>
                </c:pt>
                <c:pt idx="1">
                  <c:v>8.103493880299132E-3</c:v>
                </c:pt>
                <c:pt idx="2">
                  <c:v>7.8510111332868449E-3</c:v>
                </c:pt>
                <c:pt idx="3">
                  <c:v>7.5023444826508284E-3</c:v>
                </c:pt>
                <c:pt idx="4">
                  <c:v>6.3601606271190513E-3</c:v>
                </c:pt>
                <c:pt idx="5">
                  <c:v>5.3983215908817656E-3</c:v>
                </c:pt>
                <c:pt idx="6">
                  <c:v>3.3303676629716015E-3</c:v>
                </c:pt>
                <c:pt idx="7">
                  <c:v>3.0177699761944838E-3</c:v>
                </c:pt>
                <c:pt idx="8">
                  <c:v>2.6691033255584677E-3</c:v>
                </c:pt>
                <c:pt idx="9">
                  <c:v>1.7673792290860124E-3</c:v>
                </c:pt>
                <c:pt idx="10">
                  <c:v>4.6889653016567677E-4</c:v>
                </c:pt>
                <c:pt idx="11">
                  <c:v>5.8732296150239255E-2</c:v>
                </c:pt>
                <c:pt idx="12">
                  <c:v>0</c:v>
                </c:pt>
                <c:pt idx="13">
                  <c:v>0.10520114458845312</c:v>
                </c:pt>
              </c:numCache>
            </c:numRef>
          </c:val>
          <c:extLst>
            <c:ext xmlns:c16="http://schemas.microsoft.com/office/drawing/2014/chart" uri="{C3380CC4-5D6E-409C-BE32-E72D297353CC}">
              <c16:uniqueId val="{00000008-72B5-45D3-A427-4FC00DCA7E7D}"/>
            </c:ext>
          </c:extLst>
        </c:ser>
        <c:ser>
          <c:idx val="2"/>
          <c:order val="2"/>
          <c:tx>
            <c:v>step down</c:v>
          </c:tx>
          <c:spPr>
            <a:solidFill>
              <a:srgbClr val="FF0000"/>
            </a:solidFill>
            <a:ln>
              <a:noFill/>
            </a:ln>
            <a:effectLst/>
            <a:extLst>
              <a:ext uri="{91240B29-F687-4F45-9708-019B960494DF}">
                <a14:hiddenLine xmlns:a14="http://schemas.microsoft.com/office/drawing/2010/main">
                  <a:noFill/>
                </a14:hiddenLine>
              </a:ext>
            </a:extLst>
          </c:spPr>
          <c:invertIfNegative val="0"/>
          <c:cat>
            <c:strRef>
              <c:f>'C06F'!$A$12:$A$31</c:f>
              <c:strCache>
                <c:ptCount val="14"/>
                <c:pt idx="0">
                  <c:v>PY</c:v>
                </c:pt>
                <c:pt idx="1">
                  <c:v>Texas</c:v>
                </c:pt>
                <c:pt idx="2">
                  <c:v>California</c:v>
                </c:pt>
                <c:pt idx="3">
                  <c:v>New Jersey</c:v>
                </c:pt>
                <c:pt idx="4">
                  <c:v>New York</c:v>
                </c:pt>
                <c:pt idx="5">
                  <c:v>Georgia</c:v>
                </c:pt>
                <c:pt idx="6">
                  <c:v>Ohio</c:v>
                </c:pt>
                <c:pt idx="7">
                  <c:v>Arizona</c:v>
                </c:pt>
                <c:pt idx="8">
                  <c:v>Pennsylvania</c:v>
                </c:pt>
                <c:pt idx="9">
                  <c:v>Michigan</c:v>
                </c:pt>
                <c:pt idx="10">
                  <c:v>Florida</c:v>
                </c:pt>
                <c:pt idx="11">
                  <c:v>All other</c:v>
                </c:pt>
                <c:pt idx="12">
                  <c:v>AC</c:v>
                </c:pt>
                <c:pt idx="13">
                  <c:v>ΔPY</c:v>
                </c:pt>
              </c:strCache>
            </c:strRef>
          </c:cat>
          <c:val>
            <c:numRef>
              <c:f>'C06F'!$AH$12:$AH$31</c:f>
              <c:numCache>
                <c:formatCode>0.000000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1D-72B5-45D3-A427-4FC00DCA7E7D}"/>
            </c:ext>
          </c:extLst>
        </c:ser>
        <c:dLbls>
          <c:showLegendKey val="0"/>
          <c:showVal val="0"/>
          <c:showCatName val="0"/>
          <c:showSerName val="0"/>
          <c:showPercent val="0"/>
          <c:showBubbleSize val="0"/>
        </c:dLbls>
        <c:gapWidth val="150"/>
        <c:overlap val="100"/>
        <c:axId val="1226661104"/>
        <c:axId val="1095902032"/>
      </c:barChart>
      <c:catAx>
        <c:axId val="1226661104"/>
        <c:scaling>
          <c:orientation val="maxMin"/>
        </c:scaling>
        <c:delete val="0"/>
        <c:axPos val="l"/>
        <c:numFmt formatCode="General" sourceLinked="1"/>
        <c:majorTickMark val="none"/>
        <c:minorTickMark val="none"/>
        <c:tickLblPos val="none"/>
        <c:spPr>
          <a:ln w="47625">
            <a:solidFill>
              <a:srgbClr val="808080"/>
            </a:solidFill>
          </a:ln>
        </c:spPr>
        <c:crossAx val="1095902032"/>
        <c:crosses val="autoZero"/>
        <c:auto val="1"/>
        <c:lblAlgn val="ctr"/>
        <c:lblOffset val="100"/>
        <c:noMultiLvlLbl val="0"/>
      </c:catAx>
      <c:valAx>
        <c:axId val="1095902032"/>
        <c:scaling>
          <c:orientation val="minMax"/>
          <c:max val="1.0864903367966825"/>
          <c:min val="0.80830851861486441"/>
        </c:scaling>
        <c:delete val="0"/>
        <c:axPos val="b"/>
        <c:numFmt formatCode="0.00000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26661104"/>
        <c:crosses val="max"/>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
          <c:y val="5.5813953488372092E-2"/>
          <c:w val="0.75000000000000011"/>
          <c:h val="0.93023255813953487"/>
        </c:manualLayout>
      </c:layout>
      <c:barChart>
        <c:barDir val="bar"/>
        <c:grouping val="clustered"/>
        <c:varyColors val="0"/>
        <c:ser>
          <c:idx val="0"/>
          <c:order val="0"/>
          <c:tx>
            <c:v>ΔPY%</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dLbls>
            <c:dLbl>
              <c:idx val="0"/>
              <c:tx>
                <c:strRef>
                  <c:f>'C06F'!$AK$12</c:f>
                  <c:strCache>
                    <c:ptCount val="1"/>
                    <c:pt idx="0">
                      <c:v>+0</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{34CB2AD5-AF4F-4CE0-B380-A890394D7206}</c15:txfldGUID>
                      <c15:f>'C06F'!$AK$12</c15:f>
                      <c15:dlblFieldTableCache>
                        <c:ptCount val="1"/>
                        <c:pt idx="0">
                          <c:v>+0</c:v>
                        </c:pt>
                      </c15:dlblFieldTableCache>
                    </c15:dlblFTEntry>
                  </c15:dlblFieldTable>
                  <c15:showDataLabelsRange val="0"/>
                </c:ext>
                <c:ext xmlns:c16="http://schemas.microsoft.com/office/drawing/2014/chart" uri="{C3380CC4-5D6E-409C-BE32-E72D297353CC}">
                  <c16:uniqueId val="{00000008-BE64-45A2-9248-F1E90159DEB5}"/>
                </c:ext>
              </c:extLst>
            </c:dLbl>
            <c:dLbl>
              <c:idx val="1"/>
              <c:tx>
                <c:strRef>
                  <c:f>'C06F'!$AK$13</c:f>
                  <c:strCache>
                    <c:ptCount val="1"/>
                    <c:pt idx="0">
                      <c:v>+7</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{171D6EA2-1F43-466F-A774-A6045AECD108}</c15:txfldGUID>
                      <c15:f>'C06F'!$AK$13</c15:f>
                      <c15:dlblFieldTableCache>
                        <c:ptCount val="1"/>
                        <c:pt idx="0">
                          <c:v>+7</c:v>
                        </c:pt>
                      </c15:dlblFieldTableCache>
                    </c15:dlblFTEntry>
                  </c15:dlblFieldTable>
                  <c15:showDataLabelsRange val="0"/>
                </c:ext>
                <c:ext xmlns:c16="http://schemas.microsoft.com/office/drawing/2014/chart" uri="{C3380CC4-5D6E-409C-BE32-E72D297353CC}">
                  <c16:uniqueId val="{00000009-BE64-45A2-9248-F1E90159DEB5}"/>
                </c:ext>
              </c:extLst>
            </c:dLbl>
            <c:dLbl>
              <c:idx val="2"/>
              <c:tx>
                <c:strRef>
                  <c:f>'C06F'!$AK$14</c:f>
                  <c:strCache>
                    <c:ptCount val="1"/>
                    <c:pt idx="0">
                      <c:v>+16</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{3991B88B-D9BB-432D-B919-F4680C14B2BE}</c15:txfldGUID>
                      <c15:f>'C06F'!$AK$14</c15:f>
                      <c15:dlblFieldTableCache>
                        <c:ptCount val="1"/>
                        <c:pt idx="0">
                          <c:v>+16</c:v>
                        </c:pt>
                      </c15:dlblFieldTableCache>
                    </c15:dlblFTEntry>
                  </c15:dlblFieldTable>
                  <c15:showDataLabelsRange val="0"/>
                </c:ext>
                <c:ext xmlns:c16="http://schemas.microsoft.com/office/drawing/2014/chart" uri="{C3380CC4-5D6E-409C-BE32-E72D297353CC}">
                  <c16:uniqueId val="{0000000A-BE64-45A2-9248-F1E90159DEB5}"/>
                </c:ext>
              </c:extLst>
            </c:dLbl>
            <c:dLbl>
              <c:idx val="3"/>
              <c:tx>
                <c:strRef>
                  <c:f>'C06F'!$AK$15</c:f>
                  <c:strCache>
                    <c:ptCount val="1"/>
                    <c:pt idx="0">
                      <c:v>+28</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{E2F48C5D-9887-4464-9971-6E8F398E4095}</c15:txfldGUID>
                      <c15:f>'C06F'!$AK$15</c15:f>
                      <c15:dlblFieldTableCache>
                        <c:ptCount val="1"/>
                        <c:pt idx="0">
                          <c:v>+28</c:v>
                        </c:pt>
                      </c15:dlblFieldTableCache>
                    </c15:dlblFTEntry>
                  </c15:dlblFieldTable>
                  <c15:showDataLabelsRange val="0"/>
                </c:ext>
                <c:ext xmlns:c16="http://schemas.microsoft.com/office/drawing/2014/chart" uri="{C3380CC4-5D6E-409C-BE32-E72D297353CC}">
                  <c16:uniqueId val="{0000000B-BE64-45A2-9248-F1E90159DEB5}"/>
                </c:ext>
              </c:extLst>
            </c:dLbl>
            <c:dLbl>
              <c:idx val="4"/>
              <c:tx>
                <c:strRef>
                  <c:f>'C06F'!$AK$16</c:f>
                  <c:strCache>
                    <c:ptCount val="1"/>
                    <c:pt idx="0">
                      <c:v>+19</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{E986FC3D-4C18-4823-95AA-D12FE5A34A6E}</c15:txfldGUID>
                      <c15:f>'C06F'!$AK$16</c15:f>
                      <c15:dlblFieldTableCache>
                        <c:ptCount val="1"/>
                        <c:pt idx="0">
                          <c:v>+19</c:v>
                        </c:pt>
                      </c15:dlblFieldTableCache>
                    </c15:dlblFTEntry>
                  </c15:dlblFieldTable>
                  <c15:showDataLabelsRange val="0"/>
                </c:ext>
                <c:ext xmlns:c16="http://schemas.microsoft.com/office/drawing/2014/chart" uri="{C3380CC4-5D6E-409C-BE32-E72D297353CC}">
                  <c16:uniqueId val="{0000000C-BE64-45A2-9248-F1E90159DEB5}"/>
                </c:ext>
              </c:extLst>
            </c:dLbl>
            <c:dLbl>
              <c:idx val="5"/>
              <c:tx>
                <c:strRef>
                  <c:f>'C06F'!$AK$17</c:f>
                  <c:strCache>
                    <c:ptCount val="1"/>
                    <c:pt idx="0">
                      <c:v>+12</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{8BE4C2E8-7F3E-4CF7-90F2-78289B892DAC}</c15:txfldGUID>
                      <c15:f>'C06F'!$AK$17</c15:f>
                      <c15:dlblFieldTableCache>
                        <c:ptCount val="1"/>
                        <c:pt idx="0">
                          <c:v>+12</c:v>
                        </c:pt>
                      </c15:dlblFieldTableCache>
                    </c15:dlblFTEntry>
                  </c15:dlblFieldTable>
                  <c15:showDataLabelsRange val="0"/>
                </c:ext>
                <c:ext xmlns:c16="http://schemas.microsoft.com/office/drawing/2014/chart" uri="{C3380CC4-5D6E-409C-BE32-E72D297353CC}">
                  <c16:uniqueId val="{0000000D-BE64-45A2-9248-F1E90159DEB5}"/>
                </c:ext>
              </c:extLst>
            </c:dLbl>
            <c:dLbl>
              <c:idx val="6"/>
              <c:tx>
                <c:strRef>
                  <c:f>'C06F'!$AK$18</c:f>
                  <c:strCache>
                    <c:ptCount val="1"/>
                    <c:pt idx="0">
                      <c:v>+13</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{D166812F-2553-4C91-8B8A-4F405F990615}</c15:txfldGUID>
                      <c15:f>'C06F'!$AK$18</c15:f>
                      <c15:dlblFieldTableCache>
                        <c:ptCount val="1"/>
                        <c:pt idx="0">
                          <c:v>+13</c:v>
                        </c:pt>
                      </c15:dlblFieldTableCache>
                    </c15:dlblFTEntry>
                  </c15:dlblFieldTable>
                  <c15:showDataLabelsRange val="0"/>
                </c:ext>
                <c:ext xmlns:c16="http://schemas.microsoft.com/office/drawing/2014/chart" uri="{C3380CC4-5D6E-409C-BE32-E72D297353CC}">
                  <c16:uniqueId val="{0000000E-BE64-45A2-9248-F1E90159DEB5}"/>
                </c:ext>
              </c:extLst>
            </c:dLbl>
            <c:dLbl>
              <c:idx val="7"/>
              <c:tx>
                <c:strRef>
                  <c:f>'C06F'!$AK$19</c:f>
                  <c:strCache>
                    <c:ptCount val="1"/>
                    <c:pt idx="0">
                      <c:v>+13</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{99BFC35B-B221-44DA-A435-AD8F554CBEE9}</c15:txfldGUID>
                      <c15:f>'C06F'!$AK$19</c15:f>
                      <c15:dlblFieldTableCache>
                        <c:ptCount val="1"/>
                        <c:pt idx="0">
                          <c:v>+13</c:v>
                        </c:pt>
                      </c15:dlblFieldTableCache>
                    </c15:dlblFTEntry>
                  </c15:dlblFieldTable>
                  <c15:showDataLabelsRange val="0"/>
                </c:ext>
                <c:ext xmlns:c16="http://schemas.microsoft.com/office/drawing/2014/chart" uri="{C3380CC4-5D6E-409C-BE32-E72D297353CC}">
                  <c16:uniqueId val="{0000000F-BE64-45A2-9248-F1E90159DEB5}"/>
                </c:ext>
              </c:extLst>
            </c:dLbl>
            <c:dLbl>
              <c:idx val="8"/>
              <c:tx>
                <c:strRef>
                  <c:f>'C06F'!$AK$20</c:f>
                  <c:strCache>
                    <c:ptCount val="1"/>
                    <c:pt idx="0">
                      <c:v>+10</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{7362F29C-BCD4-4B1C-BFD0-96BA36D918C8}</c15:txfldGUID>
                      <c15:f>'C06F'!$AK$20</c15:f>
                      <c15:dlblFieldTableCache>
                        <c:ptCount val="1"/>
                        <c:pt idx="0">
                          <c:v>+10</c:v>
                        </c:pt>
                      </c15:dlblFieldTableCache>
                    </c15:dlblFTEntry>
                  </c15:dlblFieldTable>
                  <c15:showDataLabelsRange val="0"/>
                </c:ext>
                <c:ext xmlns:c16="http://schemas.microsoft.com/office/drawing/2014/chart" uri="{C3380CC4-5D6E-409C-BE32-E72D297353CC}">
                  <c16:uniqueId val="{00000010-BE64-45A2-9248-F1E90159DEB5}"/>
                </c:ext>
              </c:extLst>
            </c:dLbl>
            <c:dLbl>
              <c:idx val="9"/>
              <c:tx>
                <c:strRef>
                  <c:f>'C06F'!$AK$21</c:f>
                  <c:strCache>
                    <c:ptCount val="1"/>
                    <c:pt idx="0">
                      <c:v>+6</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{1D6F8116-1135-4243-86B1-5E3D48CC2B21}</c15:txfldGUID>
                      <c15:f>'C06F'!$AK$21</c15:f>
                      <c15:dlblFieldTableCache>
                        <c:ptCount val="1"/>
                        <c:pt idx="0">
                          <c:v>+6</c:v>
                        </c:pt>
                      </c15:dlblFieldTableCache>
                    </c15:dlblFTEntry>
                  </c15:dlblFieldTable>
                  <c15:showDataLabelsRange val="0"/>
                </c:ext>
                <c:ext xmlns:c16="http://schemas.microsoft.com/office/drawing/2014/chart" uri="{C3380CC4-5D6E-409C-BE32-E72D297353CC}">
                  <c16:uniqueId val="{00000011-BE64-45A2-9248-F1E90159DEB5}"/>
                </c:ext>
              </c:extLst>
            </c:dLbl>
            <c:dLbl>
              <c:idx val="10"/>
              <c:tx>
                <c:strRef>
                  <c:f>'C06F'!$AK$22</c:f>
                  <c:strCache>
                    <c:ptCount val="1"/>
                    <c:pt idx="0">
                      <c:v>+0</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{2E0A2E86-ADAD-494A-91BA-6CF7EBAC8F41}</c15:txfldGUID>
                      <c15:f>'C06F'!$AK$22</c15:f>
                      <c15:dlblFieldTableCache>
                        <c:ptCount val="1"/>
                        <c:pt idx="0">
                          <c:v>+0</c:v>
                        </c:pt>
                      </c15:dlblFieldTableCache>
                    </c15:dlblFTEntry>
                  </c15:dlblFieldTable>
                  <c15:showDataLabelsRange val="0"/>
                </c:ext>
                <c:ext xmlns:c16="http://schemas.microsoft.com/office/drawing/2014/chart" uri="{C3380CC4-5D6E-409C-BE32-E72D297353CC}">
                  <c16:uniqueId val="{00000012-BE64-45A2-9248-F1E90159DEB5}"/>
                </c:ext>
              </c:extLst>
            </c:dLbl>
            <c:dLbl>
              <c:idx val="11"/>
              <c:tx>
                <c:strRef>
                  <c:f>'C06F'!$AK$23</c:f>
                  <c:strCache>
                    <c:ptCount val="1"/>
                    <c:pt idx="0">
                      <c:v>+15</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{928E4579-23AC-4A98-BD7D-864B73D693F9}</c15:txfldGUID>
                      <c15:f>'C06F'!$AK$23</c15:f>
                      <c15:dlblFieldTableCache>
                        <c:ptCount val="1"/>
                        <c:pt idx="0">
                          <c:v>+15</c:v>
                        </c:pt>
                      </c15:dlblFieldTableCache>
                    </c15:dlblFTEntry>
                  </c15:dlblFieldTable>
                  <c15:showDataLabelsRange val="0"/>
                </c:ext>
                <c:ext xmlns:c16="http://schemas.microsoft.com/office/drawing/2014/chart" uri="{C3380CC4-5D6E-409C-BE32-E72D297353CC}">
                  <c16:uniqueId val="{00000013-BE64-45A2-9248-F1E90159DEB5}"/>
                </c:ext>
              </c:extLst>
            </c:dLbl>
            <c:dLbl>
              <c:idx val="12"/>
              <c:tx>
                <c:strRef>
                  <c:f>'C06F'!$AK$24</c:f>
                  <c:strCache>
                    <c:ptCount val="1"/>
                    <c:pt idx="0">
                      <c:v>+12</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{63A6062D-BCC1-4923-8362-A2BBFEBE8A9C}</c15:txfldGUID>
                      <c15:f>'C06F'!$AK$24</c15:f>
                      <c15:dlblFieldTableCache>
                        <c:ptCount val="1"/>
                        <c:pt idx="0">
                          <c:v>+12</c:v>
                        </c:pt>
                      </c15:dlblFieldTableCache>
                    </c15:dlblFTEntry>
                  </c15:dlblFieldTable>
                  <c15:showDataLabelsRange val="0"/>
                </c:ext>
                <c:ext xmlns:c16="http://schemas.microsoft.com/office/drawing/2014/chart" uri="{C3380CC4-5D6E-409C-BE32-E72D297353CC}">
                  <c16:uniqueId val="{00000014-BE64-45A2-9248-F1E90159DEB5}"/>
                </c:ext>
              </c:extLst>
            </c:dLbl>
            <c:dLbl>
              <c:idx val="13"/>
              <c:tx>
                <c:strRef>
                  <c:f>'C06F'!$AK$25</c:f>
                  <c:strCache>
                    <c:ptCount val="1"/>
                    <c:pt idx="0">
                      <c:v>+12</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{5EC3278F-412E-404C-BD40-7B3747E78DEA}</c15:txfldGUID>
                      <c15:f>'C06F'!$AK$25</c15:f>
                      <c15:dlblFieldTableCache>
                        <c:ptCount val="1"/>
                        <c:pt idx="0">
                          <c:v>+12</c:v>
                        </c:pt>
                      </c15:dlblFieldTableCache>
                    </c15:dlblFTEntry>
                  </c15:dlblFieldTable>
                  <c15:showDataLabelsRange val="0"/>
                </c:ext>
                <c:ext xmlns:c16="http://schemas.microsoft.com/office/drawing/2014/chart" uri="{C3380CC4-5D6E-409C-BE32-E72D297353CC}">
                  <c16:uniqueId val="{00000015-BE64-45A2-9248-F1E90159DEB5}"/>
                </c:ext>
              </c:extLst>
            </c:dLbl>
            <c:dLbl>
              <c:idx val="14"/>
              <c:tx>
                <c:strRef>
                  <c:f>'C06F'!$AK$26</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{F827693D-887A-4BFD-8F3A-AF9BE0426483}</c15:txfldGUID>
                      <c15:f>'C06F'!$AK$26</c15:f>
                      <c15:dlblFieldTableCache>
                        <c:ptCount val="1"/>
                      </c15:dlblFieldTableCache>
                    </c15:dlblFTEntry>
                  </c15:dlblFieldTable>
                  <c15:showDataLabelsRange val="0"/>
                </c:ext>
                <c:ext xmlns:c16="http://schemas.microsoft.com/office/drawing/2014/chart" uri="{C3380CC4-5D6E-409C-BE32-E72D297353CC}">
                  <c16:uniqueId val="{00000016-BE64-45A2-9248-F1E90159DEB5}"/>
                </c:ext>
              </c:extLst>
            </c:dLbl>
            <c:dLbl>
              <c:idx val="15"/>
              <c:tx>
                <c:strRef>
                  <c:f>'C06F'!$AK$27</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{C960E7D1-0412-4919-8319-31F52340A3CE}</c15:txfldGUID>
                      <c15:f>'C06F'!$AK$27</c15:f>
                      <c15:dlblFieldTableCache>
                        <c:ptCount val="1"/>
                      </c15:dlblFieldTableCache>
                    </c15:dlblFTEntry>
                  </c15:dlblFieldTable>
                  <c15:showDataLabelsRange val="0"/>
                </c:ext>
                <c:ext xmlns:c16="http://schemas.microsoft.com/office/drawing/2014/chart" uri="{C3380CC4-5D6E-409C-BE32-E72D297353CC}">
                  <c16:uniqueId val="{00000017-BE64-45A2-9248-F1E90159DEB5}"/>
                </c:ext>
              </c:extLst>
            </c:dLbl>
            <c:dLbl>
              <c:idx val="16"/>
              <c:tx>
                <c:strRef>
                  <c:f>'C06F'!$AK$28</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{2AF38065-3264-4203-8BF3-4D3DD78E54F8}</c15:txfldGUID>
                      <c15:f>'C06F'!$AK$28</c15:f>
                      <c15:dlblFieldTableCache>
                        <c:ptCount val="1"/>
                      </c15:dlblFieldTableCache>
                    </c15:dlblFTEntry>
                  </c15:dlblFieldTable>
                  <c15:showDataLabelsRange val="0"/>
                </c:ext>
                <c:ext xmlns:c16="http://schemas.microsoft.com/office/drawing/2014/chart" uri="{C3380CC4-5D6E-409C-BE32-E72D297353CC}">
                  <c16:uniqueId val="{00000018-BE64-45A2-9248-F1E90159DEB5}"/>
                </c:ext>
              </c:extLst>
            </c:dLbl>
            <c:dLbl>
              <c:idx val="17"/>
              <c:tx>
                <c:strRef>
                  <c:f>'C06F'!$AK$29</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{221E7519-6CC0-4793-9A48-1FD364732639}</c15:txfldGUID>
                      <c15:f>'C06F'!$AK$29</c15:f>
                      <c15:dlblFieldTableCache>
                        <c:ptCount val="1"/>
                      </c15:dlblFieldTableCache>
                    </c15:dlblFTEntry>
                  </c15:dlblFieldTable>
                  <c15:showDataLabelsRange val="0"/>
                </c:ext>
                <c:ext xmlns:c16="http://schemas.microsoft.com/office/drawing/2014/chart" uri="{C3380CC4-5D6E-409C-BE32-E72D297353CC}">
                  <c16:uniqueId val="{00000019-BE64-45A2-9248-F1E90159DEB5}"/>
                </c:ext>
              </c:extLst>
            </c:dLbl>
            <c:dLbl>
              <c:idx val="18"/>
              <c:tx>
                <c:strRef>
                  <c:f>'C06F'!$AK$30</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{C7866AED-5B47-4E4A-A1E7-9F96EA04DE08}</c15:txfldGUID>
                      <c15:f>'C06F'!$AK$30</c15:f>
                      <c15:dlblFieldTableCache>
                        <c:ptCount val="1"/>
                      </c15:dlblFieldTableCache>
                    </c15:dlblFTEntry>
                  </c15:dlblFieldTable>
                  <c15:showDataLabelsRange val="0"/>
                </c:ext>
                <c:ext xmlns:c16="http://schemas.microsoft.com/office/drawing/2014/chart" uri="{C3380CC4-5D6E-409C-BE32-E72D297353CC}">
                  <c16:uniqueId val="{0000001A-BE64-45A2-9248-F1E90159DEB5}"/>
                </c:ext>
              </c:extLst>
            </c:dLbl>
            <c:dLbl>
              <c:idx val="19"/>
              <c:tx>
                <c:strRef>
                  <c:f>'C06F'!$AK$31</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{15C1FC3D-EDCF-4E88-BB9B-487B2EA0186C}</c15:txfldGUID>
                      <c15:f>'C06F'!$AK$31</c15:f>
                      <c15:dlblFieldTableCache>
                        <c:ptCount val="1"/>
                      </c15:dlblFieldTableCache>
                    </c15:dlblFTEntry>
                  </c15:dlblFieldTable>
                  <c15:showDataLabelsRange val="0"/>
                </c:ext>
                <c:ext xmlns:c16="http://schemas.microsoft.com/office/drawing/2014/chart" uri="{C3380CC4-5D6E-409C-BE32-E72D297353CC}">
                  <c16:uniqueId val="{0000001B-BE64-45A2-9248-F1E90159DEB5}"/>
                </c:ext>
              </c:extLst>
            </c:dLbl>
            <c:numFmt formatCode="\+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'C06F'!$A$12:$A$31</c:f>
              <c:strCache>
                <c:ptCount val="14"/>
                <c:pt idx="0">
                  <c:v>PY</c:v>
                </c:pt>
                <c:pt idx="1">
                  <c:v>Texas</c:v>
                </c:pt>
                <c:pt idx="2">
                  <c:v>California</c:v>
                </c:pt>
                <c:pt idx="3">
                  <c:v>New Jersey</c:v>
                </c:pt>
                <c:pt idx="4">
                  <c:v>New York</c:v>
                </c:pt>
                <c:pt idx="5">
                  <c:v>Georgia</c:v>
                </c:pt>
                <c:pt idx="6">
                  <c:v>Ohio</c:v>
                </c:pt>
                <c:pt idx="7">
                  <c:v>Arizona</c:v>
                </c:pt>
                <c:pt idx="8">
                  <c:v>Pennsylvania</c:v>
                </c:pt>
                <c:pt idx="9">
                  <c:v>Michigan</c:v>
                </c:pt>
                <c:pt idx="10">
                  <c:v>Florida</c:v>
                </c:pt>
                <c:pt idx="11">
                  <c:v>All other</c:v>
                </c:pt>
                <c:pt idx="12">
                  <c:v>AC</c:v>
                </c:pt>
                <c:pt idx="13">
                  <c:v>ΔPY</c:v>
                </c:pt>
              </c:strCache>
            </c:strRef>
          </c:cat>
          <c:val>
            <c:numRef>
              <c:f>'C06F'!$AJ$12:$AJ$31</c:f>
              <c:numCache>
                <c:formatCode>0.000000</c:formatCode>
                <c:ptCount val="20"/>
                <c:pt idx="0">
                  <c:v>0</c:v>
                </c:pt>
                <c:pt idx="1">
                  <c:v>0.24714892858757603</c:v>
                </c:pt>
                <c:pt idx="2">
                  <c:v>0.55977750627968859</c:v>
                </c:pt>
                <c:pt idx="3">
                  <c:v>1</c:v>
                </c:pt>
                <c:pt idx="4">
                  <c:v>0.66083061520340658</c:v>
                </c:pt>
                <c:pt idx="5">
                  <c:v>0.43667954008394161</c:v>
                </c:pt>
                <c:pt idx="6">
                  <c:v>0.45169097123663532</c:v>
                </c:pt>
                <c:pt idx="7">
                  <c:v>0.44612838560802354</c:v>
                </c:pt>
                <c:pt idx="8">
                  <c:v>0.35804147950589549</c:v>
                </c:pt>
                <c:pt idx="9">
                  <c:v>0.19774836084767586</c:v>
                </c:pt>
                <c:pt idx="10">
                  <c:v>1.3488064957933865E-2</c:v>
                </c:pt>
                <c:pt idx="11">
                  <c:v>0.52669271902475101</c:v>
                </c:pt>
                <c:pt idx="12">
                  <c:v>0.41716025641025639</c:v>
                </c:pt>
                <c:pt idx="13">
                  <c:v>0.41716025641025639</c:v>
                </c:pt>
              </c:numCache>
            </c:numRef>
          </c:val>
          <c:extLst>
            <c:ext xmlns:c16="http://schemas.microsoft.com/office/drawing/2014/chart" uri="{C3380CC4-5D6E-409C-BE32-E72D297353CC}">
              <c16:uniqueId val="{00000007-BE64-45A2-9248-F1E90159DEB5}"/>
            </c:ext>
          </c:extLst>
        </c:ser>
        <c:ser>
          <c:idx val="1"/>
          <c:order val="1"/>
          <c:tx>
            <c:v>ΔPY% up</c:v>
          </c:tx>
          <c:spPr>
            <a:solidFill>
              <a:srgbClr val="8CB400"/>
            </a:solidFill>
            <a:ln>
              <a:noFill/>
            </a:ln>
            <a:effectLst/>
            <a:extLst>
              <a:ext uri="{91240B29-F687-4F45-9708-019B960494DF}">
                <a14:hiddenLine xmlns:a14="http://schemas.microsoft.com/office/drawing/2010/main">
                  <a:noFill/>
                </a14:hiddenLine>
              </a:ext>
            </a:extLst>
          </c:spPr>
          <c:invertIfNegative val="0"/>
          <c:cat>
            <c:strRef>
              <c:f>'C06F'!$A$12:$A$31</c:f>
              <c:strCache>
                <c:ptCount val="14"/>
                <c:pt idx="0">
                  <c:v>PY</c:v>
                </c:pt>
                <c:pt idx="1">
                  <c:v>Texas</c:v>
                </c:pt>
                <c:pt idx="2">
                  <c:v>California</c:v>
                </c:pt>
                <c:pt idx="3">
                  <c:v>New Jersey</c:v>
                </c:pt>
                <c:pt idx="4">
                  <c:v>New York</c:v>
                </c:pt>
                <c:pt idx="5">
                  <c:v>Georgia</c:v>
                </c:pt>
                <c:pt idx="6">
                  <c:v>Ohio</c:v>
                </c:pt>
                <c:pt idx="7">
                  <c:v>Arizona</c:v>
                </c:pt>
                <c:pt idx="8">
                  <c:v>Pennsylvania</c:v>
                </c:pt>
                <c:pt idx="9">
                  <c:v>Michigan</c:v>
                </c:pt>
                <c:pt idx="10">
                  <c:v>Florida</c:v>
                </c:pt>
                <c:pt idx="11">
                  <c:v>All other</c:v>
                </c:pt>
                <c:pt idx="12">
                  <c:v>AC</c:v>
                </c:pt>
                <c:pt idx="13">
                  <c:v>ΔPY</c:v>
                </c:pt>
              </c:strCache>
            </c:strRef>
          </c:cat>
          <c:val>
            <c:numRef>
              <c:f>'C06F'!$AL$12:$AL$31</c:f>
              <c:numCache>
                <c:formatCode>0.000000</c:formatCode>
                <c:ptCount val="20"/>
                <c:pt idx="0">
                  <c:v>#N/A</c:v>
                </c:pt>
                <c:pt idx="1">
                  <c:v>0.24714892858757603</c:v>
                </c:pt>
                <c:pt idx="2">
                  <c:v>0.55977750627968859</c:v>
                </c:pt>
                <c:pt idx="3">
                  <c:v>1</c:v>
                </c:pt>
                <c:pt idx="4">
                  <c:v>0.66083061520340658</c:v>
                </c:pt>
                <c:pt idx="5">
                  <c:v>0.43667954008394161</c:v>
                </c:pt>
                <c:pt idx="6">
                  <c:v>0.45169097123663532</c:v>
                </c:pt>
                <c:pt idx="7">
                  <c:v>0.44612838560802354</c:v>
                </c:pt>
                <c:pt idx="8">
                  <c:v>0.35804147950589549</c:v>
                </c:pt>
                <c:pt idx="9">
                  <c:v>0.19774836084767586</c:v>
                </c:pt>
                <c:pt idx="10">
                  <c:v>1.3488064957933865E-2</c:v>
                </c:pt>
                <c:pt idx="11">
                  <c:v>0.52669271902475101</c:v>
                </c:pt>
                <c:pt idx="12">
                  <c:v>0.41716025641025639</c:v>
                </c:pt>
                <c:pt idx="13">
                  <c:v>#N/A</c:v>
                </c:pt>
              </c:numCache>
            </c:numRef>
          </c:val>
          <c:extLst>
            <c:ext xmlns:c16="http://schemas.microsoft.com/office/drawing/2014/chart" uri="{C3380CC4-5D6E-409C-BE32-E72D297353CC}">
              <c16:uniqueId val="{0000001C-BE64-45A2-9248-F1E90159DEB5}"/>
            </c:ext>
          </c:extLst>
        </c:ser>
        <c:ser>
          <c:idx val="2"/>
          <c:order val="2"/>
          <c:tx>
            <c:v>ΔPY% dn</c:v>
          </c:tx>
          <c:spPr>
            <a:solidFill>
              <a:srgbClr val="FF0000"/>
            </a:solidFill>
            <a:ln>
              <a:noFill/>
            </a:ln>
            <a:effectLst/>
            <a:extLst>
              <a:ext uri="{91240B29-F687-4F45-9708-019B960494DF}">
                <a14:hiddenLine xmlns:a14="http://schemas.microsoft.com/office/drawing/2010/main">
                  <a:noFill/>
                </a14:hiddenLine>
              </a:ext>
            </a:extLst>
          </c:spPr>
          <c:invertIfNegative val="0"/>
          <c:cat>
            <c:strRef>
              <c:f>'C06F'!$A$12:$A$31</c:f>
              <c:strCache>
                <c:ptCount val="14"/>
                <c:pt idx="0">
                  <c:v>PY</c:v>
                </c:pt>
                <c:pt idx="1">
                  <c:v>Texas</c:v>
                </c:pt>
                <c:pt idx="2">
                  <c:v>California</c:v>
                </c:pt>
                <c:pt idx="3">
                  <c:v>New Jersey</c:v>
                </c:pt>
                <c:pt idx="4">
                  <c:v>New York</c:v>
                </c:pt>
                <c:pt idx="5">
                  <c:v>Georgia</c:v>
                </c:pt>
                <c:pt idx="6">
                  <c:v>Ohio</c:v>
                </c:pt>
                <c:pt idx="7">
                  <c:v>Arizona</c:v>
                </c:pt>
                <c:pt idx="8">
                  <c:v>Pennsylvania</c:v>
                </c:pt>
                <c:pt idx="9">
                  <c:v>Michigan</c:v>
                </c:pt>
                <c:pt idx="10">
                  <c:v>Florida</c:v>
                </c:pt>
                <c:pt idx="11">
                  <c:v>All other</c:v>
                </c:pt>
                <c:pt idx="12">
                  <c:v>AC</c:v>
                </c:pt>
                <c:pt idx="13">
                  <c:v>ΔPY</c:v>
                </c:pt>
              </c:strCache>
            </c:strRef>
          </c:cat>
          <c:val>
            <c:numRef>
              <c:f>'C06F'!$AM$12:$AM$31</c:f>
              <c:numCache>
                <c:formatCode>0.000000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extLst>
            <c:ext xmlns:c16="http://schemas.microsoft.com/office/drawing/2014/chart" uri="{C3380CC4-5D6E-409C-BE32-E72D297353CC}">
              <c16:uniqueId val="{0000001D-BE64-45A2-9248-F1E90159DEB5}"/>
            </c:ext>
          </c:extLst>
        </c:ser>
        <c:dLbls>
          <c:showLegendKey val="0"/>
          <c:showVal val="0"/>
          <c:showCatName val="0"/>
          <c:showSerName val="0"/>
          <c:showPercent val="0"/>
          <c:showBubbleSize val="0"/>
        </c:dLbls>
        <c:gapWidth val="500"/>
        <c:overlap val="100"/>
        <c:axId val="1226673168"/>
        <c:axId val="1095989872"/>
      </c:barChart>
      <c:catAx>
        <c:axId val="1226673168"/>
        <c:scaling>
          <c:orientation val="maxMin"/>
        </c:scaling>
        <c:delete val="0"/>
        <c:axPos val="l"/>
        <c:numFmt formatCode="General" sourceLinked="1"/>
        <c:majorTickMark val="none"/>
        <c:minorTickMark val="none"/>
        <c:tickLblPos val="none"/>
        <c:spPr>
          <a:ln w="47625">
            <a:solidFill>
              <a:srgbClr val="808080"/>
            </a:solidFill>
          </a:ln>
        </c:spPr>
        <c:crossAx val="1095989872"/>
        <c:crosses val="autoZero"/>
        <c:auto val="1"/>
        <c:lblAlgn val="ctr"/>
        <c:lblOffset val="100"/>
        <c:noMultiLvlLbl val="0"/>
      </c:catAx>
      <c:valAx>
        <c:axId val="1095989872"/>
        <c:scaling>
          <c:orientation val="minMax"/>
          <c:max val="1.1000000000000001"/>
          <c:min val="0"/>
        </c:scaling>
        <c:delete val="0"/>
        <c:axPos val="b"/>
        <c:numFmt formatCode="0.00000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26673168"/>
        <c:crosses val="max"/>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PL month</c:v>
          </c:tx>
          <c:spPr>
            <a:solidFill>
              <a:srgbClr val="FFFFFF"/>
            </a:solidFill>
            <a:ln w="9525">
              <a:solidFill>
                <a:srgbClr val="404040"/>
              </a:solidFill>
            </a:ln>
          </c:spPr>
          <c:invertIfNegative val="0"/>
          <c:cat>
            <c:strRef>
              <c:f>'C07C'!$B$9:$M$9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'C07C'!$B$32:$M$32</c:f>
              <c:numCache>
                <c:formatCode>General</c:formatCode>
                <c:ptCount val="12"/>
                <c:pt idx="0">
                  <c:v>2.4179469273743016E-2</c:v>
                </c:pt>
                <c:pt idx="1">
                  <c:v>2.278282122905028E-2</c:v>
                </c:pt>
                <c:pt idx="2">
                  <c:v>2.6274441340782124E-2</c:v>
                </c:pt>
                <c:pt idx="3">
                  <c:v>2.4790502793296091E-2</c:v>
                </c:pt>
                <c:pt idx="4">
                  <c:v>2.5663407821229049E-2</c:v>
                </c:pt>
                <c:pt idx="5">
                  <c:v>2.4790502793296091E-2</c:v>
                </c:pt>
                <c:pt idx="6">
                  <c:v>2.5663407821229049E-2</c:v>
                </c:pt>
                <c:pt idx="7">
                  <c:v>2.6274441340782124E-2</c:v>
                </c:pt>
                <c:pt idx="8">
                  <c:v>2.5488826815642459E-2</c:v>
                </c:pt>
                <c:pt idx="9">
                  <c:v>2.6361731843575421E-2</c:v>
                </c:pt>
                <c:pt idx="10">
                  <c:v>2.5750698324022346E-2</c:v>
                </c:pt>
                <c:pt idx="11">
                  <c:v>2.6536312849162011E-2</c:v>
                </c:pt>
              </c:numCache>
            </c:numRef>
          </c:val>
          <c:extLst>
            <c:ext xmlns:c16="http://schemas.microsoft.com/office/drawing/2014/chart" uri="{C3380CC4-5D6E-409C-BE32-E72D297353CC}">
              <c16:uniqueId val="{00000001-88C7-477B-89C8-9A3643AC4D90}"/>
            </c:ext>
          </c:extLst>
        </c:ser>
        <c:ser>
          <c:idx val="1"/>
          <c:order val="1"/>
          <c:tx>
            <c:v>AC month</c:v>
          </c:tx>
          <c:spPr>
            <a:solidFill>
              <a:srgbClr val="404040"/>
            </a:solidFill>
            <a:ln>
              <a:noFill/>
            </a:ln>
            <a:effectLst/>
            <a:extLst>
              <a:ext uri="{91240B29-F687-4F45-9708-019B960494DF}">
                <a14:hiddenLine xmlns:a14="http://schemas.microsoft.com/office/drawing/2010/main">
                  <a:noFill/>
                </a14:hiddenLine>
              </a:ext>
            </a:extLst>
          </c:spPr>
          <c:invertIfNegative val="0"/>
          <c:dLbls>
            <c:dLbl>
              <c:idx val="0"/>
              <c:tx>
                <c:strRef>
                  <c:f>'C07C'!$B$54</c:f>
                  <c:strCache>
                    <c:ptCount val="1"/>
                    <c:pt idx="0">
                      <c:v>1,080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{BF355E41-17BF-49B3-997C-D88274B5D037}</c15:txfldGUID>
                      <c15:f>'C07C'!$B$54</c15:f>
                      <c15:dlblFieldTableCache>
                        <c:ptCount val="1"/>
                        <c:pt idx="0">
                          <c:v>1,080</c:v>
                        </c:pt>
                      </c15:dlblFieldTableCache>
                    </c15:dlblFTEntry>
                  </c15:dlblFieldTable>
                  <c15:showDataLabelsRange val="0"/>
                </c:ext>
                <c:ext xmlns:c16="http://schemas.microsoft.com/office/drawing/2014/chart" uri="{C3380CC4-5D6E-409C-BE32-E72D297353CC}">
                  <c16:uniqueId val="{00000003-88C7-477B-89C8-9A3643AC4D90}"/>
                </c:ext>
              </c:extLst>
            </c:dLbl>
            <c:dLbl>
              <c:idx val="1"/>
              <c:tx>
                <c:strRef>
                  <c:f>'C07C'!$C$54</c:f>
                  <c:strCache>
                    <c:ptCount val="1"/>
                    <c:pt idx="0">
                      <c:v>934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{E9B09A98-C264-4286-B43A-20492CC23F27}</c15:txfldGUID>
                      <c15:f>'C07C'!$C$54</c15:f>
                      <c15:dlblFieldTableCache>
                        <c:ptCount val="1"/>
                        <c:pt idx="0">
                          <c:v>934</c:v>
                        </c:pt>
                      </c15:dlblFieldTableCache>
                    </c15:dlblFTEntry>
                  </c15:dlblFieldTable>
                  <c15:showDataLabelsRange val="0"/>
                </c:ext>
                <c:ext xmlns:c16="http://schemas.microsoft.com/office/drawing/2014/chart" uri="{C3380CC4-5D6E-409C-BE32-E72D297353CC}">
                  <c16:uniqueId val="{00000004-88C7-477B-89C8-9A3643AC4D90}"/>
                </c:ext>
              </c:extLst>
            </c:dLbl>
            <c:dLbl>
              <c:idx val="2"/>
              <c:tx>
                <c:strRef>
                  <c:f>'C07C'!$D$54</c:f>
                  <c:strCache>
                    <c:ptCount val="1"/>
                    <c:pt idx="0">
                      <c:v>842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{6CE9F041-505D-4AB0-B6E6-00A4411DEB54}</c15:txfldGUID>
                      <c15:f>'C07C'!$D$54</c15:f>
                      <c15:dlblFieldTableCache>
                        <c:ptCount val="1"/>
                        <c:pt idx="0">
                          <c:v>842</c:v>
                        </c:pt>
                      </c15:dlblFieldTableCache>
                    </c15:dlblFTEntry>
                  </c15:dlblFieldTable>
                  <c15:showDataLabelsRange val="0"/>
                </c:ext>
                <c:ext xmlns:c16="http://schemas.microsoft.com/office/drawing/2014/chart" uri="{C3380CC4-5D6E-409C-BE32-E72D297353CC}">
                  <c16:uniqueId val="{00000005-88C7-477B-89C8-9A3643AC4D90}"/>
                </c:ext>
              </c:extLst>
            </c:dLbl>
            <c:dLbl>
              <c:idx val="3"/>
              <c:tx>
                <c:strRef>
                  <c:f>'C07C'!$E$54</c:f>
                  <c:strCache>
                    <c:ptCount val="1"/>
                    <c:pt idx="0">
                      <c:v>697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{DEECF8C3-F8B5-4107-85F3-36C08AB277C0}</c15:txfldGUID>
                      <c15:f>'C07C'!$E$54</c15:f>
                      <c15:dlblFieldTableCache>
                        <c:ptCount val="1"/>
                        <c:pt idx="0">
                          <c:v>697</c:v>
                        </c:pt>
                      </c15:dlblFieldTableCache>
                    </c15:dlblFTEntry>
                  </c15:dlblFieldTable>
                  <c15:showDataLabelsRange val="0"/>
                </c:ext>
                <c:ext xmlns:c16="http://schemas.microsoft.com/office/drawing/2014/chart" uri="{C3380CC4-5D6E-409C-BE32-E72D297353CC}">
                  <c16:uniqueId val="{00000006-88C7-477B-89C8-9A3643AC4D90}"/>
                </c:ext>
              </c:extLst>
            </c:dLbl>
            <c:dLbl>
              <c:idx val="4"/>
              <c:tx>
                <c:strRef>
                  <c:f>'C07C'!$F$54</c:f>
                  <c:strCache>
                    <c:ptCount val="1"/>
                    <c:pt idx="0">
                      <c:v>1,318</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{CB059DF3-259E-4954-B338-54C745F449FD}</c15:txfldGUID>
                      <c15:f>'C07C'!$F$54</c15:f>
                      <c15:dlblFieldTableCache>
                        <c:ptCount val="1"/>
                        <c:pt idx="0">
                          <c:v>1,318</c:v>
                        </c:pt>
                      </c15:dlblFieldTableCache>
                    </c15:dlblFTEntry>
                  </c15:dlblFieldTable>
                  <c15:showDataLabelsRange val="0"/>
                </c:ext>
                <c:ext xmlns:c16="http://schemas.microsoft.com/office/drawing/2014/chart" uri="{C3380CC4-5D6E-409C-BE32-E72D297353CC}">
                  <c16:uniqueId val="{00000007-88C7-477B-89C8-9A3643AC4D90}"/>
                </c:ext>
              </c:extLst>
            </c:dLbl>
            <c:dLbl>
              <c:idx val="5"/>
              <c:tx>
                <c:strRef>
                  <c:f>'C07C'!$G$54</c:f>
                  <c:strCache>
                    <c:ptCount val="1"/>
                    <c:pt idx="0">
                      <c:v>710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{2F4C1127-4FEE-4C52-A792-E6F2D0B30333}</c15:txfldGUID>
                      <c15:f>'C07C'!$G$54</c15:f>
                      <c15:dlblFieldTableCache>
                        <c:ptCount val="1"/>
                        <c:pt idx="0">
                          <c:v>710</c:v>
                        </c:pt>
                      </c15:dlblFieldTableCache>
                    </c15:dlblFTEntry>
                  </c15:dlblFieldTable>
                  <c15:showDataLabelsRange val="0"/>
                </c:ext>
                <c:ext xmlns:c16="http://schemas.microsoft.com/office/drawing/2014/chart" uri="{C3380CC4-5D6E-409C-BE32-E72D297353CC}">
                  <c16:uniqueId val="{00000008-88C7-477B-89C8-9A3643AC4D90}"/>
                </c:ext>
              </c:extLst>
            </c:dLbl>
            <c:dLbl>
              <c:idx val="6"/>
              <c:tx>
                <c:strRef>
                  <c:f>'C07C'!$H$54</c:f>
                  <c:strCache>
                    <c:ptCount val="1"/>
                    <c:pt idx="0">
                      <c:v>971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{CADB06FE-7599-43F3-81C4-6A211C139ED7}</c15:txfldGUID>
                      <c15:f>'C07C'!$H$54</c15:f>
                      <c15:dlblFieldTableCache>
                        <c:ptCount val="1"/>
                        <c:pt idx="0">
                          <c:v>971</c:v>
                        </c:pt>
                      </c15:dlblFieldTableCache>
                    </c15:dlblFTEntry>
                  </c15:dlblFieldTable>
                  <c15:showDataLabelsRange val="0"/>
                </c:ext>
                <c:ext xmlns:c16="http://schemas.microsoft.com/office/drawing/2014/chart" uri="{C3380CC4-5D6E-409C-BE32-E72D297353CC}">
                  <c16:uniqueId val="{00000009-88C7-477B-89C8-9A3643AC4D90}"/>
                </c:ext>
              </c:extLst>
            </c:dLbl>
            <c:dLbl>
              <c:idx val="7"/>
              <c:tx>
                <c:strRef>
                  <c:f>'C07C'!$I$54</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{2F54D62E-29E2-4DE3-BF09-C8CC6BE1B5D3}</c15:txfldGUID>
                      <c15:f>'C07C'!$I$54</c15:f>
                      <c15:dlblFieldTableCache>
                        <c:ptCount val="1"/>
                      </c15:dlblFieldTableCache>
                    </c15:dlblFTEntry>
                  </c15:dlblFieldTable>
                  <c15:showDataLabelsRange val="0"/>
                </c:ext>
                <c:ext xmlns:c16="http://schemas.microsoft.com/office/drawing/2014/chart" uri="{C3380CC4-5D6E-409C-BE32-E72D297353CC}">
                  <c16:uniqueId val="{0000000A-88C7-477B-89C8-9A3643AC4D90}"/>
                </c:ext>
              </c:extLst>
            </c:dLbl>
            <c:dLbl>
              <c:idx val="8"/>
              <c:tx>
                <c:strRef>
                  <c:f>'C07C'!$J$54</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{B33AEAFD-EB68-4A28-A500-15DB748449A0}</c15:txfldGUID>
                      <c15:f>'C07C'!$J$54</c15:f>
                      <c15:dlblFieldTableCache>
                        <c:ptCount val="1"/>
                      </c15:dlblFieldTableCache>
                    </c15:dlblFTEntry>
                  </c15:dlblFieldTable>
                  <c15:showDataLabelsRange val="0"/>
                </c:ext>
                <c:ext xmlns:c16="http://schemas.microsoft.com/office/drawing/2014/chart" uri="{C3380CC4-5D6E-409C-BE32-E72D297353CC}">
                  <c16:uniqueId val="{0000000B-88C7-477B-89C8-9A3643AC4D90}"/>
                </c:ext>
              </c:extLst>
            </c:dLbl>
            <c:dLbl>
              <c:idx val="9"/>
              <c:tx>
                <c:strRef>
                  <c:f>'C07C'!$K$54</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{67EE23BB-5242-44B3-B38B-7C4F5330F829}</c15:txfldGUID>
                      <c15:f>'C07C'!$K$54</c15:f>
                      <c15:dlblFieldTableCache>
                        <c:ptCount val="1"/>
                      </c15:dlblFieldTableCache>
                    </c15:dlblFTEntry>
                  </c15:dlblFieldTable>
                  <c15:showDataLabelsRange val="0"/>
                </c:ext>
                <c:ext xmlns:c16="http://schemas.microsoft.com/office/drawing/2014/chart" uri="{C3380CC4-5D6E-409C-BE32-E72D297353CC}">
                  <c16:uniqueId val="{0000000C-88C7-477B-89C8-9A3643AC4D90}"/>
                </c:ext>
              </c:extLst>
            </c:dLbl>
            <c:dLbl>
              <c:idx val="10"/>
              <c:tx>
                <c:strRef>
                  <c:f>'C07C'!$L$54</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{10B134F5-D96D-4380-860A-55DCC9362E82}</c15:txfldGUID>
                      <c15:f>'C07C'!$L$54</c15:f>
                      <c15:dlblFieldTableCache>
                        <c:ptCount val="1"/>
                      </c15:dlblFieldTableCache>
                    </c15:dlblFTEntry>
                  </c15:dlblFieldTable>
                  <c15:showDataLabelsRange val="0"/>
                </c:ext>
                <c:ext xmlns:c16="http://schemas.microsoft.com/office/drawing/2014/chart" uri="{C3380CC4-5D6E-409C-BE32-E72D297353CC}">
                  <c16:uniqueId val="{0000000D-88C7-477B-89C8-9A3643AC4D90}"/>
                </c:ext>
              </c:extLst>
            </c:dLbl>
            <c:dLbl>
              <c:idx val="11"/>
              <c:tx>
                <c:strRef>
                  <c:f>'C07C'!$M$54</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{0B334038-8996-4DEC-BDE2-8E1D013044CF}</c15:txfldGUID>
                      <c15:f>'C07C'!$M$54</c15:f>
                      <c15:dlblFieldTableCache>
                        <c:ptCount val="1"/>
                      </c15:dlblFieldTableCache>
                    </c15:dlblFTEntry>
                  </c15:dlblFieldTable>
                  <c15:showDataLabelsRange val="0"/>
                </c:ext>
                <c:ext xmlns:c16="http://schemas.microsoft.com/office/drawing/2014/chart" uri="{C3380CC4-5D6E-409C-BE32-E72D297353CC}">
                  <c16:uniqueId val="{0000000E-88C7-477B-89C8-9A3643AC4D90}"/>
                </c:ext>
              </c:extLst>
            </c:dLbl>
            <c:numFmt formatCode="#,##0" sourceLinked="0"/>
            <c:spPr>
              <a:noFill/>
              <a:ln>
                <a:noFill/>
              </a:ln>
              <a:effectLst/>
            </c:spPr>
            <c:txPr>
              <a:bodyPr wrap="square" lIns="38100" tIns="19050" rIns="38100" bIns="19050" anchor="ctr">
                <a:spAutoFit/>
              </a:bodyPr>
              <a:lstStyle/>
              <a:p>
                <a:pPr>
                  <a:defRPr sz="8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'C07C'!$B$9:$M$9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'C07C'!$B$33:$M$33</c:f>
              <c:numCache>
                <c:formatCode>General</c:formatCode>
                <c:ptCount val="12"/>
                <c:pt idx="0">
                  <c:v>9.4273743016759781E-2</c:v>
                </c:pt>
                <c:pt idx="1">
                  <c:v>8.152932960893855E-2</c:v>
                </c:pt>
                <c:pt idx="2">
                  <c:v>7.3498603351955308E-2</c:v>
                </c:pt>
                <c:pt idx="3">
                  <c:v>6.0841480446927373E-2</c:v>
                </c:pt>
                <c:pt idx="4">
                  <c:v>0.11504888268156424</c:v>
                </c:pt>
                <c:pt idx="5">
                  <c:v>6.1976256983240226E-2</c:v>
                </c:pt>
                <c:pt idx="6">
                  <c:v>8.4759078212290506E-2</c:v>
                </c:pt>
                <c:pt idx="7">
                  <c:v>#N/A</c:v>
                </c:pt>
                <c:pt idx="8">
                  <c:v>#N/A</c:v>
                </c:pt>
                <c:pt idx="9">
                  <c:v>#N/A</c:v>
                </c:pt>
                <c:pt idx="10">
                  <c:v>#N/A</c:v>
                </c:pt>
                <c:pt idx="11">
                  <c:v>#N/A</c:v>
                </c:pt>
              </c:numCache>
            </c:numRef>
          </c:val>
          <c:extLst>
            <c:ext xmlns:c16="http://schemas.microsoft.com/office/drawing/2014/chart" uri="{C3380CC4-5D6E-409C-BE32-E72D297353CC}">
              <c16:uniqueId val="{00000002-88C7-477B-89C8-9A3643AC4D90}"/>
            </c:ext>
          </c:extLst>
        </c:ser>
        <c:ser>
          <c:idx val="2"/>
          <c:order val="2"/>
          <c:tx>
            <c:v>FC month</c:v>
          </c:tx>
          <c:spPr>
            <a:pattFill prst="wdUpDiag">
              <a:fgClr>
                <a:srgbClr val="404040"/>
              </a:fgClr>
              <a:bgClr>
                <a:srgbClr val="F2F2F2"/>
              </a:bgClr>
            </a:pattFill>
            <a:ln w="9525">
              <a:noFill/>
            </a:ln>
            <a:effectLst/>
            <a:extLst>
              <a:ext uri="{91240B29-F687-4F45-9708-019B960494DF}">
                <a14:hiddenLine xmlns:a14="http://schemas.microsoft.com/office/drawing/2010/main" w="9525">
                  <a:solidFill>
                    <a:srgbClr val="404040"/>
                  </a:solidFill>
                </a14:hiddenLine>
              </a:ext>
            </a:extLst>
          </c:spPr>
          <c:invertIfNegative val="0"/>
          <c:dLbls>
            <c:dLbl>
              <c:idx val="0"/>
              <c:tx>
                <c:strRef>
                  <c:f>'C07C'!$B$55</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{E3B27A3B-A127-4D65-858E-AB3D286895A0}</c15:txfldGUID>
                      <c15:f>'C07C'!$B$55</c15:f>
                      <c15:dlblFieldTableCache>
                        <c:ptCount val="1"/>
                      </c15:dlblFieldTableCache>
                    </c15:dlblFTEntry>
                  </c15:dlblFieldTable>
                  <c15:showDataLabelsRange val="0"/>
                </c:ext>
                <c:ext xmlns:c16="http://schemas.microsoft.com/office/drawing/2014/chart" uri="{C3380CC4-5D6E-409C-BE32-E72D297353CC}">
                  <c16:uniqueId val="{00000010-88C7-477B-89C8-9A3643AC4D90}"/>
                </c:ext>
              </c:extLst>
            </c:dLbl>
            <c:dLbl>
              <c:idx val="1"/>
              <c:tx>
                <c:strRef>
                  <c:f>'C07C'!$C$55</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{27AD331F-1F96-409B-95F5-63BAC2BD7D07}</c15:txfldGUID>
                      <c15:f>'C07C'!$C$55</c15:f>
                      <c15:dlblFieldTableCache>
                        <c:ptCount val="1"/>
                      </c15:dlblFieldTableCache>
                    </c15:dlblFTEntry>
                  </c15:dlblFieldTable>
                  <c15:showDataLabelsRange val="0"/>
                </c:ext>
                <c:ext xmlns:c16="http://schemas.microsoft.com/office/drawing/2014/chart" uri="{C3380CC4-5D6E-409C-BE32-E72D297353CC}">
                  <c16:uniqueId val="{00000011-88C7-477B-89C8-9A3643AC4D90}"/>
                </c:ext>
              </c:extLst>
            </c:dLbl>
            <c:dLbl>
              <c:idx val="2"/>
              <c:tx>
                <c:strRef>
                  <c:f>'C07C'!$D$55</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{604DF015-E5D1-4A57-91C8-6F14F48576BE}</c15:txfldGUID>
                      <c15:f>'C07C'!$D$55</c15:f>
                      <c15:dlblFieldTableCache>
                        <c:ptCount val="1"/>
                      </c15:dlblFieldTableCache>
                    </c15:dlblFTEntry>
                  </c15:dlblFieldTable>
                  <c15:showDataLabelsRange val="0"/>
                </c:ext>
                <c:ext xmlns:c16="http://schemas.microsoft.com/office/drawing/2014/chart" uri="{C3380CC4-5D6E-409C-BE32-E72D297353CC}">
                  <c16:uniqueId val="{00000012-88C7-477B-89C8-9A3643AC4D90}"/>
                </c:ext>
              </c:extLst>
            </c:dLbl>
            <c:dLbl>
              <c:idx val="3"/>
              <c:tx>
                <c:strRef>
                  <c:f>'C07C'!$E$55</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{33AEE44D-805A-4CA1-BF4C-00063B8670AA}</c15:txfldGUID>
                      <c15:f>'C07C'!$E$55</c15:f>
                      <c15:dlblFieldTableCache>
                        <c:ptCount val="1"/>
                      </c15:dlblFieldTableCache>
                    </c15:dlblFTEntry>
                  </c15:dlblFieldTable>
                  <c15:showDataLabelsRange val="0"/>
                </c:ext>
                <c:ext xmlns:c16="http://schemas.microsoft.com/office/drawing/2014/chart" uri="{C3380CC4-5D6E-409C-BE32-E72D297353CC}">
                  <c16:uniqueId val="{00000013-88C7-477B-89C8-9A3643AC4D90}"/>
                </c:ext>
              </c:extLst>
            </c:dLbl>
            <c:dLbl>
              <c:idx val="4"/>
              <c:tx>
                <c:strRef>
                  <c:f>'C07C'!$F$55</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{B4DEB07B-33B9-4B53-BC83-797D32BC04D6}</c15:txfldGUID>
                      <c15:f>'C07C'!$F$55</c15:f>
                      <c15:dlblFieldTableCache>
                        <c:ptCount val="1"/>
                      </c15:dlblFieldTableCache>
                    </c15:dlblFTEntry>
                  </c15:dlblFieldTable>
                  <c15:showDataLabelsRange val="0"/>
                </c:ext>
                <c:ext xmlns:c16="http://schemas.microsoft.com/office/drawing/2014/chart" uri="{C3380CC4-5D6E-409C-BE32-E72D297353CC}">
                  <c16:uniqueId val="{00000014-88C7-477B-89C8-9A3643AC4D90}"/>
                </c:ext>
              </c:extLst>
            </c:dLbl>
            <c:dLbl>
              <c:idx val="5"/>
              <c:tx>
                <c:strRef>
                  <c:f>'C07C'!$G$55</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{345ECD91-5622-4FDF-B50F-101EB895AC7D}</c15:txfldGUID>
                      <c15:f>'C07C'!$G$55</c15:f>
                      <c15:dlblFieldTableCache>
                        <c:ptCount val="1"/>
                      </c15:dlblFieldTableCache>
                    </c15:dlblFTEntry>
                  </c15:dlblFieldTable>
                  <c15:showDataLabelsRange val="0"/>
                </c:ext>
                <c:ext xmlns:c16="http://schemas.microsoft.com/office/drawing/2014/chart" uri="{C3380CC4-5D6E-409C-BE32-E72D297353CC}">
                  <c16:uniqueId val="{00000015-88C7-477B-89C8-9A3643AC4D90}"/>
                </c:ext>
              </c:extLst>
            </c:dLbl>
            <c:dLbl>
              <c:idx val="6"/>
              <c:tx>
                <c:strRef>
                  <c:f>'C07C'!$H$55</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{8396D56A-D0DE-4A16-8056-84F3B1F7A641}</c15:txfldGUID>
                      <c15:f>'C07C'!$H$55</c15:f>
                      <c15:dlblFieldTableCache>
                        <c:ptCount val="1"/>
                      </c15:dlblFieldTableCache>
                    </c15:dlblFTEntry>
                  </c15:dlblFieldTable>
                  <c15:showDataLabelsRange val="0"/>
                </c:ext>
                <c:ext xmlns:c16="http://schemas.microsoft.com/office/drawing/2014/chart" uri="{C3380CC4-5D6E-409C-BE32-E72D297353CC}">
                  <c16:uniqueId val="{00000016-88C7-477B-89C8-9A3643AC4D90}"/>
                </c:ext>
              </c:extLst>
            </c:dLbl>
            <c:dLbl>
              <c:idx val="7"/>
              <c:tx>
                <c:strRef>
                  <c:f>'C07C'!$I$55</c:f>
                  <c:strCache>
                    <c:ptCount val="1"/>
                    <c:pt idx="0">
                      <c:v>987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{0004813D-E49C-4BE3-8D40-2CAFEC990805}</c15:txfldGUID>
                      <c15:f>'C07C'!$I$55</c15:f>
                      <c15:dlblFieldTableCache>
                        <c:ptCount val="1"/>
                        <c:pt idx="0">
                          <c:v>987</c:v>
                        </c:pt>
                      </c15:dlblFieldTableCache>
                    </c15:dlblFTEntry>
                  </c15:dlblFieldTable>
                  <c15:showDataLabelsRange val="0"/>
                </c:ext>
                <c:ext xmlns:c16="http://schemas.microsoft.com/office/drawing/2014/chart" uri="{C3380CC4-5D6E-409C-BE32-E72D297353CC}">
                  <c16:uniqueId val="{00000017-88C7-477B-89C8-9A3643AC4D90}"/>
                </c:ext>
              </c:extLst>
            </c:dLbl>
            <c:dLbl>
              <c:idx val="8"/>
              <c:tx>
                <c:strRef>
                  <c:f>'C07C'!$J$55</c:f>
                  <c:strCache>
                    <c:ptCount val="1"/>
                    <c:pt idx="0">
                      <c:v>958</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{70D35B51-3DC5-4798-B3A9-70ACF2297F3B}</c15:txfldGUID>
                      <c15:f>'C07C'!$J$55</c15:f>
                      <c15:dlblFieldTableCache>
                        <c:ptCount val="1"/>
                        <c:pt idx="0">
                          <c:v>958</c:v>
                        </c:pt>
                      </c15:dlblFieldTableCache>
                    </c15:dlblFTEntry>
                  </c15:dlblFieldTable>
                  <c15:showDataLabelsRange val="0"/>
                </c:ext>
                <c:ext xmlns:c16="http://schemas.microsoft.com/office/drawing/2014/chart" uri="{C3380CC4-5D6E-409C-BE32-E72D297353CC}">
                  <c16:uniqueId val="{00000018-88C7-477B-89C8-9A3643AC4D90}"/>
                </c:ext>
              </c:extLst>
            </c:dLbl>
            <c:dLbl>
              <c:idx val="9"/>
              <c:tx>
                <c:strRef>
                  <c:f>'C07C'!$K$55</c:f>
                  <c:strCache>
                    <c:ptCount val="1"/>
                    <c:pt idx="0">
                      <c:v>993</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{048FF0BA-FD40-494F-B78A-04D7EDCE5FEC}</c15:txfldGUID>
                      <c15:f>'C07C'!$K$55</c15:f>
                      <c15:dlblFieldTableCache>
                        <c:ptCount val="1"/>
                        <c:pt idx="0">
                          <c:v>993</c:v>
                        </c:pt>
                      </c15:dlblFieldTableCache>
                    </c15:dlblFTEntry>
                  </c15:dlblFieldTable>
                  <c15:showDataLabelsRange val="0"/>
                </c:ext>
                <c:ext xmlns:c16="http://schemas.microsoft.com/office/drawing/2014/chart" uri="{C3380CC4-5D6E-409C-BE32-E72D297353CC}">
                  <c16:uniqueId val="{00000019-88C7-477B-89C8-9A3643AC4D90}"/>
                </c:ext>
              </c:extLst>
            </c:dLbl>
            <c:dLbl>
              <c:idx val="10"/>
              <c:tx>
                <c:strRef>
                  <c:f>'C07C'!$L$55</c:f>
                  <c:strCache>
                    <c:ptCount val="1"/>
                    <c:pt idx="0">
                      <c:v>967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{213B1D9D-E6E9-4181-8C25-2942F89EDE2D}</c15:txfldGUID>
                      <c15:f>'C07C'!$L$55</c15:f>
                      <c15:dlblFieldTableCache>
                        <c:ptCount val="1"/>
                        <c:pt idx="0">
                          <c:v>967</c:v>
                        </c:pt>
                      </c15:dlblFieldTableCache>
                    </c15:dlblFTEntry>
                  </c15:dlblFieldTable>
                  <c15:showDataLabelsRange val="0"/>
                </c:ext>
                <c:ext xmlns:c16="http://schemas.microsoft.com/office/drawing/2014/chart" uri="{C3380CC4-5D6E-409C-BE32-E72D297353CC}">
                  <c16:uniqueId val="{0000001A-88C7-477B-89C8-9A3643AC4D90}"/>
                </c:ext>
              </c:extLst>
            </c:dLbl>
            <c:dLbl>
              <c:idx val="11"/>
              <c:tx>
                <c:strRef>
                  <c:f>'C07C'!$M$55</c:f>
                  <c:strCache>
                    <c:ptCount val="1"/>
                    <c:pt idx="0">
                      <c:v>999</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{34F5CCFD-2CAE-4137-B96B-616C0CF2CDEC}</c15:txfldGUID>
                      <c15:f>'C07C'!$M$55</c15:f>
                      <c15:dlblFieldTableCache>
                        <c:ptCount val="1"/>
                        <c:pt idx="0">
                          <c:v>999</c:v>
                        </c:pt>
                      </c15:dlblFieldTableCache>
                    </c15:dlblFTEntry>
                  </c15:dlblFieldTable>
                  <c15:showDataLabelsRange val="0"/>
                </c:ext>
                <c:ext xmlns:c16="http://schemas.microsoft.com/office/drawing/2014/chart" uri="{C3380CC4-5D6E-409C-BE32-E72D297353CC}">
                  <c16:uniqueId val="{0000001B-88C7-477B-89C8-9A3643AC4D90}"/>
                </c:ext>
              </c:extLst>
            </c:dLbl>
            <c:numFmt formatCode="#,##0" sourceLinked="0"/>
            <c:spPr>
              <a:noFill/>
              <a:ln>
                <a:noFill/>
              </a:ln>
              <a:effectLst/>
            </c:spPr>
            <c:txPr>
              <a:bodyPr wrap="square" lIns="38100" tIns="19050" rIns="38100" bIns="19050" anchor="ctr">
                <a:spAutoFit/>
              </a:bodyPr>
              <a:lstStyle/>
              <a:p>
                <a:pPr>
                  <a:defRPr sz="8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'C07C'!$B$9:$M$9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'C07C'!$B$34:$M$34</c:f>
              <c:numCache>
                <c:formatCode>General</c:formatCode>
                <c:ptCount val="12"/>
                <c:pt idx="0">
                  <c:v>#N/A</c:v>
                </c:pt>
                <c:pt idx="1">
                  <c:v>#N/A</c:v>
                </c:pt>
                <c:pt idx="2">
                  <c:v>#N/A</c:v>
                </c:pt>
                <c:pt idx="3">
                  <c:v>#N/A</c:v>
                </c:pt>
                <c:pt idx="4">
                  <c:v>#N/A</c:v>
                </c:pt>
                <c:pt idx="5">
                  <c:v>#N/A</c:v>
                </c:pt>
                <c:pt idx="6">
                  <c:v>#N/A</c:v>
                </c:pt>
                <c:pt idx="7">
                  <c:v>8.6155726256983242E-2</c:v>
                </c:pt>
                <c:pt idx="8">
                  <c:v>8.3624301675977647E-2</c:v>
                </c:pt>
                <c:pt idx="9">
                  <c:v>8.6679469273743023E-2</c:v>
                </c:pt>
                <c:pt idx="10">
                  <c:v>8.4409916201117319E-2</c:v>
                </c:pt>
                <c:pt idx="11">
                  <c:v>8.7203212290502791E-2</c:v>
                </c:pt>
              </c:numCache>
            </c:numRef>
          </c:val>
          <c:extLst>
            <c:ext xmlns:c16="http://schemas.microsoft.com/office/drawing/2014/chart" uri="{C3380CC4-5D6E-409C-BE32-E72D297353CC}">
              <c16:uniqueId val="{0000000F-88C7-477B-89C8-9A3643AC4D90}"/>
            </c:ext>
          </c:extLst>
        </c:ser>
        <c:dLbls>
          <c:showLegendKey val="0"/>
          <c:showVal val="0"/>
          <c:showCatName val="0"/>
          <c:showSerName val="0"/>
          <c:showPercent val="0"/>
          <c:showBubbleSize val="0"/>
        </c:dLbls>
        <c:gapWidth val="60"/>
        <c:overlap val="40"/>
        <c:axId val="1226670848"/>
        <c:axId val="1095862192"/>
      </c:barChart>
      <c:lineChart>
        <c:grouping val="standard"/>
        <c:varyColors val="0"/>
        <c:ser>
          <c:idx val="3"/>
          <c:order val="3"/>
          <c:tx>
            <c:v>PL cumulative</c:v>
          </c:tx>
          <c:spPr>
            <a:ln w="9525">
              <a:solidFill>
                <a:srgbClr val="000000"/>
              </a:solidFill>
            </a:ln>
          </c:spPr>
          <c:marker>
            <c:symbol val="square"/>
            <c:size val="5"/>
            <c:spPr>
              <a:solidFill>
                <a:srgbClr val="FFFFFF"/>
              </a:solidFill>
              <a:ln w="9525">
                <a:solidFill>
                  <a:srgbClr val="404040"/>
                </a:solidFill>
                <a:prstDash val="solid"/>
              </a:ln>
            </c:spPr>
          </c:marker>
          <c:dLbls>
            <c:dLbl>
              <c:idx val="0"/>
              <c:tx>
                <c:strRef>
                  <c:f>'C07C'!$B$56</c:f>
                  <c:strCache>
                    <c:ptCount val="1"/>
                    <c:pt idx="0">
                      <c:v>277</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{1141D5CE-1031-43F1-8261-F69BEB5F2293}</c15:txfldGUID>
                      <c15:f>'C07C'!$B$56</c15:f>
                      <c15:dlblFieldTableCache>
                        <c:ptCount val="1"/>
                        <c:pt idx="0">
                          <c:v>277</c:v>
                        </c:pt>
                      </c15:dlblFieldTableCache>
                    </c15:dlblFTEntry>
                  </c15:dlblFieldTable>
                  <c15:showDataLabelsRange val="0"/>
                </c:ext>
                <c:ext xmlns:c16="http://schemas.microsoft.com/office/drawing/2014/chart" uri="{C3380CC4-5D6E-409C-BE32-E72D297353CC}">
                  <c16:uniqueId val="{0000001D-88C7-477B-89C8-9A3643AC4D90}"/>
                </c:ext>
              </c:extLst>
            </c:dLbl>
            <c:dLbl>
              <c:idx val="1"/>
              <c:tx>
                <c:strRef>
                  <c:f>'C07C'!$C$56</c:f>
                  <c:strCache>
                    <c:ptCount val="1"/>
                    <c:pt idx="0">
                      <c:v>538</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{F8E07A64-12E9-4A14-A4D4-9EFB4FF9A6AC}</c15:txfldGUID>
                      <c15:f>'C07C'!$C$56</c15:f>
                      <c15:dlblFieldTableCache>
                        <c:ptCount val="1"/>
                        <c:pt idx="0">
                          <c:v>538</c:v>
                        </c:pt>
                      </c15:dlblFieldTableCache>
                    </c15:dlblFTEntry>
                  </c15:dlblFieldTable>
                  <c15:showDataLabelsRange val="0"/>
                </c:ext>
                <c:ext xmlns:c16="http://schemas.microsoft.com/office/drawing/2014/chart" uri="{C3380CC4-5D6E-409C-BE32-E72D297353CC}">
                  <c16:uniqueId val="{0000001E-88C7-477B-89C8-9A3643AC4D90}"/>
                </c:ext>
              </c:extLst>
            </c:dLbl>
            <c:dLbl>
              <c:idx val="2"/>
              <c:tx>
                <c:strRef>
                  <c:f>'C07C'!$D$56</c:f>
                  <c:strCache>
                    <c:ptCount val="1"/>
                    <c:pt idx="0">
                      <c:v>839</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{06346910-E9BE-4CB2-B782-5A659CCF801B}</c15:txfldGUID>
                      <c15:f>'C07C'!$D$56</c15:f>
                      <c15:dlblFieldTableCache>
                        <c:ptCount val="1"/>
                        <c:pt idx="0">
                          <c:v>839</c:v>
                        </c:pt>
                      </c15:dlblFieldTableCache>
                    </c15:dlblFTEntry>
                  </c15:dlblFieldTable>
                  <c15:showDataLabelsRange val="0"/>
                </c:ext>
                <c:ext xmlns:c16="http://schemas.microsoft.com/office/drawing/2014/chart" uri="{C3380CC4-5D6E-409C-BE32-E72D297353CC}">
                  <c16:uniqueId val="{0000001F-88C7-477B-89C8-9A3643AC4D90}"/>
                </c:ext>
              </c:extLst>
            </c:dLbl>
            <c:dLbl>
              <c:idx val="3"/>
              <c:tx>
                <c:strRef>
                  <c:f>'C07C'!$E$56</c:f>
                  <c:strCache>
                    <c:ptCount val="1"/>
                    <c:pt idx="0">
                      <c:v>1,123</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{B3909048-E542-40C8-B16C-EC45FE438AE5}</c15:txfldGUID>
                      <c15:f>'C07C'!$E$56</c15:f>
                      <c15:dlblFieldTableCache>
                        <c:ptCount val="1"/>
                        <c:pt idx="0">
                          <c:v>1,123</c:v>
                        </c:pt>
                      </c15:dlblFieldTableCache>
                    </c15:dlblFTEntry>
                  </c15:dlblFieldTable>
                  <c15:showDataLabelsRange val="0"/>
                </c:ext>
                <c:ext xmlns:c16="http://schemas.microsoft.com/office/drawing/2014/chart" uri="{C3380CC4-5D6E-409C-BE32-E72D297353CC}">
                  <c16:uniqueId val="{00000020-88C7-477B-89C8-9A3643AC4D90}"/>
                </c:ext>
              </c:extLst>
            </c:dLbl>
            <c:dLbl>
              <c:idx val="4"/>
              <c:tx>
                <c:strRef>
                  <c:f>'C07C'!$F$56</c:f>
                  <c:strCache>
                    <c:ptCount val="1"/>
                    <c:pt idx="0">
                      <c:v>1,417</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{A43E3FF8-0C1C-47E2-A939-C18BE3D863A2}</c15:txfldGUID>
                      <c15:f>'C07C'!$F$56</c15:f>
                      <c15:dlblFieldTableCache>
                        <c:ptCount val="1"/>
                        <c:pt idx="0">
                          <c:v>1,417</c:v>
                        </c:pt>
                      </c15:dlblFieldTableCache>
                    </c15:dlblFTEntry>
                  </c15:dlblFieldTable>
                  <c15:showDataLabelsRange val="0"/>
                </c:ext>
                <c:ext xmlns:c16="http://schemas.microsoft.com/office/drawing/2014/chart" uri="{C3380CC4-5D6E-409C-BE32-E72D297353CC}">
                  <c16:uniqueId val="{00000021-88C7-477B-89C8-9A3643AC4D90}"/>
                </c:ext>
              </c:extLst>
            </c:dLbl>
            <c:dLbl>
              <c:idx val="5"/>
              <c:tx>
                <c:strRef>
                  <c:f>'C07C'!$G$56</c:f>
                  <c:strCache>
                    <c:ptCount val="1"/>
                    <c:pt idx="0">
                      <c:v>1,701</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{2728506B-5B7E-4120-B109-776549FD7771}</c15:txfldGUID>
                      <c15:f>'C07C'!$G$56</c15:f>
                      <c15:dlblFieldTableCache>
                        <c:ptCount val="1"/>
                        <c:pt idx="0">
                          <c:v>1,701</c:v>
                        </c:pt>
                      </c15:dlblFieldTableCache>
                    </c15:dlblFTEntry>
                  </c15:dlblFieldTable>
                  <c15:showDataLabelsRange val="0"/>
                </c:ext>
                <c:ext xmlns:c16="http://schemas.microsoft.com/office/drawing/2014/chart" uri="{C3380CC4-5D6E-409C-BE32-E72D297353CC}">
                  <c16:uniqueId val="{00000022-88C7-477B-89C8-9A3643AC4D90}"/>
                </c:ext>
              </c:extLst>
            </c:dLbl>
            <c:dLbl>
              <c:idx val="6"/>
              <c:tx>
                <c:strRef>
                  <c:f>'C07C'!$H$56</c:f>
                  <c:strCache>
                    <c:ptCount val="1"/>
                    <c:pt idx="0">
                      <c:v>1,995</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{16AF74DC-FE87-48E0-9556-14BA0B9E9D75}</c15:txfldGUID>
                      <c15:f>'C07C'!$H$56</c15:f>
                      <c15:dlblFieldTableCache>
                        <c:ptCount val="1"/>
                        <c:pt idx="0">
                          <c:v>1,995</c:v>
                        </c:pt>
                      </c15:dlblFieldTableCache>
                    </c15:dlblFTEntry>
                  </c15:dlblFieldTable>
                  <c15:showDataLabelsRange val="0"/>
                </c:ext>
                <c:ext xmlns:c16="http://schemas.microsoft.com/office/drawing/2014/chart" uri="{C3380CC4-5D6E-409C-BE32-E72D297353CC}">
                  <c16:uniqueId val="{00000023-88C7-477B-89C8-9A3643AC4D90}"/>
                </c:ext>
              </c:extLst>
            </c:dLbl>
            <c:dLbl>
              <c:idx val="7"/>
              <c:tx>
                <c:strRef>
                  <c:f>'C07C'!$I$56</c:f>
                  <c:strCache>
                    <c:ptCount val="1"/>
                    <c:pt idx="0">
                      <c:v>2,296</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{1AFB6AFC-14AC-45DA-AD0D-B1FE350895AA}</c15:txfldGUID>
                      <c15:f>'C07C'!$I$56</c15:f>
                      <c15:dlblFieldTableCache>
                        <c:ptCount val="1"/>
                        <c:pt idx="0">
                          <c:v>2,296</c:v>
                        </c:pt>
                      </c15:dlblFieldTableCache>
                    </c15:dlblFTEntry>
                  </c15:dlblFieldTable>
                  <c15:showDataLabelsRange val="0"/>
                </c:ext>
                <c:ext xmlns:c16="http://schemas.microsoft.com/office/drawing/2014/chart" uri="{C3380CC4-5D6E-409C-BE32-E72D297353CC}">
                  <c16:uniqueId val="{00000024-88C7-477B-89C8-9A3643AC4D90}"/>
                </c:ext>
              </c:extLst>
            </c:dLbl>
            <c:dLbl>
              <c:idx val="8"/>
              <c:tx>
                <c:strRef>
                  <c:f>'C07C'!$J$56</c:f>
                  <c:strCache>
                    <c:ptCount val="1"/>
                    <c:pt idx="0">
                      <c:v>2,588</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{AB2149EA-F65C-485C-8C6A-339383A8A1B2}</c15:txfldGUID>
                      <c15:f>'C07C'!$J$56</c15:f>
                      <c15:dlblFieldTableCache>
                        <c:ptCount val="1"/>
                        <c:pt idx="0">
                          <c:v>2,588</c:v>
                        </c:pt>
                      </c15:dlblFieldTableCache>
                    </c15:dlblFTEntry>
                  </c15:dlblFieldTable>
                  <c15:showDataLabelsRange val="0"/>
                </c:ext>
                <c:ext xmlns:c16="http://schemas.microsoft.com/office/drawing/2014/chart" uri="{C3380CC4-5D6E-409C-BE32-E72D297353CC}">
                  <c16:uniqueId val="{00000025-88C7-477B-89C8-9A3643AC4D90}"/>
                </c:ext>
              </c:extLst>
            </c:dLbl>
            <c:dLbl>
              <c:idx val="9"/>
              <c:tx>
                <c:strRef>
                  <c:f>'C07C'!$K$56</c:f>
                  <c:strCache>
                    <c:ptCount val="1"/>
                    <c:pt idx="0">
                      <c:v>2,890</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{57207ADC-04A8-4B15-9A29-6248D993517F}</c15:txfldGUID>
                      <c15:f>'C07C'!$K$56</c15:f>
                      <c15:dlblFieldTableCache>
                        <c:ptCount val="1"/>
                        <c:pt idx="0">
                          <c:v>2,890</c:v>
                        </c:pt>
                      </c15:dlblFieldTableCache>
                    </c15:dlblFTEntry>
                  </c15:dlblFieldTable>
                  <c15:showDataLabelsRange val="0"/>
                </c:ext>
                <c:ext xmlns:c16="http://schemas.microsoft.com/office/drawing/2014/chart" uri="{C3380CC4-5D6E-409C-BE32-E72D297353CC}">
                  <c16:uniqueId val="{00000026-88C7-477B-89C8-9A3643AC4D90}"/>
                </c:ext>
              </c:extLst>
            </c:dLbl>
            <c:dLbl>
              <c:idx val="10"/>
              <c:tx>
                <c:strRef>
                  <c:f>'C07C'!$L$56</c:f>
                  <c:strCache>
                    <c:ptCount val="1"/>
                    <c:pt idx="0">
                      <c:v>3,185</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{18A1F44C-C227-4922-8330-ECB83DB5C507}</c15:txfldGUID>
                      <c15:f>'C07C'!$L$56</c15:f>
                      <c15:dlblFieldTableCache>
                        <c:ptCount val="1"/>
                        <c:pt idx="0">
                          <c:v>3,185</c:v>
                        </c:pt>
                      </c15:dlblFieldTableCache>
                    </c15:dlblFTEntry>
                  </c15:dlblFieldTable>
                  <c15:showDataLabelsRange val="0"/>
                </c:ext>
                <c:ext xmlns:c16="http://schemas.microsoft.com/office/drawing/2014/chart" uri="{C3380CC4-5D6E-409C-BE32-E72D297353CC}">
                  <c16:uniqueId val="{00000027-88C7-477B-89C8-9A3643AC4D90}"/>
                </c:ext>
              </c:extLst>
            </c:dLbl>
            <c:dLbl>
              <c:idx val="11"/>
              <c:tx>
                <c:strRef>
                  <c:f>'C07C'!$M$56</c:f>
                  <c:strCache>
                    <c:ptCount val="1"/>
                    <c:pt idx="0">
                      <c:v>3,489</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{DB690B2C-C53F-4F69-B691-9E3106DD9E17}</c15:txfldGUID>
                      <c15:f>'C07C'!$M$56</c15:f>
                      <c15:dlblFieldTableCache>
                        <c:ptCount val="1"/>
                        <c:pt idx="0">
                          <c:v>3,489</c:v>
                        </c:pt>
                      </c15:dlblFieldTableCache>
                    </c15:dlblFTEntry>
                  </c15:dlblFieldTable>
                  <c15:showDataLabelsRange val="0"/>
                </c:ext>
                <c:ext xmlns:c16="http://schemas.microsoft.com/office/drawing/2014/chart" uri="{C3380CC4-5D6E-409C-BE32-E72D297353CC}">
                  <c16:uniqueId val="{00000028-88C7-477B-89C8-9A3643AC4D90}"/>
                </c:ext>
              </c:extLst>
            </c:dLbl>
            <c:numFmt formatCode="#,##0" sourceLinked="0"/>
            <c:spPr>
              <a:noFill/>
              <a:ln>
                <a:noFill/>
              </a:ln>
              <a:effectLst/>
            </c:spPr>
            <c:txPr>
              <a:bodyPr wrap="square" lIns="38100" tIns="19050" rIns="38100" bIns="19050" anchor="ctr">
                <a:spAutoFit/>
              </a:bodyPr>
              <a:lstStyle/>
              <a:p>
                <a:pPr>
                  <a:defRPr sz="800">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'C07C'!$B$9:$M$9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'C07C'!$B$35:$M$35</c:f>
              <c:numCache>
                <c:formatCode>General</c:formatCode>
                <c:ptCount val="12"/>
                <c:pt idx="0">
                  <c:v>2.4179469273743016E-2</c:v>
                </c:pt>
                <c:pt idx="1">
                  <c:v>4.6962290502793297E-2</c:v>
                </c:pt>
                <c:pt idx="2">
                  <c:v>7.3236731843575417E-2</c:v>
                </c:pt>
                <c:pt idx="3">
                  <c:v>9.8027234636871505E-2</c:v>
                </c:pt>
                <c:pt idx="4">
                  <c:v>0.12369064245810056</c:v>
                </c:pt>
                <c:pt idx="5">
                  <c:v>0.14848114525139663</c:v>
                </c:pt>
                <c:pt idx="6">
                  <c:v>0.17414455307262569</c:v>
                </c:pt>
                <c:pt idx="7">
                  <c:v>0.20041899441340782</c:v>
                </c:pt>
                <c:pt idx="8">
                  <c:v>0.22590782122905029</c:v>
                </c:pt>
                <c:pt idx="9">
                  <c:v>0.25226955307262572</c:v>
                </c:pt>
                <c:pt idx="10">
                  <c:v>0.27802025139664804</c:v>
                </c:pt>
                <c:pt idx="11">
                  <c:v>0.30455656424581007</c:v>
                </c:pt>
              </c:numCache>
            </c:numRef>
          </c:val>
          <c:smooth val="0"/>
          <c:extLst>
            <c:ext xmlns:c16="http://schemas.microsoft.com/office/drawing/2014/chart" uri="{C3380CC4-5D6E-409C-BE32-E72D297353CC}">
              <c16:uniqueId val="{0000001C-88C7-477B-89C8-9A3643AC4D90}"/>
            </c:ext>
          </c:extLst>
        </c:ser>
        <c:ser>
          <c:idx val="4"/>
          <c:order val="4"/>
          <c:tx>
            <c:v>AC cumulative</c:v>
          </c:tx>
          <c:spPr>
            <a:ln w="9525">
              <a:solidFill>
                <a:srgbClr val="000000"/>
              </a:solidFill>
            </a:ln>
          </c:spPr>
          <c:marker>
            <c:symbol val="square"/>
            <c:size val="5"/>
            <c:spPr>
              <a:solidFill>
                <a:srgbClr val="404040"/>
              </a:solidFill>
              <a:ln w="9525">
                <a:solidFill>
                  <a:srgbClr val="000000"/>
                </a:solidFill>
                <a:prstDash val="solid"/>
              </a:ln>
            </c:spPr>
          </c:marker>
          <c:dLbls>
            <c:dLbl>
              <c:idx val="0"/>
              <c:tx>
                <c:strRef>
                  <c:f>'C07C'!$B$57</c:f>
                  <c:strCache>
                    <c:ptCount val="1"/>
                    <c:pt idx="0">
                      <c:v>1,080</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{01F0B433-1445-4187-9AF0-DAAD207D8AD9}</c15:txfldGUID>
                      <c15:f>'C07C'!$B$57</c15:f>
                      <c15:dlblFieldTableCache>
                        <c:ptCount val="1"/>
                        <c:pt idx="0">
                          <c:v>1,080</c:v>
                        </c:pt>
                      </c15:dlblFieldTableCache>
                    </c15:dlblFTEntry>
                  </c15:dlblFieldTable>
                  <c15:showDataLabelsRange val="0"/>
                </c:ext>
                <c:ext xmlns:c16="http://schemas.microsoft.com/office/drawing/2014/chart" uri="{C3380CC4-5D6E-409C-BE32-E72D297353CC}">
                  <c16:uniqueId val="{0000002A-88C7-477B-89C8-9A3643AC4D90}"/>
                </c:ext>
              </c:extLst>
            </c:dLbl>
            <c:dLbl>
              <c:idx val="1"/>
              <c:tx>
                <c:strRef>
                  <c:f>'C07C'!$C$57</c:f>
                  <c:strCache>
                    <c:ptCount val="1"/>
                    <c:pt idx="0">
                      <c:v>2,014</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{897F442C-F284-40EE-A7AB-1482F0F43A06}</c15:txfldGUID>
                      <c15:f>'C07C'!$C$57</c15:f>
                      <c15:dlblFieldTableCache>
                        <c:ptCount val="1"/>
                        <c:pt idx="0">
                          <c:v>2,014</c:v>
                        </c:pt>
                      </c15:dlblFieldTableCache>
                    </c15:dlblFTEntry>
                  </c15:dlblFieldTable>
                  <c15:showDataLabelsRange val="0"/>
                </c:ext>
                <c:ext xmlns:c16="http://schemas.microsoft.com/office/drawing/2014/chart" uri="{C3380CC4-5D6E-409C-BE32-E72D297353CC}">
                  <c16:uniqueId val="{0000002B-88C7-477B-89C8-9A3643AC4D90}"/>
                </c:ext>
              </c:extLst>
            </c:dLbl>
            <c:dLbl>
              <c:idx val="2"/>
              <c:tx>
                <c:strRef>
                  <c:f>'C07C'!$D$57</c:f>
                  <c:strCache>
                    <c:ptCount val="1"/>
                    <c:pt idx="0">
                      <c:v>2,856</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{325A51E2-9F6D-4C19-AF4A-39D32903A0CD}</c15:txfldGUID>
                      <c15:f>'C07C'!$D$57</c15:f>
                      <c15:dlblFieldTableCache>
                        <c:ptCount val="1"/>
                        <c:pt idx="0">
                          <c:v>2,856</c:v>
                        </c:pt>
                      </c15:dlblFieldTableCache>
                    </c15:dlblFTEntry>
                  </c15:dlblFieldTable>
                  <c15:showDataLabelsRange val="0"/>
                </c:ext>
                <c:ext xmlns:c16="http://schemas.microsoft.com/office/drawing/2014/chart" uri="{C3380CC4-5D6E-409C-BE32-E72D297353CC}">
                  <c16:uniqueId val="{0000002C-88C7-477B-89C8-9A3643AC4D90}"/>
                </c:ext>
              </c:extLst>
            </c:dLbl>
            <c:dLbl>
              <c:idx val="3"/>
              <c:tx>
                <c:strRef>
                  <c:f>'C07C'!$E$57</c:f>
                  <c:strCache>
                    <c:ptCount val="1"/>
                    <c:pt idx="0">
                      <c:v>3,553</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{7089DACC-22BD-46BB-A6D9-F7D3E4322566}</c15:txfldGUID>
                      <c15:f>'C07C'!$E$57</c15:f>
                      <c15:dlblFieldTableCache>
                        <c:ptCount val="1"/>
                        <c:pt idx="0">
                          <c:v>3,553</c:v>
                        </c:pt>
                      </c15:dlblFieldTableCache>
                    </c15:dlblFTEntry>
                  </c15:dlblFieldTable>
                  <c15:showDataLabelsRange val="0"/>
                </c:ext>
                <c:ext xmlns:c16="http://schemas.microsoft.com/office/drawing/2014/chart" uri="{C3380CC4-5D6E-409C-BE32-E72D297353CC}">
                  <c16:uniqueId val="{0000002D-88C7-477B-89C8-9A3643AC4D90}"/>
                </c:ext>
              </c:extLst>
            </c:dLbl>
            <c:dLbl>
              <c:idx val="4"/>
              <c:tx>
                <c:strRef>
                  <c:f>'C07C'!$F$57</c:f>
                  <c:strCache>
                    <c:ptCount val="1"/>
                    <c:pt idx="0">
                      <c:v>4,871</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{928159ED-BE97-4812-AFF3-012182E9042E}</c15:txfldGUID>
                      <c15:f>'C07C'!$F$57</c15:f>
                      <c15:dlblFieldTableCache>
                        <c:ptCount val="1"/>
                        <c:pt idx="0">
                          <c:v>4,871</c:v>
                        </c:pt>
                      </c15:dlblFieldTableCache>
                    </c15:dlblFTEntry>
                  </c15:dlblFieldTable>
                  <c15:showDataLabelsRange val="0"/>
                </c:ext>
                <c:ext xmlns:c16="http://schemas.microsoft.com/office/drawing/2014/chart" uri="{C3380CC4-5D6E-409C-BE32-E72D297353CC}">
                  <c16:uniqueId val="{0000002E-88C7-477B-89C8-9A3643AC4D90}"/>
                </c:ext>
              </c:extLst>
            </c:dLbl>
            <c:dLbl>
              <c:idx val="5"/>
              <c:tx>
                <c:strRef>
                  <c:f>'C07C'!$G$57</c:f>
                  <c:strCache>
                    <c:ptCount val="1"/>
                    <c:pt idx="0">
                      <c:v>5,581</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{008EC56F-00D8-4454-B9C5-009E33A38165}</c15:txfldGUID>
                      <c15:f>'C07C'!$G$57</c15:f>
                      <c15:dlblFieldTableCache>
                        <c:ptCount val="1"/>
                        <c:pt idx="0">
                          <c:v>5,581</c:v>
                        </c:pt>
                      </c15:dlblFieldTableCache>
                    </c15:dlblFTEntry>
                  </c15:dlblFieldTable>
                  <c15:showDataLabelsRange val="0"/>
                </c:ext>
                <c:ext xmlns:c16="http://schemas.microsoft.com/office/drawing/2014/chart" uri="{C3380CC4-5D6E-409C-BE32-E72D297353CC}">
                  <c16:uniqueId val="{0000002F-88C7-477B-89C8-9A3643AC4D90}"/>
                </c:ext>
              </c:extLst>
            </c:dLbl>
            <c:dLbl>
              <c:idx val="6"/>
              <c:tx>
                <c:strRef>
                  <c:f>'C07C'!$H$57</c:f>
                  <c:strCache>
                    <c:ptCount val="1"/>
                    <c:pt idx="0">
                      <c:v>6,552</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{272AEABE-1BD5-4992-8296-6AA7DA40755C}</c15:txfldGUID>
                      <c15:f>'C07C'!$H$57</c15:f>
                      <c15:dlblFieldTableCache>
                        <c:ptCount val="1"/>
                        <c:pt idx="0">
                          <c:v>6,552</c:v>
                        </c:pt>
                      </c15:dlblFieldTableCache>
                    </c15:dlblFTEntry>
                  </c15:dlblFieldTable>
                  <c15:showDataLabelsRange val="0"/>
                </c:ext>
                <c:ext xmlns:c16="http://schemas.microsoft.com/office/drawing/2014/chart" uri="{C3380CC4-5D6E-409C-BE32-E72D297353CC}">
                  <c16:uniqueId val="{00000030-88C7-477B-89C8-9A3643AC4D90}"/>
                </c:ext>
              </c:extLst>
            </c:dLbl>
            <c:dLbl>
              <c:idx val="7"/>
              <c:tx>
                <c:strRef>
                  <c:f>'C07C'!$I$57</c:f>
                  <c:strCache>
                    <c:ptCount val="1"/>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{9C0D8EE6-9ED3-46B0-A4C3-46A0FE1ACA42}</c15:txfldGUID>
                      <c15:f>'C07C'!$I$57</c15:f>
                      <c15:dlblFieldTableCache>
                        <c:ptCount val="1"/>
                      </c15:dlblFieldTableCache>
                    </c15:dlblFTEntry>
                  </c15:dlblFieldTable>
                  <c15:showDataLabelsRange val="0"/>
                </c:ext>
                <c:ext xmlns:c16="http://schemas.microsoft.com/office/drawing/2014/chart" uri="{C3380CC4-5D6E-409C-BE32-E72D297353CC}">
                  <c16:uniqueId val="{00000031-88C7-477B-89C8-9A3643AC4D90}"/>
                </c:ext>
              </c:extLst>
            </c:dLbl>
            <c:dLbl>
              <c:idx val="8"/>
              <c:tx>
                <c:strRef>
                  <c:f>'C07C'!$J$57</c:f>
                  <c:strCache>
                    <c:ptCount val="1"/>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{C0CEEEB2-1CA1-4A20-A517-970021BB64A0}</c15:txfldGUID>
                      <c15:f>'C07C'!$J$57</c15:f>
                      <c15:dlblFieldTableCache>
                        <c:ptCount val="1"/>
                      </c15:dlblFieldTableCache>
                    </c15:dlblFTEntry>
                  </c15:dlblFieldTable>
                  <c15:showDataLabelsRange val="0"/>
                </c:ext>
                <c:ext xmlns:c16="http://schemas.microsoft.com/office/drawing/2014/chart" uri="{C3380CC4-5D6E-409C-BE32-E72D297353CC}">
                  <c16:uniqueId val="{00000032-88C7-477B-89C8-9A3643AC4D90}"/>
                </c:ext>
              </c:extLst>
            </c:dLbl>
            <c:dLbl>
              <c:idx val="9"/>
              <c:tx>
                <c:strRef>
                  <c:f>'C07C'!$K$57</c:f>
                  <c:strCache>
                    <c:ptCount val="1"/>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{C2FDB871-8C04-4963-83E5-0B23CA924DE6}</c15:txfldGUID>
                      <c15:f>'C07C'!$K$57</c15:f>
                      <c15:dlblFieldTableCache>
                        <c:ptCount val="1"/>
                      </c15:dlblFieldTableCache>
                    </c15:dlblFTEntry>
                  </c15:dlblFieldTable>
                  <c15:showDataLabelsRange val="0"/>
                </c:ext>
                <c:ext xmlns:c16="http://schemas.microsoft.com/office/drawing/2014/chart" uri="{C3380CC4-5D6E-409C-BE32-E72D297353CC}">
                  <c16:uniqueId val="{00000033-88C7-477B-89C8-9A3643AC4D90}"/>
                </c:ext>
              </c:extLst>
            </c:dLbl>
            <c:dLbl>
              <c:idx val="10"/>
              <c:tx>
                <c:strRef>
                  <c:f>'C07C'!$L$57</c:f>
                  <c:strCache>
                    <c:ptCount val="1"/>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{13A664BA-EE33-4D7A-A6B3-D616134AB447}</c15:txfldGUID>
                      <c15:f>'C07C'!$L$57</c15:f>
                      <c15:dlblFieldTableCache>
                        <c:ptCount val="1"/>
                      </c15:dlblFieldTableCache>
                    </c15:dlblFTEntry>
                  </c15:dlblFieldTable>
                  <c15:showDataLabelsRange val="0"/>
                </c:ext>
                <c:ext xmlns:c16="http://schemas.microsoft.com/office/drawing/2014/chart" uri="{C3380CC4-5D6E-409C-BE32-E72D297353CC}">
                  <c16:uniqueId val="{00000034-88C7-477B-89C8-9A3643AC4D90}"/>
                </c:ext>
              </c:extLst>
            </c:dLbl>
            <c:dLbl>
              <c:idx val="11"/>
              <c:tx>
                <c:strRef>
                  <c:f>'C07C'!$M$57</c:f>
                  <c:strCache>
                    <c:ptCount val="1"/>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{646B1C4D-3A44-4482-9225-A9A4834641C9}</c15:txfldGUID>
                      <c15:f>'C07C'!$M$57</c15:f>
                      <c15:dlblFieldTableCache>
                        <c:ptCount val="1"/>
                      </c15:dlblFieldTableCache>
                    </c15:dlblFTEntry>
                  </c15:dlblFieldTable>
                  <c15:showDataLabelsRange val="0"/>
                </c:ext>
                <c:ext xmlns:c16="http://schemas.microsoft.com/office/drawing/2014/chart" uri="{C3380CC4-5D6E-409C-BE32-E72D297353CC}">
                  <c16:uniqueId val="{00000035-88C7-477B-89C8-9A3643AC4D90}"/>
                </c:ext>
              </c:extLst>
            </c:dLbl>
            <c:numFmt formatCode="#,##0" sourceLinked="0"/>
            <c:spPr>
              <a:noFill/>
              <a:ln>
                <a:noFill/>
              </a:ln>
              <a:effectLst/>
            </c:spPr>
            <c:txPr>
              <a:bodyPr wrap="square" lIns="38100" tIns="19050" rIns="38100" bIns="19050" anchor="ctr">
                <a:spAutoFit/>
              </a:bodyPr>
              <a:lstStyle/>
              <a:p>
                <a:pPr>
                  <a:defRPr sz="800">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'C07C'!$B$9:$M$9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'C07C'!$B$36:$M$36</c:f>
              <c:numCache>
                <c:formatCode>General</c:formatCode>
                <c:ptCount val="12"/>
                <c:pt idx="0">
                  <c:v>9.4273743016759781E-2</c:v>
                </c:pt>
                <c:pt idx="1">
                  <c:v>0.17580307262569833</c:v>
                </c:pt>
                <c:pt idx="2">
                  <c:v>0.24930167597765363</c:v>
                </c:pt>
                <c:pt idx="3">
                  <c:v>0.31014315642458101</c:v>
                </c:pt>
                <c:pt idx="4">
                  <c:v>0.42519203910614523</c:v>
                </c:pt>
                <c:pt idx="5">
                  <c:v>0.4871682960893855</c:v>
                </c:pt>
                <c:pt idx="6">
                  <c:v>0.57192737430167595</c:v>
                </c:pt>
                <c:pt idx="7">
                  <c:v>#N/A</c:v>
                </c:pt>
                <c:pt idx="8">
                  <c:v>#N/A</c:v>
                </c:pt>
                <c:pt idx="9">
                  <c:v>#N/A</c:v>
                </c:pt>
                <c:pt idx="10">
                  <c:v>#N/A</c:v>
                </c:pt>
                <c:pt idx="11">
                  <c:v>#N/A</c:v>
                </c:pt>
              </c:numCache>
            </c:numRef>
          </c:val>
          <c:smooth val="0"/>
          <c:extLst>
            <c:ext xmlns:c16="http://schemas.microsoft.com/office/drawing/2014/chart" uri="{C3380CC4-5D6E-409C-BE32-E72D297353CC}">
              <c16:uniqueId val="{00000029-88C7-477B-89C8-9A3643AC4D90}"/>
            </c:ext>
          </c:extLst>
        </c:ser>
        <c:ser>
          <c:idx val="5"/>
          <c:order val="5"/>
          <c:tx>
            <c:v>FC cumulative</c:v>
          </c:tx>
          <c:spPr>
            <a:ln w="9525">
              <a:solidFill>
                <a:srgbClr val="000000"/>
              </a:solidFill>
            </a:ln>
          </c:spPr>
          <c:marker>
            <c:symbol val="square"/>
            <c:size val="5"/>
            <c:spPr>
              <a:solidFill>
                <a:srgbClr val="F2F2F2"/>
              </a:solidFill>
              <a:ln w="9525">
                <a:solidFill>
                  <a:srgbClr val="404040"/>
                </a:solidFill>
                <a:prstDash val="solid"/>
              </a:ln>
            </c:spPr>
          </c:marker>
          <c:dPt>
            <c:idx val="7"/>
            <c:marker>
              <c:symbol val="none"/>
            </c:marker>
            <c:bubble3D val="0"/>
            <c:extLst>
              <c:ext xmlns:c16="http://schemas.microsoft.com/office/drawing/2014/chart" uri="{C3380CC4-5D6E-409C-BE32-E72D297353CC}">
                <c16:uniqueId val="{00000037-88C7-477B-89C8-9A3643AC4D90}"/>
              </c:ext>
            </c:extLst>
          </c:dPt>
          <c:dLbls>
            <c:dLbl>
              <c:idx val="0"/>
              <c:tx>
                <c:strRef>
                  <c:f>'C07C'!$B$58</c:f>
                  <c:strCache>
                    <c:ptCount val="1"/>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{B1285496-1EF8-4726-B34D-8296980BD7E3}</c15:txfldGUID>
                      <c15:f>'C07C'!$B$58</c15:f>
                      <c15:dlblFieldTableCache>
                        <c:ptCount val="1"/>
                      </c15:dlblFieldTableCache>
                    </c15:dlblFTEntry>
                  </c15:dlblFieldTable>
                  <c15:showDataLabelsRange val="0"/>
                </c:ext>
                <c:ext xmlns:c16="http://schemas.microsoft.com/office/drawing/2014/chart" uri="{C3380CC4-5D6E-409C-BE32-E72D297353CC}">
                  <c16:uniqueId val="{00000038-88C7-477B-89C8-9A3643AC4D90}"/>
                </c:ext>
              </c:extLst>
            </c:dLbl>
            <c:dLbl>
              <c:idx val="1"/>
              <c:tx>
                <c:strRef>
                  <c:f>'C07C'!$C$58</c:f>
                  <c:strCache>
                    <c:ptCount val="1"/>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{59C15D9E-B662-4BEB-A0A0-2A23E15A589D}</c15:txfldGUID>
                      <c15:f>'C07C'!$C$58</c15:f>
                      <c15:dlblFieldTableCache>
                        <c:ptCount val="1"/>
                      </c15:dlblFieldTableCache>
                    </c15:dlblFTEntry>
                  </c15:dlblFieldTable>
                  <c15:showDataLabelsRange val="0"/>
                </c:ext>
                <c:ext xmlns:c16="http://schemas.microsoft.com/office/drawing/2014/chart" uri="{C3380CC4-5D6E-409C-BE32-E72D297353CC}">
                  <c16:uniqueId val="{00000039-88C7-477B-89C8-9A3643AC4D90}"/>
                </c:ext>
              </c:extLst>
            </c:dLbl>
            <c:dLbl>
              <c:idx val="2"/>
              <c:tx>
                <c:strRef>
                  <c:f>'C07C'!$D$58</c:f>
                  <c:strCache>
                    <c:ptCount val="1"/>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{FE0FB97C-66E1-4CDB-B80E-CA520E194680}</c15:txfldGUID>
                      <c15:f>'C07C'!$D$58</c15:f>
                      <c15:dlblFieldTableCache>
                        <c:ptCount val="1"/>
                      </c15:dlblFieldTableCache>
                    </c15:dlblFTEntry>
                  </c15:dlblFieldTable>
                  <c15:showDataLabelsRange val="0"/>
                </c:ext>
                <c:ext xmlns:c16="http://schemas.microsoft.com/office/drawing/2014/chart" uri="{C3380CC4-5D6E-409C-BE32-E72D297353CC}">
                  <c16:uniqueId val="{0000003A-88C7-477B-89C8-9A3643AC4D90}"/>
                </c:ext>
              </c:extLst>
            </c:dLbl>
            <c:dLbl>
              <c:idx val="3"/>
              <c:tx>
                <c:strRef>
                  <c:f>'C07C'!$E$58</c:f>
                  <c:strCache>
                    <c:ptCount val="1"/>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{4E92E4F8-E371-4A84-A384-19A59F1E24C7}</c15:txfldGUID>
                      <c15:f>'C07C'!$E$58</c15:f>
                      <c15:dlblFieldTableCache>
                        <c:ptCount val="1"/>
                      </c15:dlblFieldTableCache>
                    </c15:dlblFTEntry>
                  </c15:dlblFieldTable>
                  <c15:showDataLabelsRange val="0"/>
                </c:ext>
                <c:ext xmlns:c16="http://schemas.microsoft.com/office/drawing/2014/chart" uri="{C3380CC4-5D6E-409C-BE32-E72D297353CC}">
                  <c16:uniqueId val="{0000003B-88C7-477B-89C8-9A3643AC4D90}"/>
                </c:ext>
              </c:extLst>
            </c:dLbl>
            <c:dLbl>
              <c:idx val="4"/>
              <c:tx>
                <c:strRef>
                  <c:f>'C07C'!$F$58</c:f>
                  <c:strCache>
                    <c:ptCount val="1"/>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{78D9AD21-5A3A-4BEB-B180-FF297A9BFFFA}</c15:txfldGUID>
                      <c15:f>'C07C'!$F$58</c15:f>
                      <c15:dlblFieldTableCache>
                        <c:ptCount val="1"/>
                      </c15:dlblFieldTableCache>
                    </c15:dlblFTEntry>
                  </c15:dlblFieldTable>
                  <c15:showDataLabelsRange val="0"/>
                </c:ext>
                <c:ext xmlns:c16="http://schemas.microsoft.com/office/drawing/2014/chart" uri="{C3380CC4-5D6E-409C-BE32-E72D297353CC}">
                  <c16:uniqueId val="{0000003C-88C7-477B-89C8-9A3643AC4D90}"/>
                </c:ext>
              </c:extLst>
            </c:dLbl>
            <c:dLbl>
              <c:idx val="5"/>
              <c:tx>
                <c:strRef>
                  <c:f>'C07C'!$G$58</c:f>
                  <c:strCache>
                    <c:ptCount val="1"/>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{CB8ADAD4-8116-4CD9-A417-B7183A8C691F}</c15:txfldGUID>
                      <c15:f>'C07C'!$G$58</c15:f>
                      <c15:dlblFieldTableCache>
                        <c:ptCount val="1"/>
                      </c15:dlblFieldTableCache>
                    </c15:dlblFTEntry>
                  </c15:dlblFieldTable>
                  <c15:showDataLabelsRange val="0"/>
                </c:ext>
                <c:ext xmlns:c16="http://schemas.microsoft.com/office/drawing/2014/chart" uri="{C3380CC4-5D6E-409C-BE32-E72D297353CC}">
                  <c16:uniqueId val="{0000003D-88C7-477B-89C8-9A3643AC4D90}"/>
                </c:ext>
              </c:extLst>
            </c:dLbl>
            <c:dLbl>
              <c:idx val="6"/>
              <c:tx>
                <c:strRef>
                  <c:f>'C07C'!$H$58</c:f>
                  <c:strCache>
                    <c:ptCount val="1"/>
                    <c:pt idx="0">
                      <c:v>6,552</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{7515BD03-4849-449F-9877-200A81D20315}</c15:txfldGUID>
                      <c15:f>'C07C'!$H$58</c15:f>
                      <c15:dlblFieldTableCache>
                        <c:ptCount val="1"/>
                        <c:pt idx="0">
                          <c:v>6,552</c:v>
                        </c:pt>
                      </c15:dlblFieldTableCache>
                    </c15:dlblFTEntry>
                  </c15:dlblFieldTable>
                  <c15:showDataLabelsRange val="0"/>
                </c:ext>
                <c:ext xmlns:c16="http://schemas.microsoft.com/office/drawing/2014/chart" uri="{C3380CC4-5D6E-409C-BE32-E72D297353CC}">
                  <c16:uniqueId val="{0000003E-88C7-477B-89C8-9A3643AC4D90}"/>
                </c:ext>
              </c:extLst>
            </c:dLbl>
            <c:dLbl>
              <c:idx val="7"/>
              <c:tx>
                <c:strRef>
                  <c:f>'C07C'!$I$58</c:f>
                  <c:strCache>
                    <c:ptCount val="1"/>
                    <c:pt idx="0">
                      <c:v>7,539</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{E483EAD6-9949-4ECB-AA79-D38AF4BB9ECC}</c15:txfldGUID>
                      <c15:f>'C07C'!$I$58</c15:f>
                      <c15:dlblFieldTableCache>
                        <c:ptCount val="1"/>
                        <c:pt idx="0">
                          <c:v>7,539</c:v>
                        </c:pt>
                      </c15:dlblFieldTableCache>
                    </c15:dlblFTEntry>
                  </c15:dlblFieldTable>
                  <c15:showDataLabelsRange val="0"/>
                </c:ext>
                <c:ext xmlns:c16="http://schemas.microsoft.com/office/drawing/2014/chart" uri="{C3380CC4-5D6E-409C-BE32-E72D297353CC}">
                  <c16:uniqueId val="{00000037-88C7-477B-89C8-9A3643AC4D90}"/>
                </c:ext>
              </c:extLst>
            </c:dLbl>
            <c:dLbl>
              <c:idx val="8"/>
              <c:tx>
                <c:strRef>
                  <c:f>'C07C'!$J$58</c:f>
                  <c:strCache>
                    <c:ptCount val="1"/>
                    <c:pt idx="0">
                      <c:v>8,497</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{109E24EC-4C8C-4E4A-BF3A-E3DD314B6180}</c15:txfldGUID>
                      <c15:f>'C07C'!$J$58</c15:f>
                      <c15:dlblFieldTableCache>
                        <c:ptCount val="1"/>
                        <c:pt idx="0">
                          <c:v>8,497</c:v>
                        </c:pt>
                      </c15:dlblFieldTableCache>
                    </c15:dlblFTEntry>
                  </c15:dlblFieldTable>
                  <c15:showDataLabelsRange val="0"/>
                </c:ext>
                <c:ext xmlns:c16="http://schemas.microsoft.com/office/drawing/2014/chart" uri="{C3380CC4-5D6E-409C-BE32-E72D297353CC}">
                  <c16:uniqueId val="{0000003F-88C7-477B-89C8-9A3643AC4D90}"/>
                </c:ext>
              </c:extLst>
            </c:dLbl>
            <c:dLbl>
              <c:idx val="9"/>
              <c:tx>
                <c:strRef>
                  <c:f>'C07C'!$K$58</c:f>
                  <c:strCache>
                    <c:ptCount val="1"/>
                    <c:pt idx="0">
                      <c:v>9,490</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{FF4A1037-CA0D-40C7-AD8E-CE213E5F72BE}</c15:txfldGUID>
                      <c15:f>'C07C'!$K$58</c15:f>
                      <c15:dlblFieldTableCache>
                        <c:ptCount val="1"/>
                        <c:pt idx="0">
                          <c:v>9,490</c:v>
                        </c:pt>
                      </c15:dlblFieldTableCache>
                    </c15:dlblFTEntry>
                  </c15:dlblFieldTable>
                  <c15:showDataLabelsRange val="0"/>
                </c:ext>
                <c:ext xmlns:c16="http://schemas.microsoft.com/office/drawing/2014/chart" uri="{C3380CC4-5D6E-409C-BE32-E72D297353CC}">
                  <c16:uniqueId val="{00000040-88C7-477B-89C8-9A3643AC4D90}"/>
                </c:ext>
              </c:extLst>
            </c:dLbl>
            <c:dLbl>
              <c:idx val="10"/>
              <c:tx>
                <c:strRef>
                  <c:f>'C07C'!$L$58</c:f>
                  <c:strCache>
                    <c:ptCount val="1"/>
                    <c:pt idx="0">
                      <c:v>10,457</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{40FC19B6-8490-40AD-8396-0D1881E9C819}</c15:txfldGUID>
                      <c15:f>'C07C'!$L$58</c15:f>
                      <c15:dlblFieldTableCache>
                        <c:ptCount val="1"/>
                        <c:pt idx="0">
                          <c:v>10,457</c:v>
                        </c:pt>
                      </c15:dlblFieldTableCache>
                    </c15:dlblFTEntry>
                  </c15:dlblFieldTable>
                  <c15:showDataLabelsRange val="0"/>
                </c:ext>
                <c:ext xmlns:c16="http://schemas.microsoft.com/office/drawing/2014/chart" uri="{C3380CC4-5D6E-409C-BE32-E72D297353CC}">
                  <c16:uniqueId val="{00000041-88C7-477B-89C8-9A3643AC4D90}"/>
                </c:ext>
              </c:extLst>
            </c:dLbl>
            <c:dLbl>
              <c:idx val="11"/>
              <c:tx>
                <c:strRef>
                  <c:f>'C07C'!$M$58</c:f>
                  <c:strCache>
                    <c:ptCount val="1"/>
                    <c:pt idx="0">
                      <c:v>11,456</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{5049808B-DA9C-440F-9CD1-1CACA299622E}</c15:txfldGUID>
                      <c15:f>'C07C'!$M$58</c15:f>
                      <c15:dlblFieldTableCache>
                        <c:ptCount val="1"/>
                        <c:pt idx="0">
                          <c:v>11,456</c:v>
                        </c:pt>
                      </c15:dlblFieldTableCache>
                    </c15:dlblFTEntry>
                  </c15:dlblFieldTable>
                  <c15:showDataLabelsRange val="0"/>
                </c:ext>
                <c:ext xmlns:c16="http://schemas.microsoft.com/office/drawing/2014/chart" uri="{C3380CC4-5D6E-409C-BE32-E72D297353CC}">
                  <c16:uniqueId val="{00000042-88C7-477B-89C8-9A3643AC4D90}"/>
                </c:ext>
              </c:extLst>
            </c:dLbl>
            <c:numFmt formatCode="#,##0" sourceLinked="0"/>
            <c:spPr>
              <a:noFill/>
              <a:ln>
                <a:noFill/>
              </a:ln>
              <a:effectLst/>
            </c:spPr>
            <c:txPr>
              <a:bodyPr wrap="square" lIns="38100" tIns="19050" rIns="38100" bIns="19050" anchor="ctr">
                <a:spAutoFit/>
              </a:bodyPr>
              <a:lstStyle/>
              <a:p>
                <a:pPr>
                  <a:defRPr sz="800">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'C07C'!$B$9:$M$9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'C07C'!$B$37:$M$37</c:f>
              <c:numCache>
                <c:formatCode>General</c:formatCode>
                <c:ptCount val="12"/>
                <c:pt idx="0">
                  <c:v>#N/A</c:v>
                </c:pt>
                <c:pt idx="1">
                  <c:v>#N/A</c:v>
                </c:pt>
                <c:pt idx="2">
                  <c:v>#N/A</c:v>
                </c:pt>
                <c:pt idx="3">
                  <c:v>#N/A</c:v>
                </c:pt>
                <c:pt idx="4">
                  <c:v>#N/A</c:v>
                </c:pt>
                <c:pt idx="5">
                  <c:v>#N/A</c:v>
                </c:pt>
                <c:pt idx="6">
                  <c:v>0.57192737430167595</c:v>
                </c:pt>
                <c:pt idx="7">
                  <c:v>0.65808310055865926</c:v>
                </c:pt>
                <c:pt idx="8">
                  <c:v>0.74170740223463683</c:v>
                </c:pt>
                <c:pt idx="9">
                  <c:v>0.82838687150837986</c:v>
                </c:pt>
                <c:pt idx="10">
                  <c:v>0.91279678770949724</c:v>
                </c:pt>
                <c:pt idx="11">
                  <c:v>1</c:v>
                </c:pt>
              </c:numCache>
            </c:numRef>
          </c:val>
          <c:smooth val="0"/>
          <c:extLst>
            <c:ext xmlns:c16="http://schemas.microsoft.com/office/drawing/2014/chart" uri="{C3380CC4-5D6E-409C-BE32-E72D297353CC}">
              <c16:uniqueId val="{00000036-88C7-477B-89C8-9A3643AC4D90}"/>
            </c:ext>
          </c:extLst>
        </c:ser>
        <c:ser>
          <c:idx val="6"/>
          <c:order val="6"/>
          <c:tx>
            <c:v>MAT</c:v>
          </c:tx>
          <c:spPr>
            <a:ln w="9525">
              <a:solidFill>
                <a:srgbClr val="000000"/>
              </a:solidFill>
            </a:ln>
          </c:spPr>
          <c:marker>
            <c:symbol val="square"/>
            <c:size val="5"/>
            <c:spPr>
              <a:solidFill>
                <a:srgbClr val="404040"/>
              </a:solidFill>
              <a:ln w="9525">
                <a:solidFill>
                  <a:srgbClr val="000000"/>
                </a:solidFill>
                <a:prstDash val="solid"/>
              </a:ln>
            </c:spPr>
          </c:marker>
          <c:dLbls>
            <c:dLbl>
              <c:idx val="0"/>
              <c:tx>
                <c:strRef>
                  <c:f>'C07C'!$B$59</c:f>
                  <c:strCache>
                    <c:ptCount val="1"/>
                    <c:pt idx="0">
                      <c:v>10,288</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{5582845A-B9C2-4399-BA27-25C6A594D2A2}</c15:txfldGUID>
                      <c15:f>'C07C'!$B$59</c15:f>
                      <c15:dlblFieldTableCache>
                        <c:ptCount val="1"/>
                        <c:pt idx="0">
                          <c:v>10,288</c:v>
                        </c:pt>
                      </c15:dlblFieldTableCache>
                    </c15:dlblFTEntry>
                  </c15:dlblFieldTable>
                  <c15:showDataLabelsRange val="0"/>
                </c:ext>
                <c:ext xmlns:c16="http://schemas.microsoft.com/office/drawing/2014/chart" uri="{C3380CC4-5D6E-409C-BE32-E72D297353CC}">
                  <c16:uniqueId val="{00000044-88C7-477B-89C8-9A3643AC4D90}"/>
                </c:ext>
              </c:extLst>
            </c:dLbl>
            <c:dLbl>
              <c:idx val="1"/>
              <c:tx>
                <c:strRef>
                  <c:f>'C07C'!$C$59</c:f>
                  <c:strCache>
                    <c:ptCount val="1"/>
                    <c:pt idx="0">
                      <c:v>10,172</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{FD863AFF-2CBB-4E7B-9CFF-87DB76ED1B33}</c15:txfldGUID>
                      <c15:f>'C07C'!$C$59</c15:f>
                      <c15:dlblFieldTableCache>
                        <c:ptCount val="1"/>
                        <c:pt idx="0">
                          <c:v>10,172</c:v>
                        </c:pt>
                      </c15:dlblFieldTableCache>
                    </c15:dlblFTEntry>
                  </c15:dlblFieldTable>
                  <c15:showDataLabelsRange val="0"/>
                </c:ext>
                <c:ext xmlns:c16="http://schemas.microsoft.com/office/drawing/2014/chart" uri="{C3380CC4-5D6E-409C-BE32-E72D297353CC}">
                  <c16:uniqueId val="{00000045-88C7-477B-89C8-9A3643AC4D90}"/>
                </c:ext>
              </c:extLst>
            </c:dLbl>
            <c:dLbl>
              <c:idx val="2"/>
              <c:tx>
                <c:strRef>
                  <c:f>'C07C'!$D$59</c:f>
                  <c:strCache>
                    <c:ptCount val="1"/>
                    <c:pt idx="0">
                      <c:v>10,396</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{934AE6FC-3415-48A7-8B79-E9253605A525}</c15:txfldGUID>
                      <c15:f>'C07C'!$D$59</c15:f>
                      <c15:dlblFieldTableCache>
                        <c:ptCount val="1"/>
                        <c:pt idx="0">
                          <c:v>10,396</c:v>
                        </c:pt>
                      </c15:dlblFieldTableCache>
                    </c15:dlblFTEntry>
                  </c15:dlblFieldTable>
                  <c15:showDataLabelsRange val="0"/>
                </c:ext>
                <c:ext xmlns:c16="http://schemas.microsoft.com/office/drawing/2014/chart" uri="{C3380CC4-5D6E-409C-BE32-E72D297353CC}">
                  <c16:uniqueId val="{00000046-88C7-477B-89C8-9A3643AC4D90}"/>
                </c:ext>
              </c:extLst>
            </c:dLbl>
            <c:dLbl>
              <c:idx val="3"/>
              <c:tx>
                <c:strRef>
                  <c:f>'C07C'!$E$59</c:f>
                  <c:strCache>
                    <c:ptCount val="1"/>
                    <c:pt idx="0">
                      <c:v>10,090</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{45427474-E8B7-49A8-A451-25658891BC95}</c15:txfldGUID>
                      <c15:f>'C07C'!$E$59</c15:f>
                      <c15:dlblFieldTableCache>
                        <c:ptCount val="1"/>
                        <c:pt idx="0">
                          <c:v>10,090</c:v>
                        </c:pt>
                      </c15:dlblFieldTableCache>
                    </c15:dlblFTEntry>
                  </c15:dlblFieldTable>
                  <c15:showDataLabelsRange val="0"/>
                </c:ext>
                <c:ext xmlns:c16="http://schemas.microsoft.com/office/drawing/2014/chart" uri="{C3380CC4-5D6E-409C-BE32-E72D297353CC}">
                  <c16:uniqueId val="{00000047-88C7-477B-89C8-9A3643AC4D90}"/>
                </c:ext>
              </c:extLst>
            </c:dLbl>
            <c:dLbl>
              <c:idx val="4"/>
              <c:tx>
                <c:strRef>
                  <c:f>'C07C'!$F$59</c:f>
                  <c:strCache>
                    <c:ptCount val="1"/>
                    <c:pt idx="0">
                      <c:v>10,529</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{C38A1E86-4214-4AA7-9293-7B68A61C47DA}</c15:txfldGUID>
                      <c15:f>'C07C'!$F$59</c15:f>
                      <c15:dlblFieldTableCache>
                        <c:ptCount val="1"/>
                        <c:pt idx="0">
                          <c:v>10,529</c:v>
                        </c:pt>
                      </c15:dlblFieldTableCache>
                    </c15:dlblFTEntry>
                  </c15:dlblFieldTable>
                  <c15:showDataLabelsRange val="0"/>
                </c:ext>
                <c:ext xmlns:c16="http://schemas.microsoft.com/office/drawing/2014/chart" uri="{C3380CC4-5D6E-409C-BE32-E72D297353CC}">
                  <c16:uniqueId val="{00000048-88C7-477B-89C8-9A3643AC4D90}"/>
                </c:ext>
              </c:extLst>
            </c:dLbl>
            <c:dLbl>
              <c:idx val="5"/>
              <c:tx>
                <c:strRef>
                  <c:f>'C07C'!$G$59</c:f>
                  <c:strCache>
                    <c:ptCount val="1"/>
                    <c:pt idx="0">
                      <c:v>10,307</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{0CE47AD9-1A7D-4275-B0AC-974C904C070E}</c15:txfldGUID>
                      <c15:f>'C07C'!$G$59</c15:f>
                      <c15:dlblFieldTableCache>
                        <c:ptCount val="1"/>
                        <c:pt idx="0">
                          <c:v>10,307</c:v>
                        </c:pt>
                      </c15:dlblFieldTableCache>
                    </c15:dlblFTEntry>
                  </c15:dlblFieldTable>
                  <c15:showDataLabelsRange val="0"/>
                </c:ext>
                <c:ext xmlns:c16="http://schemas.microsoft.com/office/drawing/2014/chart" uri="{C3380CC4-5D6E-409C-BE32-E72D297353CC}">
                  <c16:uniqueId val="{00000049-88C7-477B-89C8-9A3643AC4D90}"/>
                </c:ext>
              </c:extLst>
            </c:dLbl>
            <c:dLbl>
              <c:idx val="6"/>
              <c:tx>
                <c:strRef>
                  <c:f>'C07C'!$H$59</c:f>
                  <c:strCache>
                    <c:ptCount val="1"/>
                    <c:pt idx="0">
                      <c:v>10,251</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{32720030-7709-45FA-862F-EF8A953A5B4C}</c15:txfldGUID>
                      <c15:f>'C07C'!$H$59</c15:f>
                      <c15:dlblFieldTableCache>
                        <c:ptCount val="1"/>
                        <c:pt idx="0">
                          <c:v>10,251</c:v>
                        </c:pt>
                      </c15:dlblFieldTableCache>
                    </c15:dlblFTEntry>
                  </c15:dlblFieldTable>
                  <c15:showDataLabelsRange val="0"/>
                </c:ext>
                <c:ext xmlns:c16="http://schemas.microsoft.com/office/drawing/2014/chart" uri="{C3380CC4-5D6E-409C-BE32-E72D297353CC}">
                  <c16:uniqueId val="{0000004A-88C7-477B-89C8-9A3643AC4D90}"/>
                </c:ext>
              </c:extLst>
            </c:dLbl>
            <c:dLbl>
              <c:idx val="7"/>
              <c:tx>
                <c:strRef>
                  <c:f>'C07C'!$I$59</c:f>
                  <c:strCache>
                    <c:ptCount val="1"/>
                    <c:pt idx="0">
                      <c:v>10,049</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{C7F566F7-6DDC-4059-A54A-D77F48D1EC8E}</c15:txfldGUID>
                      <c15:f>'C07C'!$I$59</c15:f>
                      <c15:dlblFieldTableCache>
                        <c:ptCount val="1"/>
                        <c:pt idx="0">
                          <c:v>10,049</c:v>
                        </c:pt>
                      </c15:dlblFieldTableCache>
                    </c15:dlblFTEntry>
                  </c15:dlblFieldTable>
                  <c15:showDataLabelsRange val="0"/>
                </c:ext>
                <c:ext xmlns:c16="http://schemas.microsoft.com/office/drawing/2014/chart" uri="{C3380CC4-5D6E-409C-BE32-E72D297353CC}">
                  <c16:uniqueId val="{0000004B-88C7-477B-89C8-9A3643AC4D90}"/>
                </c:ext>
              </c:extLst>
            </c:dLbl>
            <c:dLbl>
              <c:idx val="8"/>
              <c:tx>
                <c:strRef>
                  <c:f>'C07C'!$J$59</c:f>
                  <c:strCache>
                    <c:ptCount val="1"/>
                    <c:pt idx="0">
                      <c:v>11,034</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{6FB53535-6D1A-4740-A8B7-3BAAC80B802A}</c15:txfldGUID>
                      <c15:f>'C07C'!$J$59</c15:f>
                      <c15:dlblFieldTableCache>
                        <c:ptCount val="1"/>
                        <c:pt idx="0">
                          <c:v>11,034</c:v>
                        </c:pt>
                      </c15:dlblFieldTableCache>
                    </c15:dlblFTEntry>
                  </c15:dlblFieldTable>
                  <c15:showDataLabelsRange val="0"/>
                </c:ext>
                <c:ext xmlns:c16="http://schemas.microsoft.com/office/drawing/2014/chart" uri="{C3380CC4-5D6E-409C-BE32-E72D297353CC}">
                  <c16:uniqueId val="{0000004C-88C7-477B-89C8-9A3643AC4D90}"/>
                </c:ext>
              </c:extLst>
            </c:dLbl>
            <c:dLbl>
              <c:idx val="9"/>
              <c:tx>
                <c:strRef>
                  <c:f>'C07C'!$K$59</c:f>
                  <c:strCache>
                    <c:ptCount val="1"/>
                    <c:pt idx="0">
                      <c:v>11,298</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{0BA0EF37-D0B7-421B-803A-E0B2F845C4B9}</c15:txfldGUID>
                      <c15:f>'C07C'!$K$59</c15:f>
                      <c15:dlblFieldTableCache>
                        <c:ptCount val="1"/>
                        <c:pt idx="0">
                          <c:v>11,298</c:v>
                        </c:pt>
                      </c15:dlblFieldTableCache>
                    </c15:dlblFTEntry>
                  </c15:dlblFieldTable>
                  <c15:showDataLabelsRange val="0"/>
                </c:ext>
                <c:ext xmlns:c16="http://schemas.microsoft.com/office/drawing/2014/chart" uri="{C3380CC4-5D6E-409C-BE32-E72D297353CC}">
                  <c16:uniqueId val="{0000004D-88C7-477B-89C8-9A3643AC4D90}"/>
                </c:ext>
              </c:extLst>
            </c:dLbl>
            <c:dLbl>
              <c:idx val="10"/>
              <c:tx>
                <c:strRef>
                  <c:f>'C07C'!$L$59</c:f>
                  <c:strCache>
                    <c:ptCount val="1"/>
                    <c:pt idx="0">
                      <c:v>11,376</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{F8ECD193-7929-44A9-9FBD-3ADB71C041F3}</c15:txfldGUID>
                      <c15:f>'C07C'!$L$59</c15:f>
                      <c15:dlblFieldTableCache>
                        <c:ptCount val="1"/>
                        <c:pt idx="0">
                          <c:v>11,376</c:v>
                        </c:pt>
                      </c15:dlblFieldTableCache>
                    </c15:dlblFTEntry>
                  </c15:dlblFieldTable>
                  <c15:showDataLabelsRange val="0"/>
                </c:ext>
                <c:ext xmlns:c16="http://schemas.microsoft.com/office/drawing/2014/chart" uri="{C3380CC4-5D6E-409C-BE32-E72D297353CC}">
                  <c16:uniqueId val="{0000004E-88C7-477B-89C8-9A3643AC4D90}"/>
                </c:ext>
              </c:extLst>
            </c:dLbl>
            <c:dLbl>
              <c:idx val="11"/>
              <c:tx>
                <c:strRef>
                  <c:f>'C07C'!$M$59</c:f>
                  <c:strCache>
                    <c:ptCount val="1"/>
                    <c:pt idx="0">
                      <c:v>11,456</c:v>
                    </c:pt>
                  </c:strCache>
                </c:strRef>
              </c:tx>
              <c:dLblPos val="t"/>
              <c:showLegendKey val="0"/>
              <c:showVal val="1"/>
              <c:showCatName val="0"/>
              <c:showSerName val="0"/>
              <c:showPercent val="0"/>
              <c:showBubbleSize val="0"/>
              <c:extLst>
                <c:ext xmlns:c15="http://schemas.microsoft.com/office/drawing/2012/chart" uri="{CE6537A1-D6FC-4f65-9D91-7224C49458BB}">
                  <c15:dlblFieldTable>
                    <c15:dlblFTEntry>
                      <c15:txfldGUID>{27B0EF16-BF83-4043-884E-D71AA84AEE2D}</c15:txfldGUID>
                      <c15:f>'C07C'!$M$59</c15:f>
                      <c15:dlblFieldTableCache>
                        <c:ptCount val="1"/>
                        <c:pt idx="0">
                          <c:v>11,456</c:v>
                        </c:pt>
                      </c15:dlblFieldTableCache>
                    </c15:dlblFTEntry>
                  </c15:dlblFieldTable>
                  <c15:showDataLabelsRange val="0"/>
                </c:ext>
                <c:ext xmlns:c16="http://schemas.microsoft.com/office/drawing/2014/chart" uri="{C3380CC4-5D6E-409C-BE32-E72D297353CC}">
                  <c16:uniqueId val="{0000004F-88C7-477B-89C8-9A3643AC4D90}"/>
                </c:ext>
              </c:extLst>
            </c:dLbl>
            <c:numFmt formatCode="#,##0" sourceLinked="0"/>
            <c:spPr>
              <a:noFill/>
              <a:ln>
                <a:noFill/>
              </a:ln>
              <a:effectLst/>
            </c:spPr>
            <c:txPr>
              <a:bodyPr wrap="square" lIns="38100" tIns="19050" rIns="38100" bIns="19050" anchor="ctr">
                <a:spAutoFit/>
              </a:bodyPr>
              <a:lstStyle/>
              <a:p>
                <a:pPr>
                  <a:defRPr sz="800">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'C07C'!$B$9:$M$9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'C07C'!$B$38:$M$38</c:f>
              <c:numCache>
                <c:formatCode>General</c:formatCode>
                <c:ptCount val="12"/>
                <c:pt idx="0">
                  <c:v>0.89804469273743015</c:v>
                </c:pt>
                <c:pt idx="1">
                  <c:v>0.88791899441340782</c:v>
                </c:pt>
                <c:pt idx="2">
                  <c:v>0.9074720670391061</c:v>
                </c:pt>
                <c:pt idx="3">
                  <c:v>0.88076117318435754</c:v>
                </c:pt>
                <c:pt idx="4">
                  <c:v>0.9190817039106145</c:v>
                </c:pt>
                <c:pt idx="5">
                  <c:v>0.89970321229050276</c:v>
                </c:pt>
                <c:pt idx="6">
                  <c:v>0.89481494413407825</c:v>
                </c:pt>
                <c:pt idx="7">
                  <c:v>0.87718226256983245</c:v>
                </c:pt>
                <c:pt idx="8">
                  <c:v>0.963163407821229</c:v>
                </c:pt>
                <c:pt idx="9">
                  <c:v>0.98620810055865926</c:v>
                </c:pt>
                <c:pt idx="10">
                  <c:v>0.99301675977653636</c:v>
                </c:pt>
                <c:pt idx="11">
                  <c:v>1</c:v>
                </c:pt>
              </c:numCache>
            </c:numRef>
          </c:val>
          <c:smooth val="0"/>
          <c:extLst>
            <c:ext xmlns:c16="http://schemas.microsoft.com/office/drawing/2014/chart" uri="{C3380CC4-5D6E-409C-BE32-E72D297353CC}">
              <c16:uniqueId val="{00000043-88C7-477B-89C8-9A3643AC4D90}"/>
            </c:ext>
          </c:extLst>
        </c:ser>
        <c:dLbls>
          <c:showLegendKey val="0"/>
          <c:showVal val="0"/>
          <c:showCatName val="0"/>
          <c:showSerName val="0"/>
          <c:showPercent val="0"/>
          <c:showBubbleSize val="0"/>
        </c:dLbls>
        <c:marker val="1"/>
        <c:smooth val="0"/>
        <c:axId val="1226670848"/>
        <c:axId val="1095862192"/>
      </c:lineChart>
      <c:catAx>
        <c:axId val="1226670848"/>
        <c:scaling>
          <c:orientation val="minMax"/>
        </c:scaling>
        <c:delete val="0"/>
        <c:axPos val="b"/>
        <c:numFmt formatCode="General" sourceLinked="1"/>
        <c:majorTickMark val="none"/>
        <c:minorTickMark val="none"/>
        <c:tickLblPos val="low"/>
        <c:txPr>
          <a:bodyPr/>
          <a:lstStyle/>
          <a:p>
            <a:pPr>
              <a:defRPr sz="900">
                <a:latin typeface="Arial"/>
                <a:ea typeface="Arial"/>
                <a:cs typeface="Arial"/>
              </a:defRPr>
            </a:pPr>
            <a:endParaRPr lang="en-US"/>
          </a:p>
        </c:txPr>
        <c:crossAx val="1095862192"/>
        <c:crosses val="autoZero"/>
        <c:auto val="1"/>
        <c:lblAlgn val="ctr"/>
        <c:lblOffset val="100"/>
        <c:noMultiLvlLbl val="0"/>
      </c:catAx>
      <c:valAx>
        <c:axId val="1095862192"/>
        <c:scaling>
          <c:orientation val="minMax"/>
          <c:max val="1.0387157695939566"/>
          <c:min val="0"/>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26670848"/>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v>Inventory change</c:v>
          </c:tx>
          <c:spPr>
            <a:solidFill>
              <a:srgbClr val="156082"/>
            </a:solidFill>
          </c:spPr>
          <c:invertIfNegative val="0"/>
          <c:dPt>
            <c:idx val="0"/>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2-018E-4D26-8308-7E576E9DF3DB}"/>
              </c:ext>
            </c:extLst>
          </c:dPt>
          <c:dPt>
            <c:idx val="1"/>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3-018E-4D26-8308-7E576E9DF3DB}"/>
              </c:ext>
            </c:extLst>
          </c:dPt>
          <c:dPt>
            <c:idx val="2"/>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4-018E-4D26-8308-7E576E9DF3DB}"/>
              </c:ext>
            </c:extLst>
          </c:dPt>
          <c:dPt>
            <c:idx val="3"/>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5-018E-4D26-8308-7E576E9DF3DB}"/>
              </c:ext>
            </c:extLst>
          </c:dPt>
          <c:dPt>
            <c:idx val="4"/>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6-018E-4D26-8308-7E576E9DF3DB}"/>
              </c:ext>
            </c:extLst>
          </c:dPt>
          <c:dPt>
            <c:idx val="5"/>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7-018E-4D26-8308-7E576E9DF3DB}"/>
              </c:ext>
            </c:extLst>
          </c:dPt>
          <c:dPt>
            <c:idx val="6"/>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8-018E-4D26-8308-7E576E9DF3DB}"/>
              </c:ext>
            </c:extLst>
          </c:dPt>
          <c:dPt>
            <c:idx val="7"/>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018E-4D26-8308-7E576E9DF3DB}"/>
              </c:ext>
            </c:extLst>
          </c:dPt>
          <c:dPt>
            <c:idx val="8"/>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A-018E-4D26-8308-7E576E9DF3DB}"/>
              </c:ext>
            </c:extLst>
          </c:dPt>
          <c:dPt>
            <c:idx val="9"/>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018E-4D26-8308-7E576E9DF3DB}"/>
              </c:ext>
            </c:extLst>
          </c:dPt>
          <c:dPt>
            <c:idx val="10"/>
            <c:invertIfNegative val="0"/>
            <c:bubble3D val="0"/>
            <c:spPr>
              <a:pattFill prst="wdUpDiag">
                <a:fgClr>
                  <a:srgbClr val="404040"/>
                </a:fgClr>
                <a:bgClr>
                  <a:srgbClr val="F2F2F2"/>
                </a:bgClr>
              </a:pattFill>
              <a:ln w="9525">
                <a:solidFill>
                  <a:srgbClr val="404040"/>
                </a:solidFill>
              </a:ln>
            </c:spPr>
            <c:extLst>
              <c:ext xmlns:c16="http://schemas.microsoft.com/office/drawing/2014/chart" uri="{C3380CC4-5D6E-409C-BE32-E72D297353CC}">
                <c16:uniqueId val="{0000000C-018E-4D26-8308-7E576E9DF3DB}"/>
              </c:ext>
            </c:extLst>
          </c:dPt>
          <c:dPt>
            <c:idx val="11"/>
            <c:invertIfNegative val="0"/>
            <c:bubble3D val="0"/>
            <c:spPr>
              <a:pattFill prst="wdUpDiag">
                <a:fgClr>
                  <a:srgbClr val="404040"/>
                </a:fgClr>
                <a:bgClr>
                  <a:srgbClr val="F2F2F2"/>
                </a:bgClr>
              </a:pattFill>
              <a:ln w="9525">
                <a:solidFill>
                  <a:srgbClr val="404040"/>
                </a:solidFill>
              </a:ln>
            </c:spPr>
            <c:extLst>
              <c:ext xmlns:c16="http://schemas.microsoft.com/office/drawing/2014/chart" uri="{C3380CC4-5D6E-409C-BE32-E72D297353CC}">
                <c16:uniqueId val="{0000000D-018E-4D26-8308-7E576E9DF3DB}"/>
              </c:ext>
            </c:extLst>
          </c:dPt>
          <c:dPt>
            <c:idx val="12"/>
            <c:invertIfNegative val="0"/>
            <c:bubble3D val="0"/>
            <c:spPr>
              <a:solidFill>
                <a:srgbClr val="D9D9D9"/>
              </a:solidFill>
              <a:ln w="9525">
                <a:solidFill>
                  <a:srgbClr val="404040"/>
                </a:solidFill>
              </a:ln>
            </c:spPr>
            <c:extLst>
              <c:ext xmlns:c16="http://schemas.microsoft.com/office/drawing/2014/chart" uri="{C3380CC4-5D6E-409C-BE32-E72D297353CC}">
                <c16:uniqueId val="{0000000E-018E-4D26-8308-7E576E9DF3DB}"/>
              </c:ext>
            </c:extLst>
          </c:dPt>
          <c:dPt>
            <c:idx val="13"/>
            <c:invertIfNegative val="0"/>
            <c:bubble3D val="0"/>
            <c:spPr>
              <a:solidFill>
                <a:srgbClr val="D9D9D9"/>
              </a:solidFill>
              <a:ln w="9525">
                <a:solidFill>
                  <a:srgbClr val="404040"/>
                </a:solidFill>
              </a:ln>
            </c:spPr>
            <c:extLst>
              <c:ext xmlns:c16="http://schemas.microsoft.com/office/drawing/2014/chart" uri="{C3380CC4-5D6E-409C-BE32-E72D297353CC}">
                <c16:uniqueId val="{0000000F-018E-4D26-8308-7E576E9DF3DB}"/>
              </c:ext>
            </c:extLst>
          </c:dPt>
          <c:dPt>
            <c:idx val="14"/>
            <c:invertIfNegative val="0"/>
            <c:bubble3D val="0"/>
            <c:spPr>
              <a:solidFill>
                <a:srgbClr val="D9D9D9"/>
              </a:solidFill>
              <a:ln w="9525">
                <a:solidFill>
                  <a:srgbClr val="404040"/>
                </a:solidFill>
              </a:ln>
            </c:spPr>
            <c:extLst>
              <c:ext xmlns:c16="http://schemas.microsoft.com/office/drawing/2014/chart" uri="{C3380CC4-5D6E-409C-BE32-E72D297353CC}">
                <c16:uniqueId val="{00000010-018E-4D26-8308-7E576E9DF3DB}"/>
              </c:ext>
            </c:extLst>
          </c:dPt>
          <c:dPt>
            <c:idx val="15"/>
            <c:invertIfNegative val="0"/>
            <c:bubble3D val="0"/>
            <c:spPr>
              <a:solidFill>
                <a:srgbClr val="D9D9D9"/>
              </a:solidFill>
              <a:ln w="9525">
                <a:solidFill>
                  <a:srgbClr val="404040"/>
                </a:solidFill>
              </a:ln>
            </c:spPr>
            <c:extLst>
              <c:ext xmlns:c16="http://schemas.microsoft.com/office/drawing/2014/chart" uri="{C3380CC4-5D6E-409C-BE32-E72D297353CC}">
                <c16:uniqueId val="{00000011-018E-4D26-8308-7E576E9DF3DB}"/>
              </c:ext>
            </c:extLst>
          </c:dPt>
          <c:dPt>
            <c:idx val="16"/>
            <c:invertIfNegative val="0"/>
            <c:bubble3D val="0"/>
            <c:spPr>
              <a:solidFill>
                <a:srgbClr val="D9D9D9"/>
              </a:solidFill>
              <a:ln w="9525">
                <a:solidFill>
                  <a:srgbClr val="404040"/>
                </a:solidFill>
              </a:ln>
            </c:spPr>
            <c:extLst>
              <c:ext xmlns:c16="http://schemas.microsoft.com/office/drawing/2014/chart" uri="{C3380CC4-5D6E-409C-BE32-E72D297353CC}">
                <c16:uniqueId val="{00000012-018E-4D26-8308-7E576E9DF3DB}"/>
              </c:ext>
            </c:extLst>
          </c:dPt>
          <c:dPt>
            <c:idx val="17"/>
            <c:invertIfNegative val="0"/>
            <c:bubble3D val="0"/>
            <c:spPr>
              <a:solidFill>
                <a:srgbClr val="D9D9D9"/>
              </a:solidFill>
              <a:ln w="9525">
                <a:solidFill>
                  <a:srgbClr val="404040"/>
                </a:solidFill>
              </a:ln>
            </c:spPr>
            <c:extLst>
              <c:ext xmlns:c16="http://schemas.microsoft.com/office/drawing/2014/chart" uri="{C3380CC4-5D6E-409C-BE32-E72D297353CC}">
                <c16:uniqueId val="{00000013-018E-4D26-8308-7E576E9DF3DB}"/>
              </c:ext>
            </c:extLst>
          </c:dPt>
          <c:dPt>
            <c:idx val="18"/>
            <c:invertIfNegative val="0"/>
            <c:bubble3D val="0"/>
            <c:spPr>
              <a:solidFill>
                <a:srgbClr val="D9D9D9"/>
              </a:solidFill>
              <a:ln w="9525">
                <a:solidFill>
                  <a:srgbClr val="404040"/>
                </a:solidFill>
              </a:ln>
            </c:spPr>
            <c:extLst>
              <c:ext xmlns:c16="http://schemas.microsoft.com/office/drawing/2014/chart" uri="{C3380CC4-5D6E-409C-BE32-E72D297353CC}">
                <c16:uniqueId val="{00000014-018E-4D26-8308-7E576E9DF3DB}"/>
              </c:ext>
            </c:extLst>
          </c:dPt>
          <c:dPt>
            <c:idx val="19"/>
            <c:invertIfNegative val="0"/>
            <c:bubble3D val="0"/>
            <c:spPr>
              <a:solidFill>
                <a:srgbClr val="D9D9D9"/>
              </a:solidFill>
              <a:ln w="9525">
                <a:solidFill>
                  <a:srgbClr val="404040"/>
                </a:solidFill>
              </a:ln>
            </c:spPr>
            <c:extLst>
              <c:ext xmlns:c16="http://schemas.microsoft.com/office/drawing/2014/chart" uri="{C3380CC4-5D6E-409C-BE32-E72D297353CC}">
                <c16:uniqueId val="{00000015-018E-4D26-8308-7E576E9DF3DB}"/>
              </c:ext>
            </c:extLst>
          </c:dPt>
          <c:dLbls>
            <c:numFmt formatCode="\+0;\-0;0" sourceLinked="0"/>
            <c:spPr>
              <a:noFill/>
              <a:ln>
                <a:noFill/>
              </a:ln>
              <a:effectLst/>
            </c:spPr>
            <c:txPr>
              <a:bodyPr wrap="square" lIns="38100" tIns="19050" rIns="38100" bIns="19050" anchor="ctr">
                <a:spAutoFit/>
              </a:bodyPr>
              <a:lstStyle/>
              <a:p>
                <a:pPr>
                  <a:defRPr sz="8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'C08H'!$B$9:$U$9</c:f>
              <c:strCache>
                <c:ptCount val="20"/>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strCache>
            </c:strRef>
          </c:cat>
          <c:val>
            <c:numRef>
              <c:f>'C08H'!$B$14:$U$14</c:f>
              <c:numCache>
                <c:formatCode>#\ ##0</c:formatCode>
                <c:ptCount val="20"/>
                <c:pt idx="0">
                  <c:v>579</c:v>
                </c:pt>
                <c:pt idx="1">
                  <c:v>1911</c:v>
                </c:pt>
                <c:pt idx="2">
                  <c:v>1426</c:v>
                </c:pt>
                <c:pt idx="3">
                  <c:v>1054</c:v>
                </c:pt>
                <c:pt idx="4">
                  <c:v>1119</c:v>
                </c:pt>
                <c:pt idx="5">
                  <c:v>1565</c:v>
                </c:pt>
                <c:pt idx="6">
                  <c:v>1038</c:v>
                </c:pt>
                <c:pt idx="7">
                  <c:v>1211</c:v>
                </c:pt>
                <c:pt idx="8">
                  <c:v>1126</c:v>
                </c:pt>
                <c:pt idx="9">
                  <c:v>1272</c:v>
                </c:pt>
                <c:pt idx="10">
                  <c:v>1319</c:v>
                </c:pt>
                <c:pt idx="11">
                  <c:v>1349</c:v>
                </c:pt>
                <c:pt idx="12">
                  <c:v>1380</c:v>
                </c:pt>
                <c:pt idx="13">
                  <c:v>1411</c:v>
                </c:pt>
                <c:pt idx="14">
                  <c:v>1444</c:v>
                </c:pt>
                <c:pt idx="15">
                  <c:v>1477</c:v>
                </c:pt>
                <c:pt idx="16">
                  <c:v>1511</c:v>
                </c:pt>
                <c:pt idx="17">
                  <c:v>1545</c:v>
                </c:pt>
                <c:pt idx="18">
                  <c:v>1581</c:v>
                </c:pt>
                <c:pt idx="19">
                  <c:v>1617</c:v>
                </c:pt>
              </c:numCache>
            </c:numRef>
          </c:val>
          <c:extLst>
            <c:ext xmlns:c16="http://schemas.microsoft.com/office/drawing/2014/chart" uri="{C3380CC4-5D6E-409C-BE32-E72D297353CC}">
              <c16:uniqueId val="{00000001-018E-4D26-8308-7E576E9DF3DB}"/>
            </c:ext>
          </c:extLst>
        </c:ser>
        <c:dLbls>
          <c:showLegendKey val="0"/>
          <c:showVal val="0"/>
          <c:showCatName val="0"/>
          <c:showSerName val="0"/>
          <c:showPercent val="0"/>
          <c:showBubbleSize val="0"/>
        </c:dLbls>
        <c:gapWidth val="40"/>
        <c:axId val="1226749728"/>
        <c:axId val="1095906352"/>
      </c:barChart>
      <c:catAx>
        <c:axId val="1226749728"/>
        <c:scaling>
          <c:orientation val="minMax"/>
        </c:scaling>
        <c:delete val="0"/>
        <c:axPos val="b"/>
        <c:numFmt formatCode="General" sourceLinked="1"/>
        <c:majorTickMark val="none"/>
        <c:minorTickMark val="none"/>
        <c:tickLblPos val="none"/>
        <c:crossAx val="1095906352"/>
        <c:crosses val="autoZero"/>
        <c:auto val="1"/>
        <c:lblAlgn val="ctr"/>
        <c:lblOffset val="100"/>
        <c:noMultiLvlLbl val="0"/>
      </c:catAx>
      <c:valAx>
        <c:axId val="1095906352"/>
        <c:scaling>
          <c:orientation val="minMax"/>
        </c:scaling>
        <c:delete val="0"/>
        <c:axPos val="l"/>
        <c:numFmt formatCode="#\ ##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26749728"/>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63157894736842E-3"/>
          <c:y val="1.3333333333333334E-2"/>
          <c:w val="0.98552631578947369"/>
          <c:h val="0.9"/>
        </c:manualLayout>
      </c:layout>
      <c:areaChart>
        <c:grouping val="standard"/>
        <c:varyColors val="0"/>
        <c:ser>
          <c:idx val="0"/>
          <c:order val="0"/>
          <c:tx>
            <c:v>level AC</c:v>
          </c:tx>
          <c:spPr>
            <a:solidFill>
              <a:srgbClr val="D9D9D9"/>
            </a:solidFill>
            <a:ln>
              <a:noFill/>
            </a:ln>
            <a:effectLst/>
            <a:extLst>
              <a:ext uri="{91240B29-F687-4F45-9708-019B960494DF}">
                <a14:hiddenLine xmlns:a14="http://schemas.microsoft.com/office/drawing/2010/main">
                  <a:noFill/>
                </a14:hiddenLine>
              </a:ext>
            </a:extLst>
          </c:spPr>
          <c:cat>
            <c:strRef>
              <c:f>'C08H'!$B$9:$U$9</c:f>
              <c:strCache>
                <c:ptCount val="20"/>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strCache>
            </c:strRef>
          </c:cat>
          <c:val>
            <c:numRef>
              <c:f>'C08H'!$B$39:$U$39</c:f>
              <c:numCache>
                <c:formatCode>General</c:formatCode>
                <c:ptCount val="20"/>
                <c:pt idx="0">
                  <c:v>0.5338109135933492</c:v>
                </c:pt>
                <c:pt idx="1">
                  <c:v>0.56761298310780928</c:v>
                </c:pt>
                <c:pt idx="2">
                  <c:v>0.59283629609976118</c:v>
                </c:pt>
                <c:pt idx="3">
                  <c:v>0.61147961439816045</c:v>
                </c:pt>
                <c:pt idx="4">
                  <c:v>0.63127266295215356</c:v>
                </c:pt>
                <c:pt idx="5">
                  <c:v>0.65895462987529851</c:v>
                </c:pt>
                <c:pt idx="6">
                  <c:v>0.67731493764924389</c:v>
                </c:pt>
                <c:pt idx="7">
                  <c:v>0.69873529671884671</c:v>
                </c:pt>
                <c:pt idx="8">
                  <c:v>0.71865216237728835</c:v>
                </c:pt>
                <c:pt idx="9">
                  <c:v>0.74115149907137168</c:v>
                </c:pt>
                <c:pt idx="10">
                  <c:v>0.76448217918103833</c:v>
                </c:pt>
                <c:pt idx="11">
                  <c:v>#N/A</c:v>
                </c:pt>
                <c:pt idx="12">
                  <c:v>#N/A</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1-D828-46E7-A4FE-503C82DE9BDC}"/>
            </c:ext>
          </c:extLst>
        </c:ser>
        <c:ser>
          <c:idx val="1"/>
          <c:order val="1"/>
          <c:tx>
            <c:v>level FC</c:v>
          </c:tx>
          <c:spPr>
            <a:pattFill prst="wdUpDiag">
              <a:fgClr>
                <a:srgbClr val="404040"/>
              </a:fgClr>
              <a:bgClr>
                <a:srgbClr val="F2F2F2"/>
              </a:bgClr>
            </a:pattFill>
            <a:ln w="25400">
              <a:noFill/>
            </a:ln>
          </c:spPr>
          <c:cat>
            <c:strRef>
              <c:f>'C08H'!$B$9:$U$9</c:f>
              <c:strCache>
                <c:ptCount val="20"/>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strCache>
            </c:strRef>
          </c:cat>
          <c:val>
            <c:numRef>
              <c:f>'C08H'!$B$40:$U$40</c:f>
              <c:numCache>
                <c:formatCode>General</c:formatCode>
                <c:ptCount val="20"/>
                <c:pt idx="0">
                  <c:v>#N/A</c:v>
                </c:pt>
                <c:pt idx="1">
                  <c:v>#N/A</c:v>
                </c:pt>
                <c:pt idx="2">
                  <c:v>#N/A</c:v>
                </c:pt>
                <c:pt idx="3">
                  <c:v>#N/A</c:v>
                </c:pt>
                <c:pt idx="4">
                  <c:v>#N/A</c:v>
                </c:pt>
                <c:pt idx="5">
                  <c:v>#N/A</c:v>
                </c:pt>
                <c:pt idx="6">
                  <c:v>#N/A</c:v>
                </c:pt>
                <c:pt idx="7">
                  <c:v>#N/A</c:v>
                </c:pt>
                <c:pt idx="8">
                  <c:v>#N/A</c:v>
                </c:pt>
                <c:pt idx="9">
                  <c:v>#N/A</c:v>
                </c:pt>
                <c:pt idx="10">
                  <c:v>0.76448217918103833</c:v>
                </c:pt>
                <c:pt idx="11">
                  <c:v>0.78834350402405584</c:v>
                </c:pt>
                <c:pt idx="12">
                  <c:v>0.81275316175820289</c:v>
                </c:pt>
                <c:pt idx="13">
                  <c:v>#N/A</c:v>
                </c:pt>
                <c:pt idx="14">
                  <c:v>#N/A</c:v>
                </c:pt>
                <c:pt idx="15">
                  <c:v>#N/A</c:v>
                </c:pt>
                <c:pt idx="16">
                  <c:v>#N/A</c:v>
                </c:pt>
                <c:pt idx="17">
                  <c:v>#N/A</c:v>
                </c:pt>
                <c:pt idx="18">
                  <c:v>#N/A</c:v>
                </c:pt>
                <c:pt idx="19">
                  <c:v>#N/A</c:v>
                </c:pt>
              </c:numCache>
            </c:numRef>
          </c:val>
          <c:extLst>
            <c:ext xmlns:c16="http://schemas.microsoft.com/office/drawing/2014/chart" uri="{C3380CC4-5D6E-409C-BE32-E72D297353CC}">
              <c16:uniqueId val="{00000002-D828-46E7-A4FE-503C82DE9BDC}"/>
            </c:ext>
          </c:extLst>
        </c:ser>
        <c:ser>
          <c:idx val="2"/>
          <c:order val="2"/>
          <c:tx>
            <c:v>level PL</c:v>
          </c:tx>
          <c:spPr>
            <a:solidFill>
              <a:srgbClr val="F2F2F2"/>
            </a:solidFill>
            <a:ln w="25400">
              <a:noFill/>
            </a:ln>
          </c:spPr>
          <c:cat>
            <c:strRef>
              <c:f>'C08H'!$B$9:$U$9</c:f>
              <c:strCache>
                <c:ptCount val="20"/>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strCache>
            </c:strRef>
          </c:cat>
          <c:val>
            <c:numRef>
              <c:f>'C08H'!$B$41:$U$41</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0.81275316175820289</c:v>
                </c:pt>
                <c:pt idx="13">
                  <c:v>0.83771115238347926</c:v>
                </c:pt>
                <c:pt idx="14">
                  <c:v>0.86325285221544179</c:v>
                </c:pt>
                <c:pt idx="15">
                  <c:v>0.88937826125409036</c:v>
                </c:pt>
                <c:pt idx="16">
                  <c:v>0.91610506765720345</c:v>
                </c:pt>
                <c:pt idx="17">
                  <c:v>0.94343327142478106</c:v>
                </c:pt>
                <c:pt idx="18">
                  <c:v>0.97139824887237991</c:v>
                </c:pt>
                <c:pt idx="19">
                  <c:v>1</c:v>
                </c:pt>
              </c:numCache>
            </c:numRef>
          </c:val>
          <c:extLst>
            <c:ext xmlns:c16="http://schemas.microsoft.com/office/drawing/2014/chart" uri="{C3380CC4-5D6E-409C-BE32-E72D297353CC}">
              <c16:uniqueId val="{00000003-D828-46E7-A4FE-503C82DE9BDC}"/>
            </c:ext>
          </c:extLst>
        </c:ser>
        <c:dLbls>
          <c:showLegendKey val="0"/>
          <c:showVal val="0"/>
          <c:showCatName val="0"/>
          <c:showSerName val="0"/>
          <c:showPercent val="0"/>
          <c:showBubbleSize val="0"/>
        </c:dLbls>
        <c:axId val="1226767824"/>
        <c:axId val="1095909232"/>
      </c:areaChart>
      <c:catAx>
        <c:axId val="1226767824"/>
        <c:scaling>
          <c:orientation val="minMax"/>
        </c:scaling>
        <c:delete val="0"/>
        <c:axPos val="b"/>
        <c:numFmt formatCode="General" sourceLinked="1"/>
        <c:majorTickMark val="none"/>
        <c:minorTickMark val="none"/>
        <c:tickLblPos val="none"/>
        <c:crossAx val="1095909232"/>
        <c:crosses val="autoZero"/>
        <c:auto val="1"/>
        <c:lblAlgn val="ctr"/>
        <c:lblOffset val="100"/>
        <c:noMultiLvlLbl val="0"/>
      </c:catAx>
      <c:valAx>
        <c:axId val="1095909232"/>
        <c:scaling>
          <c:orientation val="minMax"/>
          <c:max val="1.0909090909090908"/>
          <c:min val="-0.36363636363636365"/>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26767824"/>
        <c:crosses val="autoZero"/>
        <c:crossBetween val="midCat"/>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63157894736842E-3"/>
          <c:y val="1.3333333333333334E-2"/>
          <c:w val="0.98552631578947369"/>
          <c:h val="0.9"/>
        </c:manualLayout>
      </c:layout>
      <c:barChart>
        <c:barDir val="col"/>
        <c:grouping val="clustered"/>
        <c:varyColors val="0"/>
        <c:ser>
          <c:idx val="0"/>
          <c:order val="0"/>
          <c:tx>
            <c:v>Increase</c:v>
          </c:tx>
          <c:spPr>
            <a:solidFill>
              <a:srgbClr val="156082"/>
            </a:solidFill>
          </c:spPr>
          <c:invertIfNegative val="0"/>
          <c:dPt>
            <c:idx val="0"/>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2-436D-4915-AC5F-1D09953C3A59}"/>
              </c:ext>
            </c:extLst>
          </c:dPt>
          <c:dPt>
            <c:idx val="1"/>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3-436D-4915-AC5F-1D09953C3A59}"/>
              </c:ext>
            </c:extLst>
          </c:dPt>
          <c:dPt>
            <c:idx val="2"/>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4-436D-4915-AC5F-1D09953C3A59}"/>
              </c:ext>
            </c:extLst>
          </c:dPt>
          <c:dPt>
            <c:idx val="3"/>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5-436D-4915-AC5F-1D09953C3A59}"/>
              </c:ext>
            </c:extLst>
          </c:dPt>
          <c:dPt>
            <c:idx val="4"/>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6-436D-4915-AC5F-1D09953C3A59}"/>
              </c:ext>
            </c:extLst>
          </c:dPt>
          <c:dPt>
            <c:idx val="5"/>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7-436D-4915-AC5F-1D09953C3A59}"/>
              </c:ext>
            </c:extLst>
          </c:dPt>
          <c:dPt>
            <c:idx val="6"/>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8-436D-4915-AC5F-1D09953C3A59}"/>
              </c:ext>
            </c:extLst>
          </c:dPt>
          <c:dPt>
            <c:idx val="7"/>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436D-4915-AC5F-1D09953C3A59}"/>
              </c:ext>
            </c:extLst>
          </c:dPt>
          <c:dPt>
            <c:idx val="8"/>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A-436D-4915-AC5F-1D09953C3A59}"/>
              </c:ext>
            </c:extLst>
          </c:dPt>
          <c:dPt>
            <c:idx val="9"/>
            <c:invertIfNegative val="0"/>
            <c:bubble3D val="0"/>
            <c:spPr>
              <a:solidFill>
                <a:srgbClr val="7F7F7F"/>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436D-4915-AC5F-1D09953C3A59}"/>
              </c:ext>
            </c:extLst>
          </c:dPt>
          <c:dPt>
            <c:idx val="10"/>
            <c:invertIfNegative val="0"/>
            <c:bubble3D val="0"/>
            <c:spPr>
              <a:pattFill prst="wdUpDiag">
                <a:fgClr>
                  <a:srgbClr val="404040"/>
                </a:fgClr>
                <a:bgClr>
                  <a:srgbClr val="F2F2F2"/>
                </a:bgClr>
              </a:pattFill>
              <a:ln w="9525">
                <a:solidFill>
                  <a:srgbClr val="404040"/>
                </a:solidFill>
              </a:ln>
            </c:spPr>
            <c:extLst>
              <c:ext xmlns:c16="http://schemas.microsoft.com/office/drawing/2014/chart" uri="{C3380CC4-5D6E-409C-BE32-E72D297353CC}">
                <c16:uniqueId val="{0000000C-436D-4915-AC5F-1D09953C3A59}"/>
              </c:ext>
            </c:extLst>
          </c:dPt>
          <c:dPt>
            <c:idx val="11"/>
            <c:invertIfNegative val="0"/>
            <c:bubble3D val="0"/>
            <c:spPr>
              <a:pattFill prst="wdUpDiag">
                <a:fgClr>
                  <a:srgbClr val="404040"/>
                </a:fgClr>
                <a:bgClr>
                  <a:srgbClr val="F2F2F2"/>
                </a:bgClr>
              </a:pattFill>
              <a:ln w="9525">
                <a:solidFill>
                  <a:srgbClr val="404040"/>
                </a:solidFill>
              </a:ln>
            </c:spPr>
            <c:extLst>
              <c:ext xmlns:c16="http://schemas.microsoft.com/office/drawing/2014/chart" uri="{C3380CC4-5D6E-409C-BE32-E72D297353CC}">
                <c16:uniqueId val="{0000000D-436D-4915-AC5F-1D09953C3A59}"/>
              </c:ext>
            </c:extLst>
          </c:dPt>
          <c:dPt>
            <c:idx val="12"/>
            <c:invertIfNegative val="0"/>
            <c:bubble3D val="0"/>
            <c:spPr>
              <a:solidFill>
                <a:srgbClr val="D9D9D9"/>
              </a:solidFill>
              <a:ln w="9525">
                <a:solidFill>
                  <a:srgbClr val="404040"/>
                </a:solidFill>
              </a:ln>
            </c:spPr>
            <c:extLst>
              <c:ext xmlns:c16="http://schemas.microsoft.com/office/drawing/2014/chart" uri="{C3380CC4-5D6E-409C-BE32-E72D297353CC}">
                <c16:uniqueId val="{0000000E-436D-4915-AC5F-1D09953C3A59}"/>
              </c:ext>
            </c:extLst>
          </c:dPt>
          <c:dPt>
            <c:idx val="13"/>
            <c:invertIfNegative val="0"/>
            <c:bubble3D val="0"/>
            <c:spPr>
              <a:solidFill>
                <a:srgbClr val="D9D9D9"/>
              </a:solidFill>
              <a:ln w="9525">
                <a:solidFill>
                  <a:srgbClr val="404040"/>
                </a:solidFill>
              </a:ln>
            </c:spPr>
            <c:extLst>
              <c:ext xmlns:c16="http://schemas.microsoft.com/office/drawing/2014/chart" uri="{C3380CC4-5D6E-409C-BE32-E72D297353CC}">
                <c16:uniqueId val="{0000000F-436D-4915-AC5F-1D09953C3A59}"/>
              </c:ext>
            </c:extLst>
          </c:dPt>
          <c:dPt>
            <c:idx val="14"/>
            <c:invertIfNegative val="0"/>
            <c:bubble3D val="0"/>
            <c:spPr>
              <a:solidFill>
                <a:srgbClr val="D9D9D9"/>
              </a:solidFill>
              <a:ln w="9525">
                <a:solidFill>
                  <a:srgbClr val="404040"/>
                </a:solidFill>
              </a:ln>
            </c:spPr>
            <c:extLst>
              <c:ext xmlns:c16="http://schemas.microsoft.com/office/drawing/2014/chart" uri="{C3380CC4-5D6E-409C-BE32-E72D297353CC}">
                <c16:uniqueId val="{00000010-436D-4915-AC5F-1D09953C3A59}"/>
              </c:ext>
            </c:extLst>
          </c:dPt>
          <c:dPt>
            <c:idx val="15"/>
            <c:invertIfNegative val="0"/>
            <c:bubble3D val="0"/>
            <c:spPr>
              <a:solidFill>
                <a:srgbClr val="D9D9D9"/>
              </a:solidFill>
              <a:ln w="9525">
                <a:solidFill>
                  <a:srgbClr val="404040"/>
                </a:solidFill>
              </a:ln>
            </c:spPr>
            <c:extLst>
              <c:ext xmlns:c16="http://schemas.microsoft.com/office/drawing/2014/chart" uri="{C3380CC4-5D6E-409C-BE32-E72D297353CC}">
                <c16:uniqueId val="{00000011-436D-4915-AC5F-1D09953C3A59}"/>
              </c:ext>
            </c:extLst>
          </c:dPt>
          <c:dPt>
            <c:idx val="16"/>
            <c:invertIfNegative val="0"/>
            <c:bubble3D val="0"/>
            <c:spPr>
              <a:solidFill>
                <a:srgbClr val="D9D9D9"/>
              </a:solidFill>
              <a:ln w="9525">
                <a:solidFill>
                  <a:srgbClr val="404040"/>
                </a:solidFill>
              </a:ln>
            </c:spPr>
            <c:extLst>
              <c:ext xmlns:c16="http://schemas.microsoft.com/office/drawing/2014/chart" uri="{C3380CC4-5D6E-409C-BE32-E72D297353CC}">
                <c16:uniqueId val="{00000012-436D-4915-AC5F-1D09953C3A59}"/>
              </c:ext>
            </c:extLst>
          </c:dPt>
          <c:dPt>
            <c:idx val="17"/>
            <c:invertIfNegative val="0"/>
            <c:bubble3D val="0"/>
            <c:spPr>
              <a:solidFill>
                <a:srgbClr val="D9D9D9"/>
              </a:solidFill>
              <a:ln w="9525">
                <a:solidFill>
                  <a:srgbClr val="404040"/>
                </a:solidFill>
              </a:ln>
            </c:spPr>
            <c:extLst>
              <c:ext xmlns:c16="http://schemas.microsoft.com/office/drawing/2014/chart" uri="{C3380CC4-5D6E-409C-BE32-E72D297353CC}">
                <c16:uniqueId val="{00000013-436D-4915-AC5F-1D09953C3A59}"/>
              </c:ext>
            </c:extLst>
          </c:dPt>
          <c:dPt>
            <c:idx val="18"/>
            <c:invertIfNegative val="0"/>
            <c:bubble3D val="0"/>
            <c:spPr>
              <a:solidFill>
                <a:srgbClr val="D9D9D9"/>
              </a:solidFill>
              <a:ln w="9525">
                <a:solidFill>
                  <a:srgbClr val="404040"/>
                </a:solidFill>
              </a:ln>
            </c:spPr>
            <c:extLst>
              <c:ext xmlns:c16="http://schemas.microsoft.com/office/drawing/2014/chart" uri="{C3380CC4-5D6E-409C-BE32-E72D297353CC}">
                <c16:uniqueId val="{00000014-436D-4915-AC5F-1D09953C3A59}"/>
              </c:ext>
            </c:extLst>
          </c:dPt>
          <c:dPt>
            <c:idx val="19"/>
            <c:invertIfNegative val="0"/>
            <c:bubble3D val="0"/>
            <c:spPr>
              <a:solidFill>
                <a:srgbClr val="D9D9D9"/>
              </a:solidFill>
              <a:ln w="9525">
                <a:solidFill>
                  <a:srgbClr val="404040"/>
                </a:solidFill>
              </a:ln>
            </c:spPr>
            <c:extLst>
              <c:ext xmlns:c16="http://schemas.microsoft.com/office/drawing/2014/chart" uri="{C3380CC4-5D6E-409C-BE32-E72D297353CC}">
                <c16:uniqueId val="{00000015-436D-4915-AC5F-1D09953C3A59}"/>
              </c:ext>
            </c:extLst>
          </c:dPt>
          <c:dLbls>
            <c:dLbl>
              <c:idx val="0"/>
              <c:tx>
                <c:strRef>
                  <c:f>'C08H'!$B$58</c:f>
                  <c:strCache>
                    <c:ptCount val="1"/>
                    <c:pt idx="0">
                      <c:v>10972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{5A3A8FFD-5269-49B6-9489-321D7CD82F9D}</c15:txfldGUID>
                      <c15:f>'C08H'!$B$58</c15:f>
                      <c15:dlblFieldTableCache>
                        <c:ptCount val="1"/>
                        <c:pt idx="0">
                          <c:v>10972</c:v>
                        </c:pt>
                      </c15:dlblFieldTableCache>
                    </c15:dlblFTEntry>
                  </c15:dlblFieldTable>
                  <c15:showDataLabelsRange val="0"/>
                </c:ext>
                <c:ext xmlns:c16="http://schemas.microsoft.com/office/drawing/2014/chart" uri="{C3380CC4-5D6E-409C-BE32-E72D297353CC}">
                  <c16:uniqueId val="{00000002-436D-4915-AC5F-1D09953C3A59}"/>
                </c:ext>
              </c:extLst>
            </c:dLbl>
            <c:dLbl>
              <c:idx val="1"/>
              <c:tx>
                <c:strRef>
                  <c:f>'C08H'!$C$58</c:f>
                  <c:strCache>
                    <c:ptCount val="1"/>
                    <c:pt idx="0">
                      <c:v>12595</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{19104D30-BEC4-42F8-92E9-F418AF895852}</c15:txfldGUID>
                      <c15:f>'C08H'!$C$58</c15:f>
                      <c15:dlblFieldTableCache>
                        <c:ptCount val="1"/>
                        <c:pt idx="0">
                          <c:v>12595</c:v>
                        </c:pt>
                      </c15:dlblFieldTableCache>
                    </c15:dlblFTEntry>
                  </c15:dlblFieldTable>
                  <c15:showDataLabelsRange val="0"/>
                </c:ext>
                <c:ext xmlns:c16="http://schemas.microsoft.com/office/drawing/2014/chart" uri="{C3380CC4-5D6E-409C-BE32-E72D297353CC}">
                  <c16:uniqueId val="{00000003-436D-4915-AC5F-1D09953C3A59}"/>
                </c:ext>
              </c:extLst>
            </c:dLbl>
            <c:dLbl>
              <c:idx val="2"/>
              <c:tx>
                <c:strRef>
                  <c:f>'C08H'!$D$58</c:f>
                  <c:strCache>
                    <c:ptCount val="1"/>
                    <c:pt idx="0">
                      <c:v>12510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{8F3D6361-9FA4-4F5B-9CE2-D1D87542770C}</c15:txfldGUID>
                      <c15:f>'C08H'!$D$58</c15:f>
                      <c15:dlblFieldTableCache>
                        <c:ptCount val="1"/>
                        <c:pt idx="0">
                          <c:v>12510</c:v>
                        </c:pt>
                      </c15:dlblFieldTableCache>
                    </c15:dlblFTEntry>
                  </c15:dlblFieldTable>
                  <c15:showDataLabelsRange val="0"/>
                </c:ext>
                <c:ext xmlns:c16="http://schemas.microsoft.com/office/drawing/2014/chart" uri="{C3380CC4-5D6E-409C-BE32-E72D297353CC}">
                  <c16:uniqueId val="{00000004-436D-4915-AC5F-1D09953C3A59}"/>
                </c:ext>
              </c:extLst>
            </c:dLbl>
            <c:dLbl>
              <c:idx val="3"/>
              <c:tx>
                <c:strRef>
                  <c:f>'C08H'!$E$58</c:f>
                  <c:strCache>
                    <c:ptCount val="1"/>
                    <c:pt idx="0">
                      <c:v>12983</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{2291721A-1042-43D0-ADEE-102F77558B66}</c15:txfldGUID>
                      <c15:f>'C08H'!$E$58</c15:f>
                      <c15:dlblFieldTableCache>
                        <c:ptCount val="1"/>
                        <c:pt idx="0">
                          <c:v>12983</c:v>
                        </c:pt>
                      </c15:dlblFieldTableCache>
                    </c15:dlblFTEntry>
                  </c15:dlblFieldTable>
                  <c15:showDataLabelsRange val="0"/>
                </c:ext>
                <c:ext xmlns:c16="http://schemas.microsoft.com/office/drawing/2014/chart" uri="{C3380CC4-5D6E-409C-BE32-E72D297353CC}">
                  <c16:uniqueId val="{00000005-436D-4915-AC5F-1D09953C3A59}"/>
                </c:ext>
              </c:extLst>
            </c:dLbl>
            <c:dLbl>
              <c:idx val="4"/>
              <c:tx>
                <c:strRef>
                  <c:f>'C08H'!$F$58</c:f>
                  <c:strCache>
                    <c:ptCount val="1"/>
                    <c:pt idx="0">
                      <c:v>12804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{CCFC148A-295D-45DE-901A-A5A17C8BFF7A}</c15:txfldGUID>
                      <c15:f>'C08H'!$F$58</c15:f>
                      <c15:dlblFieldTableCache>
                        <c:ptCount val="1"/>
                        <c:pt idx="0">
                          <c:v>12804</c:v>
                        </c:pt>
                      </c15:dlblFieldTableCache>
                    </c15:dlblFTEntry>
                  </c15:dlblFieldTable>
                  <c15:showDataLabelsRange val="0"/>
                </c:ext>
                <c:ext xmlns:c16="http://schemas.microsoft.com/office/drawing/2014/chart" uri="{C3380CC4-5D6E-409C-BE32-E72D297353CC}">
                  <c16:uniqueId val="{00000006-436D-4915-AC5F-1D09953C3A59}"/>
                </c:ext>
              </c:extLst>
            </c:dLbl>
            <c:dLbl>
              <c:idx val="5"/>
              <c:tx>
                <c:strRef>
                  <c:f>'C08H'!$G$58</c:f>
                  <c:strCache>
                    <c:ptCount val="1"/>
                    <c:pt idx="0">
                      <c:v>13605</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{42B8D524-1CE2-44A3-A08E-9162A7F62A7E}</c15:txfldGUID>
                      <c15:f>'C08H'!$G$58</c15:f>
                      <c15:dlblFieldTableCache>
                        <c:ptCount val="1"/>
                        <c:pt idx="0">
                          <c:v>13605</c:v>
                        </c:pt>
                      </c15:dlblFieldTableCache>
                    </c15:dlblFTEntry>
                  </c15:dlblFieldTable>
                  <c15:showDataLabelsRange val="0"/>
                </c:ext>
                <c:ext xmlns:c16="http://schemas.microsoft.com/office/drawing/2014/chart" uri="{C3380CC4-5D6E-409C-BE32-E72D297353CC}">
                  <c16:uniqueId val="{00000007-436D-4915-AC5F-1D09953C3A59}"/>
                </c:ext>
              </c:extLst>
            </c:dLbl>
            <c:dLbl>
              <c:idx val="6"/>
              <c:tx>
                <c:strRef>
                  <c:f>'C08H'!$H$58</c:f>
                  <c:strCache>
                    <c:ptCount val="1"/>
                    <c:pt idx="0">
                      <c:v>13445</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{2D1AB18D-F33A-4353-9766-41FD14DE9AAE}</c15:txfldGUID>
                      <c15:f>'C08H'!$H$58</c15:f>
                      <c15:dlblFieldTableCache>
                        <c:ptCount val="1"/>
                        <c:pt idx="0">
                          <c:v>13445</c:v>
                        </c:pt>
                      </c15:dlblFieldTableCache>
                    </c15:dlblFTEntry>
                  </c15:dlblFieldTable>
                  <c15:showDataLabelsRange val="0"/>
                </c:ext>
                <c:ext xmlns:c16="http://schemas.microsoft.com/office/drawing/2014/chart" uri="{C3380CC4-5D6E-409C-BE32-E72D297353CC}">
                  <c16:uniqueId val="{00000008-436D-4915-AC5F-1D09953C3A59}"/>
                </c:ext>
              </c:extLst>
            </c:dLbl>
            <c:dLbl>
              <c:idx val="7"/>
              <c:tx>
                <c:strRef>
                  <c:f>'C08H'!$I$58</c:f>
                  <c:strCache>
                    <c:ptCount val="1"/>
                    <c:pt idx="0">
                      <c:v>14105</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{1380D949-87C3-492B-9625-19711998D9EC}</c15:txfldGUID>
                      <c15:f>'C08H'!$I$58</c15:f>
                      <c15:dlblFieldTableCache>
                        <c:ptCount val="1"/>
                        <c:pt idx="0">
                          <c:v>14105</c:v>
                        </c:pt>
                      </c15:dlblFieldTableCache>
                    </c15:dlblFTEntry>
                  </c15:dlblFieldTable>
                  <c15:showDataLabelsRange val="0"/>
                </c:ext>
                <c:ext xmlns:c16="http://schemas.microsoft.com/office/drawing/2014/chart" uri="{C3380CC4-5D6E-409C-BE32-E72D297353CC}">
                  <c16:uniqueId val="{00000009-436D-4915-AC5F-1D09953C3A59}"/>
                </c:ext>
              </c:extLst>
            </c:dLbl>
            <c:dLbl>
              <c:idx val="8"/>
              <c:tx>
                <c:strRef>
                  <c:f>'C08H'!$J$58</c:f>
                  <c:strCache>
                    <c:ptCount val="1"/>
                    <c:pt idx="0">
                      <c:v>13827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{97893D7D-84E0-4FED-85BF-A586C099F2FD}</c15:txfldGUID>
                      <c15:f>'C08H'!$J$58</c15:f>
                      <c15:dlblFieldTableCache>
                        <c:ptCount val="1"/>
                        <c:pt idx="0">
                          <c:v>13827</c:v>
                        </c:pt>
                      </c15:dlblFieldTableCache>
                    </c15:dlblFTEntry>
                  </c15:dlblFieldTable>
                  <c15:showDataLabelsRange val="0"/>
                </c:ext>
                <c:ext xmlns:c16="http://schemas.microsoft.com/office/drawing/2014/chart" uri="{C3380CC4-5D6E-409C-BE32-E72D297353CC}">
                  <c16:uniqueId val="{0000000A-436D-4915-AC5F-1D09953C3A59}"/>
                </c:ext>
              </c:extLst>
            </c:dLbl>
            <c:dLbl>
              <c:idx val="9"/>
              <c:tx>
                <c:strRef>
                  <c:f>'C08H'!$K$58</c:f>
                  <c:strCache>
                    <c:ptCount val="1"/>
                    <c:pt idx="0">
                      <c:v>14572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{2778E7B9-0D29-4A28-998C-2F0CE012F166}</c15:txfldGUID>
                      <c15:f>'C08H'!$K$58</c15:f>
                      <c15:dlblFieldTableCache>
                        <c:ptCount val="1"/>
                        <c:pt idx="0">
                          <c:v>14572</c:v>
                        </c:pt>
                      </c15:dlblFieldTableCache>
                    </c15:dlblFTEntry>
                  </c15:dlblFieldTable>
                  <c15:showDataLabelsRange val="0"/>
                </c:ext>
                <c:ext xmlns:c16="http://schemas.microsoft.com/office/drawing/2014/chart" uri="{C3380CC4-5D6E-409C-BE32-E72D297353CC}">
                  <c16:uniqueId val="{0000000B-436D-4915-AC5F-1D09953C3A59}"/>
                </c:ext>
              </c:extLst>
            </c:dLbl>
            <c:dLbl>
              <c:idx val="10"/>
              <c:tx>
                <c:strRef>
                  <c:f>'C08H'!$L$58</c:f>
                  <c:strCache>
                    <c:ptCount val="1"/>
                    <c:pt idx="0">
                      <c:v>15876</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{E6A1CAC1-CF53-46E9-AE62-0A100538440F}</c15:txfldGUID>
                      <c15:f>'C08H'!$L$58</c15:f>
                      <c15:dlblFieldTableCache>
                        <c:ptCount val="1"/>
                        <c:pt idx="0">
                          <c:v>15876</c:v>
                        </c:pt>
                      </c15:dlblFieldTableCache>
                    </c15:dlblFTEntry>
                  </c15:dlblFieldTable>
                  <c15:showDataLabelsRange val="0"/>
                </c:ext>
                <c:ext xmlns:c16="http://schemas.microsoft.com/office/drawing/2014/chart" uri="{C3380CC4-5D6E-409C-BE32-E72D297353CC}">
                  <c16:uniqueId val="{0000000C-436D-4915-AC5F-1D09953C3A59}"/>
                </c:ext>
              </c:extLst>
            </c:dLbl>
            <c:dLbl>
              <c:idx val="11"/>
              <c:tx>
                <c:strRef>
                  <c:f>'C08H'!$M$58</c:f>
                  <c:strCache>
                    <c:ptCount val="1"/>
                    <c:pt idx="0">
                      <c:v>16240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{8713B87B-5C24-459C-B5FC-2CFC38CF9E59}</c15:txfldGUID>
                      <c15:f>'C08H'!$M$58</c15:f>
                      <c15:dlblFieldTableCache>
                        <c:ptCount val="1"/>
                        <c:pt idx="0">
                          <c:v>16240</c:v>
                        </c:pt>
                      </c15:dlblFieldTableCache>
                    </c15:dlblFTEntry>
                  </c15:dlblFieldTable>
                  <c15:showDataLabelsRange val="0"/>
                </c:ext>
                <c:ext xmlns:c16="http://schemas.microsoft.com/office/drawing/2014/chart" uri="{C3380CC4-5D6E-409C-BE32-E72D297353CC}">
                  <c16:uniqueId val="{0000000D-436D-4915-AC5F-1D09953C3A59}"/>
                </c:ext>
              </c:extLst>
            </c:dLbl>
            <c:dLbl>
              <c:idx val="12"/>
              <c:tx>
                <c:strRef>
                  <c:f>'C08H'!$N$58</c:f>
                  <c:strCache>
                    <c:ptCount val="1"/>
                    <c:pt idx="0">
                      <c:v>16612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{EC2EE160-0E19-4947-B360-769137C7232D}</c15:txfldGUID>
                      <c15:f>'C08H'!$N$58</c15:f>
                      <c15:dlblFieldTableCache>
                        <c:ptCount val="1"/>
                        <c:pt idx="0">
                          <c:v>16612</c:v>
                        </c:pt>
                      </c15:dlblFieldTableCache>
                    </c15:dlblFTEntry>
                  </c15:dlblFieldTable>
                  <c15:showDataLabelsRange val="0"/>
                </c:ext>
                <c:ext xmlns:c16="http://schemas.microsoft.com/office/drawing/2014/chart" uri="{C3380CC4-5D6E-409C-BE32-E72D297353CC}">
                  <c16:uniqueId val="{0000000E-436D-4915-AC5F-1D09953C3A59}"/>
                </c:ext>
              </c:extLst>
            </c:dLbl>
            <c:dLbl>
              <c:idx val="13"/>
              <c:tx>
                <c:strRef>
                  <c:f>'C08H'!$O$58</c:f>
                  <c:strCache>
                    <c:ptCount val="1"/>
                    <c:pt idx="0">
                      <c:v>16993</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{1394C603-0D66-4C2B-838E-A38131FC171F}</c15:txfldGUID>
                      <c15:f>'C08H'!$O$58</c15:f>
                      <c15:dlblFieldTableCache>
                        <c:ptCount val="1"/>
                        <c:pt idx="0">
                          <c:v>16993</c:v>
                        </c:pt>
                      </c15:dlblFieldTableCache>
                    </c15:dlblFTEntry>
                  </c15:dlblFieldTable>
                  <c15:showDataLabelsRange val="0"/>
                </c:ext>
                <c:ext xmlns:c16="http://schemas.microsoft.com/office/drawing/2014/chart" uri="{C3380CC4-5D6E-409C-BE32-E72D297353CC}">
                  <c16:uniqueId val="{0000000F-436D-4915-AC5F-1D09953C3A59}"/>
                </c:ext>
              </c:extLst>
            </c:dLbl>
            <c:dLbl>
              <c:idx val="14"/>
              <c:tx>
                <c:strRef>
                  <c:f>'C08H'!$P$58</c:f>
                  <c:strCache>
                    <c:ptCount val="1"/>
                    <c:pt idx="0">
                      <c:v>17382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{A45442D4-83A6-42BA-AE9A-981992B0D574}</c15:txfldGUID>
                      <c15:f>'C08H'!$P$58</c15:f>
                      <c15:dlblFieldTableCache>
                        <c:ptCount val="1"/>
                        <c:pt idx="0">
                          <c:v>17382</c:v>
                        </c:pt>
                      </c15:dlblFieldTableCache>
                    </c15:dlblFTEntry>
                  </c15:dlblFieldTable>
                  <c15:showDataLabelsRange val="0"/>
                </c:ext>
                <c:ext xmlns:c16="http://schemas.microsoft.com/office/drawing/2014/chart" uri="{C3380CC4-5D6E-409C-BE32-E72D297353CC}">
                  <c16:uniqueId val="{00000010-436D-4915-AC5F-1D09953C3A59}"/>
                </c:ext>
              </c:extLst>
            </c:dLbl>
            <c:dLbl>
              <c:idx val="15"/>
              <c:tx>
                <c:strRef>
                  <c:f>'C08H'!$Q$58</c:f>
                  <c:strCache>
                    <c:ptCount val="1"/>
                    <c:pt idx="0">
                      <c:v>17781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{129744DE-624E-4E08-BA4A-4199380212D9}</c15:txfldGUID>
                      <c15:f>'C08H'!$Q$58</c15:f>
                      <c15:dlblFieldTableCache>
                        <c:ptCount val="1"/>
                        <c:pt idx="0">
                          <c:v>17781</c:v>
                        </c:pt>
                      </c15:dlblFieldTableCache>
                    </c15:dlblFTEntry>
                  </c15:dlblFieldTable>
                  <c15:showDataLabelsRange val="0"/>
                </c:ext>
                <c:ext xmlns:c16="http://schemas.microsoft.com/office/drawing/2014/chart" uri="{C3380CC4-5D6E-409C-BE32-E72D297353CC}">
                  <c16:uniqueId val="{00000011-436D-4915-AC5F-1D09953C3A59}"/>
                </c:ext>
              </c:extLst>
            </c:dLbl>
            <c:dLbl>
              <c:idx val="16"/>
              <c:tx>
                <c:strRef>
                  <c:f>'C08H'!$R$58</c:f>
                  <c:strCache>
                    <c:ptCount val="1"/>
                    <c:pt idx="0">
                      <c:v>18188</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{DDB62CDC-7188-4075-A1C0-B56A1A1A7A80}</c15:txfldGUID>
                      <c15:f>'C08H'!$R$58</c15:f>
                      <c15:dlblFieldTableCache>
                        <c:ptCount val="1"/>
                        <c:pt idx="0">
                          <c:v>18188</c:v>
                        </c:pt>
                      </c15:dlblFieldTableCache>
                    </c15:dlblFTEntry>
                  </c15:dlblFieldTable>
                  <c15:showDataLabelsRange val="0"/>
                </c:ext>
                <c:ext xmlns:c16="http://schemas.microsoft.com/office/drawing/2014/chart" uri="{C3380CC4-5D6E-409C-BE32-E72D297353CC}">
                  <c16:uniqueId val="{00000012-436D-4915-AC5F-1D09953C3A59}"/>
                </c:ext>
              </c:extLst>
            </c:dLbl>
            <c:dLbl>
              <c:idx val="17"/>
              <c:tx>
                <c:strRef>
                  <c:f>'C08H'!$S$58</c:f>
                  <c:strCache>
                    <c:ptCount val="1"/>
                    <c:pt idx="0">
                      <c:v>18605</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{A0EE2A63-F33C-44A9-B289-8DC015F10D7C}</c15:txfldGUID>
                      <c15:f>'C08H'!$S$58</c15:f>
                      <c15:dlblFieldTableCache>
                        <c:ptCount val="1"/>
                        <c:pt idx="0">
                          <c:v>18605</c:v>
                        </c:pt>
                      </c15:dlblFieldTableCache>
                    </c15:dlblFTEntry>
                  </c15:dlblFieldTable>
                  <c15:showDataLabelsRange val="0"/>
                </c:ext>
                <c:ext xmlns:c16="http://schemas.microsoft.com/office/drawing/2014/chart" uri="{C3380CC4-5D6E-409C-BE32-E72D297353CC}">
                  <c16:uniqueId val="{00000013-436D-4915-AC5F-1D09953C3A59}"/>
                </c:ext>
              </c:extLst>
            </c:dLbl>
            <c:dLbl>
              <c:idx val="18"/>
              <c:tx>
                <c:strRef>
                  <c:f>'C08H'!$T$58</c:f>
                  <c:strCache>
                    <c:ptCount val="1"/>
                    <c:pt idx="0">
                      <c:v>19032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{1F1C9A6F-D224-4E4D-A5F5-02058FD65619}</c15:txfldGUID>
                      <c15:f>'C08H'!$T$58</c15:f>
                      <c15:dlblFieldTableCache>
                        <c:ptCount val="1"/>
                        <c:pt idx="0">
                          <c:v>19032</c:v>
                        </c:pt>
                      </c15:dlblFieldTableCache>
                    </c15:dlblFTEntry>
                  </c15:dlblFieldTable>
                  <c15:showDataLabelsRange val="0"/>
                </c:ext>
                <c:ext xmlns:c16="http://schemas.microsoft.com/office/drawing/2014/chart" uri="{C3380CC4-5D6E-409C-BE32-E72D297353CC}">
                  <c16:uniqueId val="{00000014-436D-4915-AC5F-1D09953C3A59}"/>
                </c:ext>
              </c:extLst>
            </c:dLbl>
            <c:dLbl>
              <c:idx val="19"/>
              <c:tx>
                <c:strRef>
                  <c:f>'C08H'!$U$58</c:f>
                  <c:strCache>
                    <c:ptCount val="1"/>
                    <c:pt idx="0">
                      <c:v>19468</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{7E3CD610-4BCD-4BC6-9FBA-DD505E736712}</c15:txfldGUID>
                      <c15:f>'C08H'!$U$58</c15:f>
                      <c15:dlblFieldTableCache>
                        <c:ptCount val="1"/>
                        <c:pt idx="0">
                          <c:v>19468</c:v>
                        </c:pt>
                      </c15:dlblFieldTableCache>
                    </c15:dlblFTEntry>
                  </c15:dlblFieldTable>
                  <c15:showDataLabelsRange val="0"/>
                </c:ext>
                <c:ext xmlns:c16="http://schemas.microsoft.com/office/drawing/2014/chart" uri="{C3380CC4-5D6E-409C-BE32-E72D297353CC}">
                  <c16:uniqueId val="{00000015-436D-4915-AC5F-1D09953C3A59}"/>
                </c:ext>
              </c:extLst>
            </c:dLbl>
            <c:numFmt formatCode="0" sourceLinked="0"/>
            <c:spPr>
              <a:noFill/>
              <a:ln>
                <a:noFill/>
              </a:ln>
              <a:effectLst/>
            </c:spPr>
            <c:txPr>
              <a:bodyPr wrap="square" lIns="38100" tIns="19050" rIns="38100" bIns="19050" anchor="ctr">
                <a:spAutoFit/>
              </a:bodyPr>
              <a:lstStyle/>
              <a:p>
                <a:pPr>
                  <a:defRPr sz="8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'C08H'!$B$9:$U$9</c:f>
              <c:strCache>
                <c:ptCount val="20"/>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strCache>
            </c:strRef>
          </c:cat>
          <c:val>
            <c:numRef>
              <c:f>'C08H'!$B$35:$U$35</c:f>
              <c:numCache>
                <c:formatCode>General</c:formatCode>
                <c:ptCount val="20"/>
                <c:pt idx="0">
                  <c:v>0.19407446714424692</c:v>
                </c:pt>
                <c:pt idx="1">
                  <c:v>0.22278234721853718</c:v>
                </c:pt>
                <c:pt idx="2">
                  <c:v>0.22127885380737597</c:v>
                </c:pt>
                <c:pt idx="3">
                  <c:v>0.22964535243654374</c:v>
                </c:pt>
                <c:pt idx="4">
                  <c:v>0.22647917219421598</c:v>
                </c:pt>
                <c:pt idx="5">
                  <c:v>0.24064738657468823</c:v>
                </c:pt>
                <c:pt idx="6">
                  <c:v>0.23781728133014945</c:v>
                </c:pt>
                <c:pt idx="7">
                  <c:v>0.24949146546387194</c:v>
                </c:pt>
                <c:pt idx="8">
                  <c:v>0.24457415760148579</c:v>
                </c:pt>
                <c:pt idx="9">
                  <c:v>0.25775183514636951</c:v>
                </c:pt>
                <c:pt idx="10">
                  <c:v>0.28081719288936058</c:v>
                </c:pt>
                <c:pt idx="11">
                  <c:v>0.28725568232068632</c:v>
                </c:pt>
                <c:pt idx="12">
                  <c:v>0.29383567701423896</c:v>
                </c:pt>
                <c:pt idx="13">
                  <c:v>0.30057486512779696</c:v>
                </c:pt>
                <c:pt idx="14">
                  <c:v>0.30745555850358186</c:v>
                </c:pt>
                <c:pt idx="15">
                  <c:v>0.31451313345715043</c:v>
                </c:pt>
                <c:pt idx="16">
                  <c:v>0.32171221367294595</c:v>
                </c:pt>
                <c:pt idx="17">
                  <c:v>0.32908817546652513</c:v>
                </c:pt>
                <c:pt idx="18">
                  <c:v>0.33664101883788805</c:v>
                </c:pt>
                <c:pt idx="19">
                  <c:v>0.34435305562925622</c:v>
                </c:pt>
              </c:numCache>
            </c:numRef>
          </c:val>
          <c:extLst>
            <c:ext xmlns:c16="http://schemas.microsoft.com/office/drawing/2014/chart" uri="{C3380CC4-5D6E-409C-BE32-E72D297353CC}">
              <c16:uniqueId val="{00000001-436D-4915-AC5F-1D09953C3A59}"/>
            </c:ext>
          </c:extLst>
        </c:ser>
        <c:ser>
          <c:idx val="1"/>
          <c:order val="1"/>
          <c:tx>
            <c:v>Decrease drawn</c:v>
          </c:tx>
          <c:spPr>
            <a:solidFill>
              <a:srgbClr val="E97132"/>
            </a:solidFill>
          </c:spPr>
          <c:invertIfNegative val="0"/>
          <c:dPt>
            <c:idx val="0"/>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7-436D-4915-AC5F-1D09953C3A59}"/>
              </c:ext>
            </c:extLst>
          </c:dPt>
          <c:dPt>
            <c:idx val="1"/>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8-436D-4915-AC5F-1D09953C3A59}"/>
              </c:ext>
            </c:extLst>
          </c:dPt>
          <c:dPt>
            <c:idx val="2"/>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9-436D-4915-AC5F-1D09953C3A59}"/>
              </c:ext>
            </c:extLst>
          </c:dPt>
          <c:dPt>
            <c:idx val="3"/>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A-436D-4915-AC5F-1D09953C3A59}"/>
              </c:ext>
            </c:extLst>
          </c:dPt>
          <c:dPt>
            <c:idx val="4"/>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B-436D-4915-AC5F-1D09953C3A59}"/>
              </c:ext>
            </c:extLst>
          </c:dPt>
          <c:dPt>
            <c:idx val="5"/>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C-436D-4915-AC5F-1D09953C3A59}"/>
              </c:ext>
            </c:extLst>
          </c:dPt>
          <c:dPt>
            <c:idx val="6"/>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D-436D-4915-AC5F-1D09953C3A59}"/>
              </c:ext>
            </c:extLst>
          </c:dPt>
          <c:dPt>
            <c:idx val="7"/>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E-436D-4915-AC5F-1D09953C3A59}"/>
              </c:ext>
            </c:extLst>
          </c:dPt>
          <c:dPt>
            <c:idx val="8"/>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F-436D-4915-AC5F-1D09953C3A59}"/>
              </c:ext>
            </c:extLst>
          </c:dPt>
          <c:dPt>
            <c:idx val="9"/>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20-436D-4915-AC5F-1D09953C3A59}"/>
              </c:ext>
            </c:extLst>
          </c:dPt>
          <c:dPt>
            <c:idx val="10"/>
            <c:invertIfNegative val="0"/>
            <c:bubble3D val="0"/>
            <c:spPr>
              <a:pattFill prst="wdUpDiag">
                <a:fgClr>
                  <a:srgbClr val="404040"/>
                </a:fgClr>
                <a:bgClr>
                  <a:srgbClr val="F2F2F2"/>
                </a:bgClr>
              </a:pattFill>
              <a:ln w="9525">
                <a:solidFill>
                  <a:srgbClr val="404040"/>
                </a:solidFill>
              </a:ln>
            </c:spPr>
            <c:extLst>
              <c:ext xmlns:c16="http://schemas.microsoft.com/office/drawing/2014/chart" uri="{C3380CC4-5D6E-409C-BE32-E72D297353CC}">
                <c16:uniqueId val="{00000021-436D-4915-AC5F-1D09953C3A59}"/>
              </c:ext>
            </c:extLst>
          </c:dPt>
          <c:dPt>
            <c:idx val="11"/>
            <c:invertIfNegative val="0"/>
            <c:bubble3D val="0"/>
            <c:spPr>
              <a:pattFill prst="wdUpDiag">
                <a:fgClr>
                  <a:srgbClr val="404040"/>
                </a:fgClr>
                <a:bgClr>
                  <a:srgbClr val="F2F2F2"/>
                </a:bgClr>
              </a:pattFill>
              <a:ln w="9525">
                <a:solidFill>
                  <a:srgbClr val="404040"/>
                </a:solidFill>
              </a:ln>
            </c:spPr>
            <c:extLst>
              <c:ext xmlns:c16="http://schemas.microsoft.com/office/drawing/2014/chart" uri="{C3380CC4-5D6E-409C-BE32-E72D297353CC}">
                <c16:uniqueId val="{00000022-436D-4915-AC5F-1D09953C3A59}"/>
              </c:ext>
            </c:extLst>
          </c:dPt>
          <c:dPt>
            <c:idx val="12"/>
            <c:invertIfNegative val="0"/>
            <c:bubble3D val="0"/>
            <c:spPr>
              <a:solidFill>
                <a:srgbClr val="F4F4F4"/>
              </a:solidFill>
              <a:ln w="9525">
                <a:solidFill>
                  <a:srgbClr val="404040"/>
                </a:solidFill>
              </a:ln>
            </c:spPr>
            <c:extLst>
              <c:ext xmlns:c16="http://schemas.microsoft.com/office/drawing/2014/chart" uri="{C3380CC4-5D6E-409C-BE32-E72D297353CC}">
                <c16:uniqueId val="{00000023-436D-4915-AC5F-1D09953C3A59}"/>
              </c:ext>
            </c:extLst>
          </c:dPt>
          <c:dPt>
            <c:idx val="13"/>
            <c:invertIfNegative val="0"/>
            <c:bubble3D val="0"/>
            <c:spPr>
              <a:solidFill>
                <a:srgbClr val="F4F4F4"/>
              </a:solidFill>
              <a:ln w="9525">
                <a:solidFill>
                  <a:srgbClr val="404040"/>
                </a:solidFill>
              </a:ln>
            </c:spPr>
            <c:extLst>
              <c:ext xmlns:c16="http://schemas.microsoft.com/office/drawing/2014/chart" uri="{C3380CC4-5D6E-409C-BE32-E72D297353CC}">
                <c16:uniqueId val="{00000024-436D-4915-AC5F-1D09953C3A59}"/>
              </c:ext>
            </c:extLst>
          </c:dPt>
          <c:dPt>
            <c:idx val="14"/>
            <c:invertIfNegative val="0"/>
            <c:bubble3D val="0"/>
            <c:spPr>
              <a:solidFill>
                <a:srgbClr val="F4F4F4"/>
              </a:solidFill>
              <a:ln w="9525">
                <a:solidFill>
                  <a:srgbClr val="404040"/>
                </a:solidFill>
              </a:ln>
            </c:spPr>
            <c:extLst>
              <c:ext xmlns:c16="http://schemas.microsoft.com/office/drawing/2014/chart" uri="{C3380CC4-5D6E-409C-BE32-E72D297353CC}">
                <c16:uniqueId val="{00000025-436D-4915-AC5F-1D09953C3A59}"/>
              </c:ext>
            </c:extLst>
          </c:dPt>
          <c:dPt>
            <c:idx val="15"/>
            <c:invertIfNegative val="0"/>
            <c:bubble3D val="0"/>
            <c:spPr>
              <a:solidFill>
                <a:srgbClr val="F4F4F4"/>
              </a:solidFill>
              <a:ln w="9525">
                <a:solidFill>
                  <a:srgbClr val="404040"/>
                </a:solidFill>
              </a:ln>
            </c:spPr>
            <c:extLst>
              <c:ext xmlns:c16="http://schemas.microsoft.com/office/drawing/2014/chart" uri="{C3380CC4-5D6E-409C-BE32-E72D297353CC}">
                <c16:uniqueId val="{00000026-436D-4915-AC5F-1D09953C3A59}"/>
              </c:ext>
            </c:extLst>
          </c:dPt>
          <c:dPt>
            <c:idx val="16"/>
            <c:invertIfNegative val="0"/>
            <c:bubble3D val="0"/>
            <c:spPr>
              <a:solidFill>
                <a:srgbClr val="F4F4F4"/>
              </a:solidFill>
              <a:ln w="9525">
                <a:solidFill>
                  <a:srgbClr val="404040"/>
                </a:solidFill>
              </a:ln>
            </c:spPr>
            <c:extLst>
              <c:ext xmlns:c16="http://schemas.microsoft.com/office/drawing/2014/chart" uri="{C3380CC4-5D6E-409C-BE32-E72D297353CC}">
                <c16:uniqueId val="{00000027-436D-4915-AC5F-1D09953C3A59}"/>
              </c:ext>
            </c:extLst>
          </c:dPt>
          <c:dPt>
            <c:idx val="17"/>
            <c:invertIfNegative val="0"/>
            <c:bubble3D val="0"/>
            <c:spPr>
              <a:solidFill>
                <a:srgbClr val="F4F4F4"/>
              </a:solidFill>
              <a:ln w="9525">
                <a:solidFill>
                  <a:srgbClr val="404040"/>
                </a:solidFill>
              </a:ln>
            </c:spPr>
            <c:extLst>
              <c:ext xmlns:c16="http://schemas.microsoft.com/office/drawing/2014/chart" uri="{C3380CC4-5D6E-409C-BE32-E72D297353CC}">
                <c16:uniqueId val="{00000028-436D-4915-AC5F-1D09953C3A59}"/>
              </c:ext>
            </c:extLst>
          </c:dPt>
          <c:dPt>
            <c:idx val="18"/>
            <c:invertIfNegative val="0"/>
            <c:bubble3D val="0"/>
            <c:spPr>
              <a:solidFill>
                <a:srgbClr val="F4F4F4"/>
              </a:solidFill>
              <a:ln w="9525">
                <a:solidFill>
                  <a:srgbClr val="404040"/>
                </a:solidFill>
              </a:ln>
            </c:spPr>
            <c:extLst>
              <c:ext xmlns:c16="http://schemas.microsoft.com/office/drawing/2014/chart" uri="{C3380CC4-5D6E-409C-BE32-E72D297353CC}">
                <c16:uniqueId val="{00000029-436D-4915-AC5F-1D09953C3A59}"/>
              </c:ext>
            </c:extLst>
          </c:dPt>
          <c:dPt>
            <c:idx val="19"/>
            <c:invertIfNegative val="0"/>
            <c:bubble3D val="0"/>
            <c:spPr>
              <a:solidFill>
                <a:srgbClr val="F4F4F4"/>
              </a:solidFill>
              <a:ln w="9525">
                <a:solidFill>
                  <a:srgbClr val="404040"/>
                </a:solidFill>
              </a:ln>
            </c:spPr>
            <c:extLst>
              <c:ext xmlns:c16="http://schemas.microsoft.com/office/drawing/2014/chart" uri="{C3380CC4-5D6E-409C-BE32-E72D297353CC}">
                <c16:uniqueId val="{0000002A-436D-4915-AC5F-1D09953C3A59}"/>
              </c:ext>
            </c:extLst>
          </c:dPt>
          <c:dLbls>
            <c:dLbl>
              <c:idx val="0"/>
              <c:tx>
                <c:strRef>
                  <c:f>'C08H'!$B$65</c:f>
                  <c:strCache>
                    <c:ptCount val="1"/>
                    <c:pt idx="0">
                      <c:v>-10393</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{50CD4FA8-0D19-4CAD-BB58-0E1937849B72}</c15:txfldGUID>
                      <c15:f>'C08H'!$B$65</c15:f>
                      <c15:dlblFieldTableCache>
                        <c:ptCount val="1"/>
                        <c:pt idx="0">
                          <c:v>-10393</c:v>
                        </c:pt>
                      </c15:dlblFieldTableCache>
                    </c15:dlblFTEntry>
                  </c15:dlblFieldTable>
                  <c15:showDataLabelsRange val="0"/>
                </c:ext>
                <c:ext xmlns:c16="http://schemas.microsoft.com/office/drawing/2014/chart" uri="{C3380CC4-5D6E-409C-BE32-E72D297353CC}">
                  <c16:uniqueId val="{00000017-436D-4915-AC5F-1D09953C3A59}"/>
                </c:ext>
              </c:extLst>
            </c:dLbl>
            <c:dLbl>
              <c:idx val="1"/>
              <c:tx>
                <c:strRef>
                  <c:f>'C08H'!$C$65</c:f>
                  <c:strCache>
                    <c:ptCount val="1"/>
                    <c:pt idx="0">
                      <c:v>-10684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{FCF1C0F0-1F52-427A-86E2-D1A25B778E25}</c15:txfldGUID>
                      <c15:f>'C08H'!$C$65</c15:f>
                      <c15:dlblFieldTableCache>
                        <c:ptCount val="1"/>
                        <c:pt idx="0">
                          <c:v>-10684</c:v>
                        </c:pt>
                      </c15:dlblFieldTableCache>
                    </c15:dlblFTEntry>
                  </c15:dlblFieldTable>
                  <c15:showDataLabelsRange val="0"/>
                </c:ext>
                <c:ext xmlns:c16="http://schemas.microsoft.com/office/drawing/2014/chart" uri="{C3380CC4-5D6E-409C-BE32-E72D297353CC}">
                  <c16:uniqueId val="{00000018-436D-4915-AC5F-1D09953C3A59}"/>
                </c:ext>
              </c:extLst>
            </c:dLbl>
            <c:dLbl>
              <c:idx val="2"/>
              <c:tx>
                <c:strRef>
                  <c:f>'C08H'!$D$65</c:f>
                  <c:strCache>
                    <c:ptCount val="1"/>
                    <c:pt idx="0">
                      <c:v>-11084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{02E84E93-BC08-4994-A121-4D36D2343343}</c15:txfldGUID>
                      <c15:f>'C08H'!$D$65</c15:f>
                      <c15:dlblFieldTableCache>
                        <c:ptCount val="1"/>
                        <c:pt idx="0">
                          <c:v>-11084</c:v>
                        </c:pt>
                      </c15:dlblFieldTableCache>
                    </c15:dlblFTEntry>
                  </c15:dlblFieldTable>
                  <c15:showDataLabelsRange val="0"/>
                </c:ext>
                <c:ext xmlns:c16="http://schemas.microsoft.com/office/drawing/2014/chart" uri="{C3380CC4-5D6E-409C-BE32-E72D297353CC}">
                  <c16:uniqueId val="{00000019-436D-4915-AC5F-1D09953C3A59}"/>
                </c:ext>
              </c:extLst>
            </c:dLbl>
            <c:dLbl>
              <c:idx val="3"/>
              <c:tx>
                <c:strRef>
                  <c:f>'C08H'!$E$65</c:f>
                  <c:strCache>
                    <c:ptCount val="1"/>
                    <c:pt idx="0">
                      <c:v>-11929</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{714D135D-8701-4549-A3F0-82112E350BF3}</c15:txfldGUID>
                      <c15:f>'C08H'!$E$65</c15:f>
                      <c15:dlblFieldTableCache>
                        <c:ptCount val="1"/>
                        <c:pt idx="0">
                          <c:v>-11929</c:v>
                        </c:pt>
                      </c15:dlblFieldTableCache>
                    </c15:dlblFTEntry>
                  </c15:dlblFieldTable>
                  <c15:showDataLabelsRange val="0"/>
                </c:ext>
                <c:ext xmlns:c16="http://schemas.microsoft.com/office/drawing/2014/chart" uri="{C3380CC4-5D6E-409C-BE32-E72D297353CC}">
                  <c16:uniqueId val="{0000001A-436D-4915-AC5F-1D09953C3A59}"/>
                </c:ext>
              </c:extLst>
            </c:dLbl>
            <c:dLbl>
              <c:idx val="4"/>
              <c:tx>
                <c:strRef>
                  <c:f>'C08H'!$F$65</c:f>
                  <c:strCache>
                    <c:ptCount val="1"/>
                    <c:pt idx="0">
                      <c:v>-11685</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{CFC537FF-A834-4489-B4A4-D083701C3DA4}</c15:txfldGUID>
                      <c15:f>'C08H'!$F$65</c15:f>
                      <c15:dlblFieldTableCache>
                        <c:ptCount val="1"/>
                        <c:pt idx="0">
                          <c:v>-11685</c:v>
                        </c:pt>
                      </c15:dlblFieldTableCache>
                    </c15:dlblFTEntry>
                  </c15:dlblFieldTable>
                  <c15:showDataLabelsRange val="0"/>
                </c:ext>
                <c:ext xmlns:c16="http://schemas.microsoft.com/office/drawing/2014/chart" uri="{C3380CC4-5D6E-409C-BE32-E72D297353CC}">
                  <c16:uniqueId val="{0000001B-436D-4915-AC5F-1D09953C3A59}"/>
                </c:ext>
              </c:extLst>
            </c:dLbl>
            <c:dLbl>
              <c:idx val="5"/>
              <c:tx>
                <c:strRef>
                  <c:f>'C08H'!$G$65</c:f>
                  <c:strCache>
                    <c:ptCount val="1"/>
                    <c:pt idx="0">
                      <c:v>-12040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{43B33CA2-47FC-415A-8047-361A362C8A60}</c15:txfldGUID>
                      <c15:f>'C08H'!$G$65</c15:f>
                      <c15:dlblFieldTableCache>
                        <c:ptCount val="1"/>
                        <c:pt idx="0">
                          <c:v>-12040</c:v>
                        </c:pt>
                      </c15:dlblFieldTableCache>
                    </c15:dlblFTEntry>
                  </c15:dlblFieldTable>
                  <c15:showDataLabelsRange val="0"/>
                </c:ext>
                <c:ext xmlns:c16="http://schemas.microsoft.com/office/drawing/2014/chart" uri="{C3380CC4-5D6E-409C-BE32-E72D297353CC}">
                  <c16:uniqueId val="{0000001C-436D-4915-AC5F-1D09953C3A59}"/>
                </c:ext>
              </c:extLst>
            </c:dLbl>
            <c:dLbl>
              <c:idx val="6"/>
              <c:tx>
                <c:strRef>
                  <c:f>'C08H'!$H$65</c:f>
                  <c:strCache>
                    <c:ptCount val="1"/>
                    <c:pt idx="0">
                      <c:v>-12407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{DF993284-0218-4550-8262-94BF0B02DF03}</c15:txfldGUID>
                      <c15:f>'C08H'!$H$65</c15:f>
                      <c15:dlblFieldTableCache>
                        <c:ptCount val="1"/>
                        <c:pt idx="0">
                          <c:v>-12407</c:v>
                        </c:pt>
                      </c15:dlblFieldTableCache>
                    </c15:dlblFTEntry>
                  </c15:dlblFieldTable>
                  <c15:showDataLabelsRange val="0"/>
                </c:ext>
                <c:ext xmlns:c16="http://schemas.microsoft.com/office/drawing/2014/chart" uri="{C3380CC4-5D6E-409C-BE32-E72D297353CC}">
                  <c16:uniqueId val="{0000001D-436D-4915-AC5F-1D09953C3A59}"/>
                </c:ext>
              </c:extLst>
            </c:dLbl>
            <c:dLbl>
              <c:idx val="7"/>
              <c:tx>
                <c:strRef>
                  <c:f>'C08H'!$I$65</c:f>
                  <c:strCache>
                    <c:ptCount val="1"/>
                    <c:pt idx="0">
                      <c:v>-12894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{7DAB1835-7EDD-46A2-A371-3ACFDF3C5F11}</c15:txfldGUID>
                      <c15:f>'C08H'!$I$65</c15:f>
                      <c15:dlblFieldTableCache>
                        <c:ptCount val="1"/>
                        <c:pt idx="0">
                          <c:v>-12894</c:v>
                        </c:pt>
                      </c15:dlblFieldTableCache>
                    </c15:dlblFTEntry>
                  </c15:dlblFieldTable>
                  <c15:showDataLabelsRange val="0"/>
                </c:ext>
                <c:ext xmlns:c16="http://schemas.microsoft.com/office/drawing/2014/chart" uri="{C3380CC4-5D6E-409C-BE32-E72D297353CC}">
                  <c16:uniqueId val="{0000001E-436D-4915-AC5F-1D09953C3A59}"/>
                </c:ext>
              </c:extLst>
            </c:dLbl>
            <c:dLbl>
              <c:idx val="8"/>
              <c:tx>
                <c:strRef>
                  <c:f>'C08H'!$J$65</c:f>
                  <c:strCache>
                    <c:ptCount val="1"/>
                    <c:pt idx="0">
                      <c:v>-12701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{70C5C27F-F580-4256-95EF-D36B39F8DCE0}</c15:txfldGUID>
                      <c15:f>'C08H'!$J$65</c15:f>
                      <c15:dlblFieldTableCache>
                        <c:ptCount val="1"/>
                        <c:pt idx="0">
                          <c:v>-12701</c:v>
                        </c:pt>
                      </c15:dlblFieldTableCache>
                    </c15:dlblFTEntry>
                  </c15:dlblFieldTable>
                  <c15:showDataLabelsRange val="0"/>
                </c:ext>
                <c:ext xmlns:c16="http://schemas.microsoft.com/office/drawing/2014/chart" uri="{C3380CC4-5D6E-409C-BE32-E72D297353CC}">
                  <c16:uniqueId val="{0000001F-436D-4915-AC5F-1D09953C3A59}"/>
                </c:ext>
              </c:extLst>
            </c:dLbl>
            <c:dLbl>
              <c:idx val="9"/>
              <c:tx>
                <c:strRef>
                  <c:f>'C08H'!$K$65</c:f>
                  <c:strCache>
                    <c:ptCount val="1"/>
                    <c:pt idx="0">
                      <c:v>-13300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{2ED676C8-CCD0-438A-A876-08B599108507}</c15:txfldGUID>
                      <c15:f>'C08H'!$K$65</c15:f>
                      <c15:dlblFieldTableCache>
                        <c:ptCount val="1"/>
                        <c:pt idx="0">
                          <c:v>-13300</c:v>
                        </c:pt>
                      </c15:dlblFieldTableCache>
                    </c15:dlblFTEntry>
                  </c15:dlblFieldTable>
                  <c15:showDataLabelsRange val="0"/>
                </c:ext>
                <c:ext xmlns:c16="http://schemas.microsoft.com/office/drawing/2014/chart" uri="{C3380CC4-5D6E-409C-BE32-E72D297353CC}">
                  <c16:uniqueId val="{00000020-436D-4915-AC5F-1D09953C3A59}"/>
                </c:ext>
              </c:extLst>
            </c:dLbl>
            <c:dLbl>
              <c:idx val="10"/>
              <c:tx>
                <c:strRef>
                  <c:f>'C08H'!$L$65</c:f>
                  <c:strCache>
                    <c:ptCount val="1"/>
                    <c:pt idx="0">
                      <c:v>-14557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{4FA5DB5C-8963-4CC0-9D0F-061001AF3633}</c15:txfldGUID>
                      <c15:f>'C08H'!$L$65</c15:f>
                      <c15:dlblFieldTableCache>
                        <c:ptCount val="1"/>
                        <c:pt idx="0">
                          <c:v>-14557</c:v>
                        </c:pt>
                      </c15:dlblFieldTableCache>
                    </c15:dlblFTEntry>
                  </c15:dlblFieldTable>
                  <c15:showDataLabelsRange val="0"/>
                </c:ext>
                <c:ext xmlns:c16="http://schemas.microsoft.com/office/drawing/2014/chart" uri="{C3380CC4-5D6E-409C-BE32-E72D297353CC}">
                  <c16:uniqueId val="{00000021-436D-4915-AC5F-1D09953C3A59}"/>
                </c:ext>
              </c:extLst>
            </c:dLbl>
            <c:dLbl>
              <c:idx val="11"/>
              <c:tx>
                <c:strRef>
                  <c:f>'C08H'!$M$65</c:f>
                  <c:strCache>
                    <c:ptCount val="1"/>
                    <c:pt idx="0">
                      <c:v>-14891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{DAEEC3F9-A6D3-463B-B90F-5CF03B5FCFCD}</c15:txfldGUID>
                      <c15:f>'C08H'!$M$65</c15:f>
                      <c15:dlblFieldTableCache>
                        <c:ptCount val="1"/>
                        <c:pt idx="0">
                          <c:v>-14891</c:v>
                        </c:pt>
                      </c15:dlblFieldTableCache>
                    </c15:dlblFTEntry>
                  </c15:dlblFieldTable>
                  <c15:showDataLabelsRange val="0"/>
                </c:ext>
                <c:ext xmlns:c16="http://schemas.microsoft.com/office/drawing/2014/chart" uri="{C3380CC4-5D6E-409C-BE32-E72D297353CC}">
                  <c16:uniqueId val="{00000022-436D-4915-AC5F-1D09953C3A59}"/>
                </c:ext>
              </c:extLst>
            </c:dLbl>
            <c:dLbl>
              <c:idx val="12"/>
              <c:tx>
                <c:strRef>
                  <c:f>'C08H'!$N$65</c:f>
                  <c:strCache>
                    <c:ptCount val="1"/>
                    <c:pt idx="0">
                      <c:v>-15232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{6FFF7301-7F7E-478B-965E-7AF6D251BA4E}</c15:txfldGUID>
                      <c15:f>'C08H'!$N$65</c15:f>
                      <c15:dlblFieldTableCache>
                        <c:ptCount val="1"/>
                        <c:pt idx="0">
                          <c:v>-15232</c:v>
                        </c:pt>
                      </c15:dlblFieldTableCache>
                    </c15:dlblFTEntry>
                  </c15:dlblFieldTable>
                  <c15:showDataLabelsRange val="0"/>
                </c:ext>
                <c:ext xmlns:c16="http://schemas.microsoft.com/office/drawing/2014/chart" uri="{C3380CC4-5D6E-409C-BE32-E72D297353CC}">
                  <c16:uniqueId val="{00000023-436D-4915-AC5F-1D09953C3A59}"/>
                </c:ext>
              </c:extLst>
            </c:dLbl>
            <c:dLbl>
              <c:idx val="13"/>
              <c:tx>
                <c:strRef>
                  <c:f>'C08H'!$O$65</c:f>
                  <c:strCache>
                    <c:ptCount val="1"/>
                    <c:pt idx="0">
                      <c:v>-15582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{5FF72EB9-9327-45E2-A8FD-0CFEA21FEF3F}</c15:txfldGUID>
                      <c15:f>'C08H'!$O$65</c15:f>
                      <c15:dlblFieldTableCache>
                        <c:ptCount val="1"/>
                        <c:pt idx="0">
                          <c:v>-15582</c:v>
                        </c:pt>
                      </c15:dlblFieldTableCache>
                    </c15:dlblFTEntry>
                  </c15:dlblFieldTable>
                  <c15:showDataLabelsRange val="0"/>
                </c:ext>
                <c:ext xmlns:c16="http://schemas.microsoft.com/office/drawing/2014/chart" uri="{C3380CC4-5D6E-409C-BE32-E72D297353CC}">
                  <c16:uniqueId val="{00000024-436D-4915-AC5F-1D09953C3A59}"/>
                </c:ext>
              </c:extLst>
            </c:dLbl>
            <c:dLbl>
              <c:idx val="14"/>
              <c:tx>
                <c:strRef>
                  <c:f>'C08H'!$P$65</c:f>
                  <c:strCache>
                    <c:ptCount val="1"/>
                    <c:pt idx="0">
                      <c:v>-15938</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{4D4B584B-DC07-4D24-93F0-2866674FF810}</c15:txfldGUID>
                      <c15:f>'C08H'!$P$65</c15:f>
                      <c15:dlblFieldTableCache>
                        <c:ptCount val="1"/>
                        <c:pt idx="0">
                          <c:v>-15938</c:v>
                        </c:pt>
                      </c15:dlblFieldTableCache>
                    </c15:dlblFTEntry>
                  </c15:dlblFieldTable>
                  <c15:showDataLabelsRange val="0"/>
                </c:ext>
                <c:ext xmlns:c16="http://schemas.microsoft.com/office/drawing/2014/chart" uri="{C3380CC4-5D6E-409C-BE32-E72D297353CC}">
                  <c16:uniqueId val="{00000025-436D-4915-AC5F-1D09953C3A59}"/>
                </c:ext>
              </c:extLst>
            </c:dLbl>
            <c:dLbl>
              <c:idx val="15"/>
              <c:tx>
                <c:strRef>
                  <c:f>'C08H'!$Q$65</c:f>
                  <c:strCache>
                    <c:ptCount val="1"/>
                    <c:pt idx="0">
                      <c:v>-16304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{C4D3CEBE-D8FE-4A98-AC2C-6B628E6D17EF}</c15:txfldGUID>
                      <c15:f>'C08H'!$Q$65</c15:f>
                      <c15:dlblFieldTableCache>
                        <c:ptCount val="1"/>
                        <c:pt idx="0">
                          <c:v>-16304</c:v>
                        </c:pt>
                      </c15:dlblFieldTableCache>
                    </c15:dlblFTEntry>
                  </c15:dlblFieldTable>
                  <c15:showDataLabelsRange val="0"/>
                </c:ext>
                <c:ext xmlns:c16="http://schemas.microsoft.com/office/drawing/2014/chart" uri="{C3380CC4-5D6E-409C-BE32-E72D297353CC}">
                  <c16:uniqueId val="{00000026-436D-4915-AC5F-1D09953C3A59}"/>
                </c:ext>
              </c:extLst>
            </c:dLbl>
            <c:dLbl>
              <c:idx val="16"/>
              <c:tx>
                <c:strRef>
                  <c:f>'C08H'!$R$65</c:f>
                  <c:strCache>
                    <c:ptCount val="1"/>
                    <c:pt idx="0">
                      <c:v>-16677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{AF4EBF4B-9E6F-4258-8327-B05EB75DE377}</c15:txfldGUID>
                      <c15:f>'C08H'!$R$65</c15:f>
                      <c15:dlblFieldTableCache>
                        <c:ptCount val="1"/>
                        <c:pt idx="0">
                          <c:v>-16677</c:v>
                        </c:pt>
                      </c15:dlblFieldTableCache>
                    </c15:dlblFTEntry>
                  </c15:dlblFieldTable>
                  <c15:showDataLabelsRange val="0"/>
                </c:ext>
                <c:ext xmlns:c16="http://schemas.microsoft.com/office/drawing/2014/chart" uri="{C3380CC4-5D6E-409C-BE32-E72D297353CC}">
                  <c16:uniqueId val="{00000027-436D-4915-AC5F-1D09953C3A59}"/>
                </c:ext>
              </c:extLst>
            </c:dLbl>
            <c:dLbl>
              <c:idx val="17"/>
              <c:tx>
                <c:strRef>
                  <c:f>'C08H'!$S$65</c:f>
                  <c:strCache>
                    <c:ptCount val="1"/>
                    <c:pt idx="0">
                      <c:v>-17060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{14D3120C-785B-48D9-89D5-A5A82E9C9AD8}</c15:txfldGUID>
                      <c15:f>'C08H'!$S$65</c15:f>
                      <c15:dlblFieldTableCache>
                        <c:ptCount val="1"/>
                        <c:pt idx="0">
                          <c:v>-17060</c:v>
                        </c:pt>
                      </c15:dlblFieldTableCache>
                    </c15:dlblFTEntry>
                  </c15:dlblFieldTable>
                  <c15:showDataLabelsRange val="0"/>
                </c:ext>
                <c:ext xmlns:c16="http://schemas.microsoft.com/office/drawing/2014/chart" uri="{C3380CC4-5D6E-409C-BE32-E72D297353CC}">
                  <c16:uniqueId val="{00000028-436D-4915-AC5F-1D09953C3A59}"/>
                </c:ext>
              </c:extLst>
            </c:dLbl>
            <c:dLbl>
              <c:idx val="18"/>
              <c:tx>
                <c:strRef>
                  <c:f>'C08H'!$T$65</c:f>
                  <c:strCache>
                    <c:ptCount val="1"/>
                    <c:pt idx="0">
                      <c:v>-17451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{864FA535-2A60-49E9-8DC8-7AAA6116B92A}</c15:txfldGUID>
                      <c15:f>'C08H'!$T$65</c15:f>
                      <c15:dlblFieldTableCache>
                        <c:ptCount val="1"/>
                        <c:pt idx="0">
                          <c:v>-17451</c:v>
                        </c:pt>
                      </c15:dlblFieldTableCache>
                    </c15:dlblFTEntry>
                  </c15:dlblFieldTable>
                  <c15:showDataLabelsRange val="0"/>
                </c:ext>
                <c:ext xmlns:c16="http://schemas.microsoft.com/office/drawing/2014/chart" uri="{C3380CC4-5D6E-409C-BE32-E72D297353CC}">
                  <c16:uniqueId val="{00000029-436D-4915-AC5F-1D09953C3A59}"/>
                </c:ext>
              </c:extLst>
            </c:dLbl>
            <c:dLbl>
              <c:idx val="19"/>
              <c:tx>
                <c:strRef>
                  <c:f>'C08H'!$U$65</c:f>
                  <c:strCache>
                    <c:ptCount val="1"/>
                    <c:pt idx="0">
                      <c:v>-17851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{DCA078B4-AABD-4500-A44E-63D1FCFD8C2B}</c15:txfldGUID>
                      <c15:f>'C08H'!$U$65</c15:f>
                      <c15:dlblFieldTableCache>
                        <c:ptCount val="1"/>
                        <c:pt idx="0">
                          <c:v>-17851</c:v>
                        </c:pt>
                      </c15:dlblFieldTableCache>
                    </c15:dlblFTEntry>
                  </c15:dlblFieldTable>
                  <c15:showDataLabelsRange val="0"/>
                </c:ext>
                <c:ext xmlns:c16="http://schemas.microsoft.com/office/drawing/2014/chart" uri="{C3380CC4-5D6E-409C-BE32-E72D297353CC}">
                  <c16:uniqueId val="{0000002A-436D-4915-AC5F-1D09953C3A59}"/>
                </c:ext>
              </c:extLst>
            </c:dLbl>
            <c:numFmt formatCode="0" sourceLinked="0"/>
            <c:spPr>
              <a:noFill/>
              <a:ln>
                <a:noFill/>
              </a:ln>
              <a:effectLst/>
            </c:spPr>
            <c:txPr>
              <a:bodyPr wrap="square" lIns="38100" tIns="19050" rIns="38100" bIns="19050" anchor="ctr">
                <a:spAutoFit/>
              </a:bodyPr>
              <a:lstStyle/>
              <a:p>
                <a:pPr>
                  <a:defRPr sz="8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'C08H'!$B$9:$U$9</c:f>
              <c:strCache>
                <c:ptCount val="20"/>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pt idx="16">
                  <c:v>Q1</c:v>
                </c:pt>
                <c:pt idx="17">
                  <c:v>Q2</c:v>
                </c:pt>
                <c:pt idx="18">
                  <c:v>Q3</c:v>
                </c:pt>
                <c:pt idx="19">
                  <c:v>Q4</c:v>
                </c:pt>
              </c:strCache>
            </c:strRef>
          </c:cat>
          <c:val>
            <c:numRef>
              <c:f>'C08H'!$B$42:$U$42</c:f>
              <c:numCache>
                <c:formatCode>General</c:formatCode>
                <c:ptCount val="20"/>
                <c:pt idx="0">
                  <c:v>-0.1838330237905722</c:v>
                </c:pt>
                <c:pt idx="1">
                  <c:v>-0.18898027770407713</c:v>
                </c:pt>
                <c:pt idx="2">
                  <c:v>-0.19605554081542406</c:v>
                </c:pt>
                <c:pt idx="3">
                  <c:v>-0.2110020341381445</c:v>
                </c:pt>
                <c:pt idx="4">
                  <c:v>-0.20668612364022287</c:v>
                </c:pt>
                <c:pt idx="5">
                  <c:v>-0.21296541965154328</c:v>
                </c:pt>
                <c:pt idx="6">
                  <c:v>-0.21945697355620411</c:v>
                </c:pt>
                <c:pt idx="7">
                  <c:v>-0.22807110639426903</c:v>
                </c:pt>
                <c:pt idx="8">
                  <c:v>-0.22465729194304412</c:v>
                </c:pt>
                <c:pt idx="9">
                  <c:v>-0.23525249845228619</c:v>
                </c:pt>
                <c:pt idx="10">
                  <c:v>-0.25748651277969398</c:v>
                </c:pt>
                <c:pt idx="11">
                  <c:v>-0.26339435747766871</c:v>
                </c:pt>
                <c:pt idx="12">
                  <c:v>-0.26942601928009197</c:v>
                </c:pt>
                <c:pt idx="13">
                  <c:v>-0.27561687450252054</c:v>
                </c:pt>
                <c:pt idx="14">
                  <c:v>-0.28191385867161933</c:v>
                </c:pt>
                <c:pt idx="15">
                  <c:v>-0.2883877244185018</c:v>
                </c:pt>
                <c:pt idx="16">
                  <c:v>-0.29498540726983286</c:v>
                </c:pt>
                <c:pt idx="17">
                  <c:v>-0.30175997169894758</c:v>
                </c:pt>
                <c:pt idx="18">
                  <c:v>-0.3086760413902892</c:v>
                </c:pt>
                <c:pt idx="19">
                  <c:v>-0.31575130450163613</c:v>
                </c:pt>
              </c:numCache>
            </c:numRef>
          </c:val>
          <c:extLst>
            <c:ext xmlns:c16="http://schemas.microsoft.com/office/drawing/2014/chart" uri="{C3380CC4-5D6E-409C-BE32-E72D297353CC}">
              <c16:uniqueId val="{00000016-436D-4915-AC5F-1D09953C3A59}"/>
            </c:ext>
          </c:extLst>
        </c:ser>
        <c:dLbls>
          <c:showLegendKey val="0"/>
          <c:showVal val="0"/>
          <c:showCatName val="0"/>
          <c:showSerName val="0"/>
          <c:showPercent val="0"/>
          <c:showBubbleSize val="0"/>
        </c:dLbls>
        <c:gapWidth val="40"/>
        <c:overlap val="100"/>
        <c:axId val="1226733024"/>
        <c:axId val="1095910672"/>
      </c:barChart>
      <c:catAx>
        <c:axId val="1226733024"/>
        <c:scaling>
          <c:orientation val="minMax"/>
        </c:scaling>
        <c:delete val="0"/>
        <c:axPos val="b"/>
        <c:numFmt formatCode="General" sourceLinked="1"/>
        <c:majorTickMark val="none"/>
        <c:minorTickMark val="none"/>
        <c:tickLblPos val="low"/>
        <c:txPr>
          <a:bodyPr/>
          <a:lstStyle/>
          <a:p>
            <a:pPr>
              <a:defRPr sz="900">
                <a:latin typeface="Arial"/>
                <a:ea typeface="Arial"/>
                <a:cs typeface="Arial"/>
              </a:defRPr>
            </a:pPr>
            <a:endParaRPr lang="en-US"/>
          </a:p>
        </c:txPr>
        <c:crossAx val="1095910672"/>
        <c:crosses val="autoZero"/>
        <c:auto val="1"/>
        <c:lblAlgn val="ctr"/>
        <c:lblOffset val="100"/>
        <c:noMultiLvlLbl val="0"/>
      </c:catAx>
      <c:valAx>
        <c:axId val="1095910672"/>
        <c:scaling>
          <c:orientation val="minMax"/>
          <c:max val="1.0909090909090908"/>
          <c:min val="-0.36363636363636365"/>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26733024"/>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Agency auto</c:v>
          </c:tx>
          <c:spPr>
            <a:ln w="38100">
              <a:noFill/>
            </a:ln>
          </c:spPr>
          <c:marker>
            <c:symbol val="circle"/>
            <c:size val="6"/>
            <c:spPr>
              <a:solidFill>
                <a:srgbClr val="404040"/>
              </a:solidFill>
              <a:ln>
                <a:solidFill>
                  <a:srgbClr val="404040"/>
                </a:solidFill>
                <a:prstDash val="solid"/>
              </a:ln>
            </c:spPr>
          </c:marker>
          <c:xVal>
            <c:numRef>
              <c:f>'C09C'!$B$11:$B$33</c:f>
              <c:numCache>
                <c:formatCode>0.00</c:formatCode>
                <c:ptCount val="23"/>
                <c:pt idx="0">
                  <c:v>14.799999999999997</c:v>
                </c:pt>
                <c:pt idx="1">
                  <c:v>15.5</c:v>
                </c:pt>
                <c:pt idx="2">
                  <c:v>18.299999999999997</c:v>
                </c:pt>
                <c:pt idx="3">
                  <c:v>14</c:v>
                </c:pt>
                <c:pt idx="4">
                  <c:v>8</c:v>
                </c:pt>
                <c:pt idx="5">
                  <c:v>16.099999999999994</c:v>
                </c:pt>
                <c:pt idx="6">
                  <c:v>14.400000000000006</c:v>
                </c:pt>
                <c:pt idx="7">
                  <c:v>17.200000000000003</c:v>
                </c:pt>
                <c:pt idx="8">
                  <c:v>8</c:v>
                </c:pt>
                <c:pt idx="9">
                  <c:v>7.2999999999999972</c:v>
                </c:pt>
                <c:pt idx="10">
                  <c:v>16.700000000000003</c:v>
                </c:pt>
                <c:pt idx="11">
                  <c:v>17</c:v>
                </c:pt>
                <c:pt idx="12">
                  <c:v>20.900000000000006</c:v>
                </c:pt>
                <c:pt idx="13">
                  <c:v>21.5</c:v>
                </c:pt>
                <c:pt idx="14">
                  <c:v>12.299999999999997</c:v>
                </c:pt>
                <c:pt idx="15">
                  <c:v>17.799999999999997</c:v>
                </c:pt>
                <c:pt idx="16">
                  <c:v>15.400000000000006</c:v>
                </c:pt>
                <c:pt idx="17">
                  <c:v>13.599999999999994</c:v>
                </c:pt>
                <c:pt idx="18">
                  <c:v>17.5</c:v>
                </c:pt>
                <c:pt idx="19">
                  <c:v>19.599999999999994</c:v>
                </c:pt>
                <c:pt idx="20">
                  <c:v>13.5</c:v>
                </c:pt>
                <c:pt idx="21">
                  <c:v>14.400000000000006</c:v>
                </c:pt>
                <c:pt idx="22">
                  <c:v>12.400000000000006</c:v>
                </c:pt>
              </c:numCache>
            </c:numRef>
          </c:xVal>
          <c:yVal>
            <c:numRef>
              <c:f>'C09C'!$C$11:$C$33</c:f>
              <c:numCache>
                <c:formatCode>0.00</c:formatCode>
                <c:ptCount val="23"/>
                <c:pt idx="0">
                  <c:v>1958.7</c:v>
                </c:pt>
                <c:pt idx="1">
                  <c:v>1864.1</c:v>
                </c:pt>
                <c:pt idx="2">
                  <c:v>2034.9</c:v>
                </c:pt>
                <c:pt idx="3">
                  <c:v>2008.8</c:v>
                </c:pt>
                <c:pt idx="4">
                  <c:v>2116.6</c:v>
                </c:pt>
                <c:pt idx="5">
                  <c:v>2088</c:v>
                </c:pt>
                <c:pt idx="6">
                  <c:v>2194.4</c:v>
                </c:pt>
                <c:pt idx="7">
                  <c:v>2159.8000000000002</c:v>
                </c:pt>
                <c:pt idx="8">
                  <c:v>2273.6</c:v>
                </c:pt>
                <c:pt idx="9">
                  <c:v>2305.1999999999998</c:v>
                </c:pt>
                <c:pt idx="10">
                  <c:v>2191.1</c:v>
                </c:pt>
                <c:pt idx="11">
                  <c:v>2445</c:v>
                </c:pt>
                <c:pt idx="12">
                  <c:v>2392</c:v>
                </c:pt>
                <c:pt idx="13">
                  <c:v>2185</c:v>
                </c:pt>
                <c:pt idx="14">
                  <c:v>2449</c:v>
                </c:pt>
                <c:pt idx="15">
                  <c:v>2390</c:v>
                </c:pt>
                <c:pt idx="16">
                  <c:v>2409</c:v>
                </c:pt>
                <c:pt idx="17">
                  <c:v>2503</c:v>
                </c:pt>
                <c:pt idx="18">
                  <c:v>2513</c:v>
                </c:pt>
                <c:pt idx="19">
                  <c:v>2519</c:v>
                </c:pt>
                <c:pt idx="20">
                  <c:v>2543</c:v>
                </c:pt>
                <c:pt idx="21">
                  <c:v>2472</c:v>
                </c:pt>
                <c:pt idx="22">
                  <c:v>2559</c:v>
                </c:pt>
              </c:numCache>
            </c:numRef>
          </c:yVal>
          <c:smooth val="0"/>
          <c:extLst>
            <c:ext xmlns:c16="http://schemas.microsoft.com/office/drawing/2014/chart" uri="{C3380CC4-5D6E-409C-BE32-E72D297353CC}">
              <c16:uniqueId val="{00000003-40AE-4E49-B099-6C3778ADF105}"/>
            </c:ext>
          </c:extLst>
        </c:ser>
        <c:ser>
          <c:idx val="1"/>
          <c:order val="1"/>
          <c:tx>
            <c:v>Direct auto</c:v>
          </c:tx>
          <c:spPr>
            <a:ln w="38100">
              <a:noFill/>
            </a:ln>
          </c:spPr>
          <c:marker>
            <c:symbol val="circle"/>
            <c:size val="6"/>
            <c:spPr>
              <a:solidFill>
                <a:srgbClr val="FF6600"/>
              </a:solidFill>
              <a:ln>
                <a:solidFill>
                  <a:srgbClr val="404040"/>
                </a:solidFill>
                <a:prstDash val="solid"/>
              </a:ln>
            </c:spPr>
          </c:marker>
          <c:xVal>
            <c:numRef>
              <c:f>'C09C'!$B$35:$B$57</c:f>
              <c:numCache>
                <c:formatCode>0.00</c:formatCode>
                <c:ptCount val="23"/>
                <c:pt idx="0">
                  <c:v>13.5</c:v>
                </c:pt>
                <c:pt idx="1">
                  <c:v>13.700000000000003</c:v>
                </c:pt>
                <c:pt idx="2">
                  <c:v>17.200000000000003</c:v>
                </c:pt>
                <c:pt idx="3">
                  <c:v>10.700000000000003</c:v>
                </c:pt>
                <c:pt idx="4">
                  <c:v>7.2999999999999972</c:v>
                </c:pt>
                <c:pt idx="5">
                  <c:v>13</c:v>
                </c:pt>
                <c:pt idx="6">
                  <c:v>9.7000000000000028</c:v>
                </c:pt>
                <c:pt idx="7">
                  <c:v>9.2999999999999972</c:v>
                </c:pt>
                <c:pt idx="8">
                  <c:v>5.5</c:v>
                </c:pt>
                <c:pt idx="9">
                  <c:v>4.2999999999999972</c:v>
                </c:pt>
                <c:pt idx="10">
                  <c:v>9.7999999999999972</c:v>
                </c:pt>
                <c:pt idx="11">
                  <c:v>11.5</c:v>
                </c:pt>
                <c:pt idx="12">
                  <c:v>12.400000000000006</c:v>
                </c:pt>
                <c:pt idx="13">
                  <c:v>13.799999999999997</c:v>
                </c:pt>
                <c:pt idx="14">
                  <c:v>8.2000000000000028</c:v>
                </c:pt>
                <c:pt idx="15">
                  <c:v>14.400000000000006</c:v>
                </c:pt>
                <c:pt idx="16">
                  <c:v>11.900000000000006</c:v>
                </c:pt>
                <c:pt idx="17">
                  <c:v>11.299999999999997</c:v>
                </c:pt>
                <c:pt idx="18">
                  <c:v>12.599999999999994</c:v>
                </c:pt>
                <c:pt idx="19">
                  <c:v>14.799999999999997</c:v>
                </c:pt>
                <c:pt idx="20">
                  <c:v>7.2999999999999972</c:v>
                </c:pt>
                <c:pt idx="21">
                  <c:v>9.2000000000000028</c:v>
                </c:pt>
                <c:pt idx="22">
                  <c:v>8.7999999999999972</c:v>
                </c:pt>
              </c:numCache>
            </c:numRef>
          </c:xVal>
          <c:yVal>
            <c:numRef>
              <c:f>'C09C'!$C$35:$C$57</c:f>
              <c:numCache>
                <c:formatCode>0.00</c:formatCode>
                <c:ptCount val="23"/>
                <c:pt idx="0">
                  <c:v>2327.6999999999998</c:v>
                </c:pt>
                <c:pt idx="1">
                  <c:v>2231.5</c:v>
                </c:pt>
                <c:pt idx="2">
                  <c:v>2461.3000000000002</c:v>
                </c:pt>
                <c:pt idx="3">
                  <c:v>2446.1</c:v>
                </c:pt>
                <c:pt idx="4">
                  <c:v>2588.4</c:v>
                </c:pt>
                <c:pt idx="5">
                  <c:v>2561</c:v>
                </c:pt>
                <c:pt idx="6">
                  <c:v>2701</c:v>
                </c:pt>
                <c:pt idx="7">
                  <c:v>2664</c:v>
                </c:pt>
                <c:pt idx="8">
                  <c:v>2815.2</c:v>
                </c:pt>
                <c:pt idx="9">
                  <c:v>2867.4</c:v>
                </c:pt>
                <c:pt idx="10">
                  <c:v>2731.4</c:v>
                </c:pt>
                <c:pt idx="11">
                  <c:v>3063</c:v>
                </c:pt>
                <c:pt idx="12">
                  <c:v>3008</c:v>
                </c:pt>
                <c:pt idx="13">
                  <c:v>2765</c:v>
                </c:pt>
                <c:pt idx="14">
                  <c:v>3135</c:v>
                </c:pt>
                <c:pt idx="15">
                  <c:v>3086</c:v>
                </c:pt>
                <c:pt idx="16">
                  <c:v>3122</c:v>
                </c:pt>
                <c:pt idx="17">
                  <c:v>3258</c:v>
                </c:pt>
                <c:pt idx="18">
                  <c:v>3284</c:v>
                </c:pt>
                <c:pt idx="19">
                  <c:v>3306</c:v>
                </c:pt>
                <c:pt idx="20">
                  <c:v>3369</c:v>
                </c:pt>
                <c:pt idx="21">
                  <c:v>3293</c:v>
                </c:pt>
                <c:pt idx="22">
                  <c:v>3425</c:v>
                </c:pt>
              </c:numCache>
            </c:numRef>
          </c:yVal>
          <c:smooth val="0"/>
          <c:extLst>
            <c:ext xmlns:c16="http://schemas.microsoft.com/office/drawing/2014/chart" uri="{C3380CC4-5D6E-409C-BE32-E72D297353CC}">
              <c16:uniqueId val="{00000004-40AE-4E49-B099-6C3778ADF105}"/>
            </c:ext>
          </c:extLst>
        </c:ser>
        <c:ser>
          <c:idx val="2"/>
          <c:order val="2"/>
          <c:tx>
            <c:v>Commercial</c:v>
          </c:tx>
          <c:spPr>
            <a:ln w="38100">
              <a:noFill/>
            </a:ln>
          </c:spPr>
          <c:marker>
            <c:symbol val="circle"/>
            <c:size val="6"/>
            <c:spPr>
              <a:solidFill>
                <a:srgbClr val="FFCE59"/>
              </a:solidFill>
              <a:ln>
                <a:solidFill>
                  <a:srgbClr val="404040"/>
                </a:solidFill>
                <a:prstDash val="solid"/>
              </a:ln>
            </c:spPr>
          </c:marker>
          <c:xVal>
            <c:numRef>
              <c:f>'C09C'!$B$59:$B$81</c:f>
              <c:numCache>
                <c:formatCode>0.00</c:formatCode>
                <c:ptCount val="23"/>
                <c:pt idx="0">
                  <c:v>11.400000000000006</c:v>
                </c:pt>
                <c:pt idx="1">
                  <c:v>4</c:v>
                </c:pt>
                <c:pt idx="2">
                  <c:v>8.9000000000000057</c:v>
                </c:pt>
                <c:pt idx="3">
                  <c:v>12.5</c:v>
                </c:pt>
                <c:pt idx="4">
                  <c:v>7.7000000000000028</c:v>
                </c:pt>
                <c:pt idx="5">
                  <c:v>14</c:v>
                </c:pt>
                <c:pt idx="6">
                  <c:v>10.099999999999994</c:v>
                </c:pt>
                <c:pt idx="7">
                  <c:v>9.0999999999999943</c:v>
                </c:pt>
                <c:pt idx="8">
                  <c:v>14.700000000000003</c:v>
                </c:pt>
                <c:pt idx="9">
                  <c:v>3.0999999999999943</c:v>
                </c:pt>
                <c:pt idx="10">
                  <c:v>15.5</c:v>
                </c:pt>
                <c:pt idx="11">
                  <c:v>15.900000000000006</c:v>
                </c:pt>
                <c:pt idx="12">
                  <c:v>14.099999999999994</c:v>
                </c:pt>
                <c:pt idx="13">
                  <c:v>12</c:v>
                </c:pt>
                <c:pt idx="14">
                  <c:v>11.5</c:v>
                </c:pt>
                <c:pt idx="15">
                  <c:v>10.599999999999994</c:v>
                </c:pt>
                <c:pt idx="16">
                  <c:v>11.900000000000006</c:v>
                </c:pt>
                <c:pt idx="17">
                  <c:v>17</c:v>
                </c:pt>
                <c:pt idx="18">
                  <c:v>6.5</c:v>
                </c:pt>
                <c:pt idx="19">
                  <c:v>12.5</c:v>
                </c:pt>
                <c:pt idx="20">
                  <c:v>6.9000000000000057</c:v>
                </c:pt>
                <c:pt idx="21">
                  <c:v>16.299999999999997</c:v>
                </c:pt>
                <c:pt idx="22">
                  <c:v>23.900000000000006</c:v>
                </c:pt>
              </c:numCache>
            </c:numRef>
          </c:xVal>
          <c:yVal>
            <c:numRef>
              <c:f>'C09C'!$C$59:$C$81</c:f>
              <c:numCache>
                <c:formatCode>0.00</c:formatCode>
                <c:ptCount val="23"/>
                <c:pt idx="0">
                  <c:v>860.5</c:v>
                </c:pt>
                <c:pt idx="1">
                  <c:v>807.6</c:v>
                </c:pt>
                <c:pt idx="2">
                  <c:v>889.3</c:v>
                </c:pt>
                <c:pt idx="3">
                  <c:v>876.1</c:v>
                </c:pt>
                <c:pt idx="4">
                  <c:v>904.9</c:v>
                </c:pt>
                <c:pt idx="5">
                  <c:v>883.5</c:v>
                </c:pt>
                <c:pt idx="6">
                  <c:v>910.1</c:v>
                </c:pt>
                <c:pt idx="7">
                  <c:v>889.6</c:v>
                </c:pt>
                <c:pt idx="8">
                  <c:v>927</c:v>
                </c:pt>
                <c:pt idx="9">
                  <c:v>939.8</c:v>
                </c:pt>
                <c:pt idx="10">
                  <c:v>866.3</c:v>
                </c:pt>
                <c:pt idx="11">
                  <c:v>952</c:v>
                </c:pt>
                <c:pt idx="12">
                  <c:v>920</c:v>
                </c:pt>
                <c:pt idx="13">
                  <c:v>844</c:v>
                </c:pt>
                <c:pt idx="14">
                  <c:v>935</c:v>
                </c:pt>
                <c:pt idx="15">
                  <c:v>906</c:v>
                </c:pt>
                <c:pt idx="16">
                  <c:v>921</c:v>
                </c:pt>
                <c:pt idx="17">
                  <c:v>938</c:v>
                </c:pt>
                <c:pt idx="18">
                  <c:v>931</c:v>
                </c:pt>
                <c:pt idx="19">
                  <c:v>941</c:v>
                </c:pt>
                <c:pt idx="20">
                  <c:v>900</c:v>
                </c:pt>
                <c:pt idx="21">
                  <c:v>869</c:v>
                </c:pt>
                <c:pt idx="22">
                  <c:v>888</c:v>
                </c:pt>
              </c:numCache>
            </c:numRef>
          </c:yVal>
          <c:smooth val="0"/>
          <c:extLst>
            <c:ext xmlns:c16="http://schemas.microsoft.com/office/drawing/2014/chart" uri="{C3380CC4-5D6E-409C-BE32-E72D297353CC}">
              <c16:uniqueId val="{00000005-40AE-4E49-B099-6C3778ADF105}"/>
            </c:ext>
          </c:extLst>
        </c:ser>
        <c:ser>
          <c:idx val="3"/>
          <c:order val="3"/>
          <c:tx>
            <c:v>100 mUSD</c:v>
          </c:tx>
          <c:spPr>
            <a:ln w="15875">
              <a:solidFill>
                <a:srgbClr val="A6A6A6"/>
              </a:solidFill>
            </a:ln>
          </c:spPr>
          <c:marker>
            <c:symbol val="none"/>
          </c:marker>
          <c:xVal>
            <c:numRef>
              <c:f>'C09C'!$B$87:$B$146</c:f>
              <c:numCache>
                <c:formatCode>0.00</c:formatCode>
                <c:ptCount val="60"/>
                <c:pt idx="0">
                  <c:v>8.5714285714285712</c:v>
                </c:pt>
                <c:pt idx="1">
                  <c:v>8.849878934624698</c:v>
                </c:pt>
                <c:pt idx="2">
                  <c:v>9.128329297820823</c:v>
                </c:pt>
                <c:pt idx="3">
                  <c:v>9.4067796610169481</c:v>
                </c:pt>
                <c:pt idx="4">
                  <c:v>9.6852300242130749</c:v>
                </c:pt>
                <c:pt idx="5">
                  <c:v>9.9636803874092017</c:v>
                </c:pt>
                <c:pt idx="6">
                  <c:v>10.242130750605327</c:v>
                </c:pt>
                <c:pt idx="7">
                  <c:v>10.520581113801452</c:v>
                </c:pt>
                <c:pt idx="8">
                  <c:v>10.799031476997579</c:v>
                </c:pt>
                <c:pt idx="9">
                  <c:v>11.077481840193705</c:v>
                </c:pt>
                <c:pt idx="10">
                  <c:v>11.35593220338983</c:v>
                </c:pt>
                <c:pt idx="11">
                  <c:v>11.634382566585955</c:v>
                </c:pt>
                <c:pt idx="12">
                  <c:v>11.912832929782082</c:v>
                </c:pt>
                <c:pt idx="13">
                  <c:v>12.191283292978209</c:v>
                </c:pt>
                <c:pt idx="14">
                  <c:v>12.469733656174334</c:v>
                </c:pt>
                <c:pt idx="15">
                  <c:v>12.748184019370459</c:v>
                </c:pt>
                <c:pt idx="16">
                  <c:v>13.026634382566586</c:v>
                </c:pt>
                <c:pt idx="17">
                  <c:v>13.305084745762713</c:v>
                </c:pt>
                <c:pt idx="18">
                  <c:v>13.583535108958838</c:v>
                </c:pt>
                <c:pt idx="19">
                  <c:v>13.861985472154963</c:v>
                </c:pt>
                <c:pt idx="20">
                  <c:v>14.14043583535109</c:v>
                </c:pt>
                <c:pt idx="21">
                  <c:v>14.418886198547217</c:v>
                </c:pt>
                <c:pt idx="22">
                  <c:v>14.697336561743342</c:v>
                </c:pt>
                <c:pt idx="23">
                  <c:v>14.975786924939467</c:v>
                </c:pt>
                <c:pt idx="24">
                  <c:v>15.254237288135593</c:v>
                </c:pt>
                <c:pt idx="25">
                  <c:v>15.53268765133172</c:v>
                </c:pt>
                <c:pt idx="26">
                  <c:v>15.811138014527845</c:v>
                </c:pt>
                <c:pt idx="27">
                  <c:v>16.08958837772397</c:v>
                </c:pt>
                <c:pt idx="28">
                  <c:v>16.368038740920099</c:v>
                </c:pt>
                <c:pt idx="29">
                  <c:v>16.646489104116224</c:v>
                </c:pt>
                <c:pt idx="30">
                  <c:v>16.924939467312349</c:v>
                </c:pt>
                <c:pt idx="31">
                  <c:v>17.203389830508478</c:v>
                </c:pt>
                <c:pt idx="32">
                  <c:v>17.481840193704599</c:v>
                </c:pt>
                <c:pt idx="33">
                  <c:v>17.760290556900728</c:v>
                </c:pt>
                <c:pt idx="34">
                  <c:v>18.038740920096856</c:v>
                </c:pt>
                <c:pt idx="35">
                  <c:v>18.317191283292978</c:v>
                </c:pt>
                <c:pt idx="36">
                  <c:v>18.595641646489106</c:v>
                </c:pt>
                <c:pt idx="37">
                  <c:v>18.874092009685228</c:v>
                </c:pt>
                <c:pt idx="38">
                  <c:v>19.152542372881356</c:v>
                </c:pt>
                <c:pt idx="39">
                  <c:v>19.430992736077485</c:v>
                </c:pt>
                <c:pt idx="40">
                  <c:v>19.709443099273606</c:v>
                </c:pt>
                <c:pt idx="41">
                  <c:v>19.987893462469735</c:v>
                </c:pt>
                <c:pt idx="42">
                  <c:v>20.266343825665864</c:v>
                </c:pt>
                <c:pt idx="43">
                  <c:v>20.544794188861985</c:v>
                </c:pt>
                <c:pt idx="44">
                  <c:v>20.823244552058114</c:v>
                </c:pt>
                <c:pt idx="45">
                  <c:v>21.101694915254235</c:v>
                </c:pt>
                <c:pt idx="46">
                  <c:v>21.380145278450364</c:v>
                </c:pt>
                <c:pt idx="47">
                  <c:v>21.658595641646492</c:v>
                </c:pt>
                <c:pt idx="48">
                  <c:v>21.937046004842614</c:v>
                </c:pt>
                <c:pt idx="49">
                  <c:v>22.215496368038743</c:v>
                </c:pt>
                <c:pt idx="50">
                  <c:v>22.493946731234871</c:v>
                </c:pt>
                <c:pt idx="51">
                  <c:v>22.772397094430993</c:v>
                </c:pt>
                <c:pt idx="52">
                  <c:v>23.050847457627121</c:v>
                </c:pt>
                <c:pt idx="53">
                  <c:v>23.329297820823246</c:v>
                </c:pt>
                <c:pt idx="54">
                  <c:v>23.607748184019371</c:v>
                </c:pt>
                <c:pt idx="55">
                  <c:v>23.8861985472155</c:v>
                </c:pt>
                <c:pt idx="56">
                  <c:v>24.164648910411621</c:v>
                </c:pt>
                <c:pt idx="57">
                  <c:v>24.44309927360775</c:v>
                </c:pt>
                <c:pt idx="58">
                  <c:v>24.721549636803879</c:v>
                </c:pt>
                <c:pt idx="59">
                  <c:v>25</c:v>
                </c:pt>
              </c:numCache>
            </c:numRef>
          </c:xVal>
          <c:yVal>
            <c:numRef>
              <c:f>'C09C'!$C$87:$C$146</c:f>
              <c:numCache>
                <c:formatCode>0.00</c:formatCode>
                <c:ptCount val="60"/>
                <c:pt idx="0">
                  <c:v>1166.6666666666667</c:v>
                </c:pt>
                <c:pt idx="1">
                  <c:v>1129.9589603283173</c:v>
                </c:pt>
                <c:pt idx="2">
                  <c:v>1095.4907161803715</c:v>
                </c:pt>
                <c:pt idx="3">
                  <c:v>1063.0630630630633</c:v>
                </c:pt>
                <c:pt idx="4">
                  <c:v>1032.5</c:v>
                </c:pt>
                <c:pt idx="5">
                  <c:v>1003.6452004860266</c:v>
                </c:pt>
                <c:pt idx="6">
                  <c:v>976.35933806146568</c:v>
                </c:pt>
                <c:pt idx="7">
                  <c:v>950.517836593786</c:v>
                </c:pt>
                <c:pt idx="8">
                  <c:v>926.00896860986552</c:v>
                </c:pt>
                <c:pt idx="9">
                  <c:v>902.73224043715845</c:v>
                </c:pt>
                <c:pt idx="10">
                  <c:v>880.59701492537317</c:v>
                </c:pt>
                <c:pt idx="11">
                  <c:v>859.52133194588976</c:v>
                </c:pt>
                <c:pt idx="12">
                  <c:v>839.43089430894304</c:v>
                </c:pt>
                <c:pt idx="13">
                  <c:v>820.25819265143991</c:v>
                </c:pt>
                <c:pt idx="14">
                  <c:v>801.94174757281553</c:v>
                </c:pt>
                <c:pt idx="15">
                  <c:v>784.42545109211778</c:v>
                </c:pt>
                <c:pt idx="16">
                  <c:v>767.65799256505579</c:v>
                </c:pt>
                <c:pt idx="17">
                  <c:v>751.59235668789802</c:v>
                </c:pt>
                <c:pt idx="18">
                  <c:v>736.18538324420672</c:v>
                </c:pt>
                <c:pt idx="19">
                  <c:v>721.39737991266384</c:v>
                </c:pt>
                <c:pt idx="20">
                  <c:v>707.19178082191775</c:v>
                </c:pt>
                <c:pt idx="21">
                  <c:v>693.53484466834584</c:v>
                </c:pt>
                <c:pt idx="22">
                  <c:v>680.39538714991761</c:v>
                </c:pt>
                <c:pt idx="23">
                  <c:v>667.74454324979797</c:v>
                </c:pt>
                <c:pt idx="24">
                  <c:v>655.55555555555554</c:v>
                </c:pt>
                <c:pt idx="25">
                  <c:v>643.80358534684331</c:v>
                </c:pt>
                <c:pt idx="26">
                  <c:v>632.46554364471672</c:v>
                </c:pt>
                <c:pt idx="27">
                  <c:v>621.51993980436418</c:v>
                </c:pt>
                <c:pt idx="28">
                  <c:v>610.9467455621301</c:v>
                </c:pt>
                <c:pt idx="29">
                  <c:v>600.72727272727263</c:v>
                </c:pt>
                <c:pt idx="30">
                  <c:v>590.84406294706719</c:v>
                </c:pt>
                <c:pt idx="31">
                  <c:v>581.28078817733979</c:v>
                </c:pt>
                <c:pt idx="32">
                  <c:v>572.02216066482003</c:v>
                </c:pt>
                <c:pt idx="33">
                  <c:v>563.05385139740963</c:v>
                </c:pt>
                <c:pt idx="34">
                  <c:v>554.36241610738239</c:v>
                </c:pt>
                <c:pt idx="35">
                  <c:v>545.9352280237938</c:v>
                </c:pt>
                <c:pt idx="36">
                  <c:v>537.76041666666663</c:v>
                </c:pt>
                <c:pt idx="37">
                  <c:v>529.82681205901224</c:v>
                </c:pt>
                <c:pt idx="38">
                  <c:v>522.12389380530976</c:v>
                </c:pt>
                <c:pt idx="39">
                  <c:v>514.64174454828651</c:v>
                </c:pt>
                <c:pt idx="40">
                  <c:v>507.37100737100741</c:v>
                </c:pt>
                <c:pt idx="41">
                  <c:v>500.30284675953965</c:v>
                </c:pt>
                <c:pt idx="42">
                  <c:v>493.4289127837514</c:v>
                </c:pt>
                <c:pt idx="43">
                  <c:v>486.74130819092517</c:v>
                </c:pt>
                <c:pt idx="44">
                  <c:v>480.23255813953483</c:v>
                </c:pt>
                <c:pt idx="45">
                  <c:v>473.89558232931734</c:v>
                </c:pt>
                <c:pt idx="46">
                  <c:v>467.72366930917326</c:v>
                </c:pt>
                <c:pt idx="47">
                  <c:v>461.71045276690882</c:v>
                </c:pt>
                <c:pt idx="48">
                  <c:v>455.84988962472409</c:v>
                </c:pt>
                <c:pt idx="49">
                  <c:v>450.13623978201633</c:v>
                </c:pt>
                <c:pt idx="50">
                  <c:v>444.56404736275556</c:v>
                </c:pt>
                <c:pt idx="51">
                  <c:v>439.12812333864963</c:v>
                </c:pt>
                <c:pt idx="52">
                  <c:v>433.82352941176464</c:v>
                </c:pt>
                <c:pt idx="53">
                  <c:v>428.64556305137518</c:v>
                </c:pt>
                <c:pt idx="54">
                  <c:v>423.58974358974359</c:v>
                </c:pt>
                <c:pt idx="55">
                  <c:v>418.65179929042063</c:v>
                </c:pt>
                <c:pt idx="56">
                  <c:v>413.82765531062125</c:v>
                </c:pt>
                <c:pt idx="57">
                  <c:v>409.11342248637936</c:v>
                </c:pt>
                <c:pt idx="58">
                  <c:v>404.50538687561209</c:v>
                </c:pt>
                <c:pt idx="59">
                  <c:v>400</c:v>
                </c:pt>
              </c:numCache>
            </c:numRef>
          </c:yVal>
          <c:smooth val="0"/>
          <c:extLst>
            <c:ext xmlns:c16="http://schemas.microsoft.com/office/drawing/2014/chart" uri="{C3380CC4-5D6E-409C-BE32-E72D297353CC}">
              <c16:uniqueId val="{00000006-40AE-4E49-B099-6C3778ADF105}"/>
            </c:ext>
          </c:extLst>
        </c:ser>
        <c:ser>
          <c:idx val="4"/>
          <c:order val="4"/>
          <c:tx>
            <c:v>200 mUSD</c:v>
          </c:tx>
          <c:spPr>
            <a:ln w="15875">
              <a:solidFill>
                <a:srgbClr val="A6A6A6"/>
              </a:solidFill>
            </a:ln>
          </c:spPr>
          <c:marker>
            <c:symbol val="none"/>
          </c:marker>
          <c:xVal>
            <c:numRef>
              <c:f>'C09C'!$B$87:$B$146</c:f>
              <c:numCache>
                <c:formatCode>0.00</c:formatCode>
                <c:ptCount val="60"/>
                <c:pt idx="0">
                  <c:v>8.5714285714285712</c:v>
                </c:pt>
                <c:pt idx="1">
                  <c:v>8.849878934624698</c:v>
                </c:pt>
                <c:pt idx="2">
                  <c:v>9.128329297820823</c:v>
                </c:pt>
                <c:pt idx="3">
                  <c:v>9.4067796610169481</c:v>
                </c:pt>
                <c:pt idx="4">
                  <c:v>9.6852300242130749</c:v>
                </c:pt>
                <c:pt idx="5">
                  <c:v>9.9636803874092017</c:v>
                </c:pt>
                <c:pt idx="6">
                  <c:v>10.242130750605327</c:v>
                </c:pt>
                <c:pt idx="7">
                  <c:v>10.520581113801452</c:v>
                </c:pt>
                <c:pt idx="8">
                  <c:v>10.799031476997579</c:v>
                </c:pt>
                <c:pt idx="9">
                  <c:v>11.077481840193705</c:v>
                </c:pt>
                <c:pt idx="10">
                  <c:v>11.35593220338983</c:v>
                </c:pt>
                <c:pt idx="11">
                  <c:v>11.634382566585955</c:v>
                </c:pt>
                <c:pt idx="12">
                  <c:v>11.912832929782082</c:v>
                </c:pt>
                <c:pt idx="13">
                  <c:v>12.191283292978209</c:v>
                </c:pt>
                <c:pt idx="14">
                  <c:v>12.469733656174334</c:v>
                </c:pt>
                <c:pt idx="15">
                  <c:v>12.748184019370459</c:v>
                </c:pt>
                <c:pt idx="16">
                  <c:v>13.026634382566586</c:v>
                </c:pt>
                <c:pt idx="17">
                  <c:v>13.305084745762713</c:v>
                </c:pt>
                <c:pt idx="18">
                  <c:v>13.583535108958838</c:v>
                </c:pt>
                <c:pt idx="19">
                  <c:v>13.861985472154963</c:v>
                </c:pt>
                <c:pt idx="20">
                  <c:v>14.14043583535109</c:v>
                </c:pt>
                <c:pt idx="21">
                  <c:v>14.418886198547217</c:v>
                </c:pt>
                <c:pt idx="22">
                  <c:v>14.697336561743342</c:v>
                </c:pt>
                <c:pt idx="23">
                  <c:v>14.975786924939467</c:v>
                </c:pt>
                <c:pt idx="24">
                  <c:v>15.254237288135593</c:v>
                </c:pt>
                <c:pt idx="25">
                  <c:v>15.53268765133172</c:v>
                </c:pt>
                <c:pt idx="26">
                  <c:v>15.811138014527845</c:v>
                </c:pt>
                <c:pt idx="27">
                  <c:v>16.08958837772397</c:v>
                </c:pt>
                <c:pt idx="28">
                  <c:v>16.368038740920099</c:v>
                </c:pt>
                <c:pt idx="29">
                  <c:v>16.646489104116224</c:v>
                </c:pt>
                <c:pt idx="30">
                  <c:v>16.924939467312349</c:v>
                </c:pt>
                <c:pt idx="31">
                  <c:v>17.203389830508478</c:v>
                </c:pt>
                <c:pt idx="32">
                  <c:v>17.481840193704599</c:v>
                </c:pt>
                <c:pt idx="33">
                  <c:v>17.760290556900728</c:v>
                </c:pt>
                <c:pt idx="34">
                  <c:v>18.038740920096856</c:v>
                </c:pt>
                <c:pt idx="35">
                  <c:v>18.317191283292978</c:v>
                </c:pt>
                <c:pt idx="36">
                  <c:v>18.595641646489106</c:v>
                </c:pt>
                <c:pt idx="37">
                  <c:v>18.874092009685228</c:v>
                </c:pt>
                <c:pt idx="38">
                  <c:v>19.152542372881356</c:v>
                </c:pt>
                <c:pt idx="39">
                  <c:v>19.430992736077485</c:v>
                </c:pt>
                <c:pt idx="40">
                  <c:v>19.709443099273606</c:v>
                </c:pt>
                <c:pt idx="41">
                  <c:v>19.987893462469735</c:v>
                </c:pt>
                <c:pt idx="42">
                  <c:v>20.266343825665864</c:v>
                </c:pt>
                <c:pt idx="43">
                  <c:v>20.544794188861985</c:v>
                </c:pt>
                <c:pt idx="44">
                  <c:v>20.823244552058114</c:v>
                </c:pt>
                <c:pt idx="45">
                  <c:v>21.101694915254235</c:v>
                </c:pt>
                <c:pt idx="46">
                  <c:v>21.380145278450364</c:v>
                </c:pt>
                <c:pt idx="47">
                  <c:v>21.658595641646492</c:v>
                </c:pt>
                <c:pt idx="48">
                  <c:v>21.937046004842614</c:v>
                </c:pt>
                <c:pt idx="49">
                  <c:v>22.215496368038743</c:v>
                </c:pt>
                <c:pt idx="50">
                  <c:v>22.493946731234871</c:v>
                </c:pt>
                <c:pt idx="51">
                  <c:v>22.772397094430993</c:v>
                </c:pt>
                <c:pt idx="52">
                  <c:v>23.050847457627121</c:v>
                </c:pt>
                <c:pt idx="53">
                  <c:v>23.329297820823246</c:v>
                </c:pt>
                <c:pt idx="54">
                  <c:v>23.607748184019371</c:v>
                </c:pt>
                <c:pt idx="55">
                  <c:v>23.8861985472155</c:v>
                </c:pt>
                <c:pt idx="56">
                  <c:v>24.164648910411621</c:v>
                </c:pt>
                <c:pt idx="57">
                  <c:v>24.44309927360775</c:v>
                </c:pt>
                <c:pt idx="58">
                  <c:v>24.721549636803879</c:v>
                </c:pt>
                <c:pt idx="59">
                  <c:v>25</c:v>
                </c:pt>
              </c:numCache>
            </c:numRef>
          </c:xVal>
          <c:yVal>
            <c:numRef>
              <c:f>'C09C'!$D$87:$D$146</c:f>
              <c:numCache>
                <c:formatCode>0.00</c:formatCode>
                <c:ptCount val="60"/>
                <c:pt idx="0">
                  <c:v>2333.3333333333335</c:v>
                </c:pt>
                <c:pt idx="1">
                  <c:v>2259.9179206566346</c:v>
                </c:pt>
                <c:pt idx="2">
                  <c:v>2190.9814323607429</c:v>
                </c:pt>
                <c:pt idx="3">
                  <c:v>2126.1261261261266</c:v>
                </c:pt>
                <c:pt idx="4">
                  <c:v>2065</c:v>
                </c:pt>
                <c:pt idx="5">
                  <c:v>2007.2904009720532</c:v>
                </c:pt>
                <c:pt idx="6">
                  <c:v>1952.7186761229314</c:v>
                </c:pt>
                <c:pt idx="7">
                  <c:v>1901.035673187572</c:v>
                </c:pt>
                <c:pt idx="8">
                  <c:v>1852.017937219731</c:v>
                </c:pt>
                <c:pt idx="9">
                  <c:v>1805.4644808743169</c:v>
                </c:pt>
                <c:pt idx="10">
                  <c:v>1761.1940298507463</c:v>
                </c:pt>
                <c:pt idx="11">
                  <c:v>1719.0426638917795</c:v>
                </c:pt>
                <c:pt idx="12">
                  <c:v>1678.8617886178861</c:v>
                </c:pt>
                <c:pt idx="13">
                  <c:v>1640.5163853028798</c:v>
                </c:pt>
                <c:pt idx="14">
                  <c:v>1603.8834951456311</c:v>
                </c:pt>
                <c:pt idx="15">
                  <c:v>1568.8509021842356</c:v>
                </c:pt>
                <c:pt idx="16">
                  <c:v>1535.3159851301116</c:v>
                </c:pt>
                <c:pt idx="17">
                  <c:v>1503.184713375796</c:v>
                </c:pt>
                <c:pt idx="18">
                  <c:v>1472.3707664884134</c:v>
                </c:pt>
                <c:pt idx="19">
                  <c:v>1442.7947598253277</c:v>
                </c:pt>
                <c:pt idx="20">
                  <c:v>1414.3835616438355</c:v>
                </c:pt>
                <c:pt idx="21">
                  <c:v>1387.0696893366917</c:v>
                </c:pt>
                <c:pt idx="22">
                  <c:v>1360.7907742998352</c:v>
                </c:pt>
                <c:pt idx="23">
                  <c:v>1335.4890864995959</c:v>
                </c:pt>
                <c:pt idx="24">
                  <c:v>1311.1111111111111</c:v>
                </c:pt>
                <c:pt idx="25">
                  <c:v>1287.6071706936866</c:v>
                </c:pt>
                <c:pt idx="26">
                  <c:v>1264.9310872894334</c:v>
                </c:pt>
                <c:pt idx="27">
                  <c:v>1243.0398796087284</c:v>
                </c:pt>
                <c:pt idx="28">
                  <c:v>1221.8934911242602</c:v>
                </c:pt>
                <c:pt idx="29">
                  <c:v>1201.4545454545453</c:v>
                </c:pt>
                <c:pt idx="30">
                  <c:v>1181.6881258941344</c:v>
                </c:pt>
                <c:pt idx="31">
                  <c:v>1162.5615763546796</c:v>
                </c:pt>
                <c:pt idx="32">
                  <c:v>1144.0443213296401</c:v>
                </c:pt>
                <c:pt idx="33">
                  <c:v>1126.1077027948193</c:v>
                </c:pt>
                <c:pt idx="34">
                  <c:v>1108.7248322147648</c:v>
                </c:pt>
                <c:pt idx="35">
                  <c:v>1091.8704560475876</c:v>
                </c:pt>
                <c:pt idx="36">
                  <c:v>1075.5208333333333</c:v>
                </c:pt>
                <c:pt idx="37">
                  <c:v>1059.6536241180245</c:v>
                </c:pt>
                <c:pt idx="38">
                  <c:v>1044.2477876106195</c:v>
                </c:pt>
                <c:pt idx="39">
                  <c:v>1029.283489096573</c:v>
                </c:pt>
                <c:pt idx="40">
                  <c:v>1014.7420147420148</c:v>
                </c:pt>
                <c:pt idx="41">
                  <c:v>1000.6056935190793</c:v>
                </c:pt>
                <c:pt idx="42">
                  <c:v>986.8578255675028</c:v>
                </c:pt>
                <c:pt idx="43">
                  <c:v>973.48261638185033</c:v>
                </c:pt>
                <c:pt idx="44">
                  <c:v>960.46511627906966</c:v>
                </c:pt>
                <c:pt idx="45">
                  <c:v>947.79116465863467</c:v>
                </c:pt>
                <c:pt idx="46">
                  <c:v>935.44733861834652</c:v>
                </c:pt>
                <c:pt idx="47">
                  <c:v>923.42090553381763</c:v>
                </c:pt>
                <c:pt idx="48">
                  <c:v>911.69977924944817</c:v>
                </c:pt>
                <c:pt idx="49">
                  <c:v>900.27247956403266</c:v>
                </c:pt>
                <c:pt idx="50">
                  <c:v>889.12809472551112</c:v>
                </c:pt>
                <c:pt idx="51">
                  <c:v>878.25624667729926</c:v>
                </c:pt>
                <c:pt idx="52">
                  <c:v>867.64705882352928</c:v>
                </c:pt>
                <c:pt idx="53">
                  <c:v>857.29112610275035</c:v>
                </c:pt>
                <c:pt idx="54">
                  <c:v>847.17948717948718</c:v>
                </c:pt>
                <c:pt idx="55">
                  <c:v>837.30359858084125</c:v>
                </c:pt>
                <c:pt idx="56">
                  <c:v>827.65531062124251</c:v>
                </c:pt>
                <c:pt idx="57">
                  <c:v>818.22684497275873</c:v>
                </c:pt>
                <c:pt idx="58">
                  <c:v>809.01077375122418</c:v>
                </c:pt>
                <c:pt idx="59">
                  <c:v>800</c:v>
                </c:pt>
              </c:numCache>
            </c:numRef>
          </c:yVal>
          <c:smooth val="0"/>
          <c:extLst>
            <c:ext xmlns:c16="http://schemas.microsoft.com/office/drawing/2014/chart" uri="{C3380CC4-5D6E-409C-BE32-E72D297353CC}">
              <c16:uniqueId val="{00000007-40AE-4E49-B099-6C3778ADF105}"/>
            </c:ext>
          </c:extLst>
        </c:ser>
        <c:ser>
          <c:idx val="5"/>
          <c:order val="5"/>
          <c:tx>
            <c:v>300 mUSD</c:v>
          </c:tx>
          <c:spPr>
            <a:ln w="15875">
              <a:solidFill>
                <a:srgbClr val="A6A6A6"/>
              </a:solidFill>
            </a:ln>
          </c:spPr>
          <c:marker>
            <c:symbol val="none"/>
          </c:marker>
          <c:xVal>
            <c:numRef>
              <c:f>'C09C'!$B$87:$B$146</c:f>
              <c:numCache>
                <c:formatCode>0.00</c:formatCode>
                <c:ptCount val="60"/>
                <c:pt idx="0">
                  <c:v>8.5714285714285712</c:v>
                </c:pt>
                <c:pt idx="1">
                  <c:v>8.849878934624698</c:v>
                </c:pt>
                <c:pt idx="2">
                  <c:v>9.128329297820823</c:v>
                </c:pt>
                <c:pt idx="3">
                  <c:v>9.4067796610169481</c:v>
                </c:pt>
                <c:pt idx="4">
                  <c:v>9.6852300242130749</c:v>
                </c:pt>
                <c:pt idx="5">
                  <c:v>9.9636803874092017</c:v>
                </c:pt>
                <c:pt idx="6">
                  <c:v>10.242130750605327</c:v>
                </c:pt>
                <c:pt idx="7">
                  <c:v>10.520581113801452</c:v>
                </c:pt>
                <c:pt idx="8">
                  <c:v>10.799031476997579</c:v>
                </c:pt>
                <c:pt idx="9">
                  <c:v>11.077481840193705</c:v>
                </c:pt>
                <c:pt idx="10">
                  <c:v>11.35593220338983</c:v>
                </c:pt>
                <c:pt idx="11">
                  <c:v>11.634382566585955</c:v>
                </c:pt>
                <c:pt idx="12">
                  <c:v>11.912832929782082</c:v>
                </c:pt>
                <c:pt idx="13">
                  <c:v>12.191283292978209</c:v>
                </c:pt>
                <c:pt idx="14">
                  <c:v>12.469733656174334</c:v>
                </c:pt>
                <c:pt idx="15">
                  <c:v>12.748184019370459</c:v>
                </c:pt>
                <c:pt idx="16">
                  <c:v>13.026634382566586</c:v>
                </c:pt>
                <c:pt idx="17">
                  <c:v>13.305084745762713</c:v>
                </c:pt>
                <c:pt idx="18">
                  <c:v>13.583535108958838</c:v>
                </c:pt>
                <c:pt idx="19">
                  <c:v>13.861985472154963</c:v>
                </c:pt>
                <c:pt idx="20">
                  <c:v>14.14043583535109</c:v>
                </c:pt>
                <c:pt idx="21">
                  <c:v>14.418886198547217</c:v>
                </c:pt>
                <c:pt idx="22">
                  <c:v>14.697336561743342</c:v>
                </c:pt>
                <c:pt idx="23">
                  <c:v>14.975786924939467</c:v>
                </c:pt>
                <c:pt idx="24">
                  <c:v>15.254237288135593</c:v>
                </c:pt>
                <c:pt idx="25">
                  <c:v>15.53268765133172</c:v>
                </c:pt>
                <c:pt idx="26">
                  <c:v>15.811138014527845</c:v>
                </c:pt>
                <c:pt idx="27">
                  <c:v>16.08958837772397</c:v>
                </c:pt>
                <c:pt idx="28">
                  <c:v>16.368038740920099</c:v>
                </c:pt>
                <c:pt idx="29">
                  <c:v>16.646489104116224</c:v>
                </c:pt>
                <c:pt idx="30">
                  <c:v>16.924939467312349</c:v>
                </c:pt>
                <c:pt idx="31">
                  <c:v>17.203389830508478</c:v>
                </c:pt>
                <c:pt idx="32">
                  <c:v>17.481840193704599</c:v>
                </c:pt>
                <c:pt idx="33">
                  <c:v>17.760290556900728</c:v>
                </c:pt>
                <c:pt idx="34">
                  <c:v>18.038740920096856</c:v>
                </c:pt>
                <c:pt idx="35">
                  <c:v>18.317191283292978</c:v>
                </c:pt>
                <c:pt idx="36">
                  <c:v>18.595641646489106</c:v>
                </c:pt>
                <c:pt idx="37">
                  <c:v>18.874092009685228</c:v>
                </c:pt>
                <c:pt idx="38">
                  <c:v>19.152542372881356</c:v>
                </c:pt>
                <c:pt idx="39">
                  <c:v>19.430992736077485</c:v>
                </c:pt>
                <c:pt idx="40">
                  <c:v>19.709443099273606</c:v>
                </c:pt>
                <c:pt idx="41">
                  <c:v>19.987893462469735</c:v>
                </c:pt>
                <c:pt idx="42">
                  <c:v>20.266343825665864</c:v>
                </c:pt>
                <c:pt idx="43">
                  <c:v>20.544794188861985</c:v>
                </c:pt>
                <c:pt idx="44">
                  <c:v>20.823244552058114</c:v>
                </c:pt>
                <c:pt idx="45">
                  <c:v>21.101694915254235</c:v>
                </c:pt>
                <c:pt idx="46">
                  <c:v>21.380145278450364</c:v>
                </c:pt>
                <c:pt idx="47">
                  <c:v>21.658595641646492</c:v>
                </c:pt>
                <c:pt idx="48">
                  <c:v>21.937046004842614</c:v>
                </c:pt>
                <c:pt idx="49">
                  <c:v>22.215496368038743</c:v>
                </c:pt>
                <c:pt idx="50">
                  <c:v>22.493946731234871</c:v>
                </c:pt>
                <c:pt idx="51">
                  <c:v>22.772397094430993</c:v>
                </c:pt>
                <c:pt idx="52">
                  <c:v>23.050847457627121</c:v>
                </c:pt>
                <c:pt idx="53">
                  <c:v>23.329297820823246</c:v>
                </c:pt>
                <c:pt idx="54">
                  <c:v>23.607748184019371</c:v>
                </c:pt>
                <c:pt idx="55">
                  <c:v>23.8861985472155</c:v>
                </c:pt>
                <c:pt idx="56">
                  <c:v>24.164648910411621</c:v>
                </c:pt>
                <c:pt idx="57">
                  <c:v>24.44309927360775</c:v>
                </c:pt>
                <c:pt idx="58">
                  <c:v>24.721549636803879</c:v>
                </c:pt>
                <c:pt idx="59">
                  <c:v>25</c:v>
                </c:pt>
              </c:numCache>
            </c:numRef>
          </c:xVal>
          <c:yVal>
            <c:numRef>
              <c:f>'C09C'!$E$87:$E$146</c:f>
              <c:numCache>
                <c:formatCode>0.00</c:formatCode>
                <c:ptCount val="60"/>
                <c:pt idx="0">
                  <c:v>3500</c:v>
                </c:pt>
                <c:pt idx="1">
                  <c:v>3389.8768809849521</c:v>
                </c:pt>
                <c:pt idx="2">
                  <c:v>3286.4721485411142</c:v>
                </c:pt>
                <c:pt idx="3">
                  <c:v>3189.1891891891896</c:v>
                </c:pt>
                <c:pt idx="4">
                  <c:v>3097.5</c:v>
                </c:pt>
                <c:pt idx="5">
                  <c:v>3010.9356014580799</c:v>
                </c:pt>
                <c:pt idx="6">
                  <c:v>2929.078014184397</c:v>
                </c:pt>
                <c:pt idx="7">
                  <c:v>2851.5535097813581</c:v>
                </c:pt>
                <c:pt idx="8">
                  <c:v>2778.0269058295962</c:v>
                </c:pt>
                <c:pt idx="9">
                  <c:v>2708.1967213114754</c:v>
                </c:pt>
                <c:pt idx="10">
                  <c:v>2641.7910447761196</c:v>
                </c:pt>
                <c:pt idx="11">
                  <c:v>2578.5639958376692</c:v>
                </c:pt>
                <c:pt idx="12">
                  <c:v>2518.2926829268295</c:v>
                </c:pt>
                <c:pt idx="13">
                  <c:v>2460.7745779543197</c:v>
                </c:pt>
                <c:pt idx="14">
                  <c:v>2405.8252427184466</c:v>
                </c:pt>
                <c:pt idx="15">
                  <c:v>2353.2763532763533</c:v>
                </c:pt>
                <c:pt idx="16">
                  <c:v>2302.9739776951674</c:v>
                </c:pt>
                <c:pt idx="17">
                  <c:v>2254.7770700636943</c:v>
                </c:pt>
                <c:pt idx="18">
                  <c:v>2208.5561497326203</c:v>
                </c:pt>
                <c:pt idx="19">
                  <c:v>2164.1921397379915</c:v>
                </c:pt>
                <c:pt idx="20">
                  <c:v>2121.5753424657532</c:v>
                </c:pt>
                <c:pt idx="21">
                  <c:v>2080.6045340050377</c:v>
                </c:pt>
                <c:pt idx="22">
                  <c:v>2041.1861614497529</c:v>
                </c:pt>
                <c:pt idx="23">
                  <c:v>2003.2336297493937</c:v>
                </c:pt>
                <c:pt idx="24">
                  <c:v>1966.6666666666667</c:v>
                </c:pt>
                <c:pt idx="25">
                  <c:v>1931.4107560405298</c:v>
                </c:pt>
                <c:pt idx="26">
                  <c:v>1897.3966309341502</c:v>
                </c:pt>
                <c:pt idx="27">
                  <c:v>1864.5598194130926</c:v>
                </c:pt>
                <c:pt idx="28">
                  <c:v>1832.8402366863902</c:v>
                </c:pt>
                <c:pt idx="29">
                  <c:v>1802.181818181818</c:v>
                </c:pt>
                <c:pt idx="30">
                  <c:v>1772.5321888412018</c:v>
                </c:pt>
                <c:pt idx="31">
                  <c:v>1743.8423645320195</c:v>
                </c:pt>
                <c:pt idx="32">
                  <c:v>1716.06648199446</c:v>
                </c:pt>
                <c:pt idx="33">
                  <c:v>1689.161554192229</c:v>
                </c:pt>
                <c:pt idx="34">
                  <c:v>1663.0872483221474</c:v>
                </c:pt>
                <c:pt idx="35">
                  <c:v>1637.8056840713814</c:v>
                </c:pt>
                <c:pt idx="36">
                  <c:v>1613.2812499999998</c:v>
                </c:pt>
                <c:pt idx="37">
                  <c:v>1589.4804361770368</c:v>
                </c:pt>
                <c:pt idx="38">
                  <c:v>1566.3716814159291</c:v>
                </c:pt>
                <c:pt idx="39">
                  <c:v>1543.9252336448596</c:v>
                </c:pt>
                <c:pt idx="40">
                  <c:v>1522.1130221130222</c:v>
                </c:pt>
                <c:pt idx="41">
                  <c:v>1500.9085402786188</c:v>
                </c:pt>
                <c:pt idx="42">
                  <c:v>1480.2867383512541</c:v>
                </c:pt>
                <c:pt idx="43">
                  <c:v>1460.2239245727756</c:v>
                </c:pt>
                <c:pt idx="44">
                  <c:v>1440.6976744186045</c:v>
                </c:pt>
                <c:pt idx="45">
                  <c:v>1421.6867469879519</c:v>
                </c:pt>
                <c:pt idx="46">
                  <c:v>1403.1710079275197</c:v>
                </c:pt>
                <c:pt idx="47">
                  <c:v>1385.1313583007266</c:v>
                </c:pt>
                <c:pt idx="48">
                  <c:v>1367.5496688741723</c:v>
                </c:pt>
                <c:pt idx="49">
                  <c:v>1350.4087193460489</c:v>
                </c:pt>
                <c:pt idx="50">
                  <c:v>1333.6921420882668</c:v>
                </c:pt>
                <c:pt idx="51">
                  <c:v>1317.3843700159489</c:v>
                </c:pt>
                <c:pt idx="52">
                  <c:v>1301.4705882352939</c:v>
                </c:pt>
                <c:pt idx="53">
                  <c:v>1285.9366891541256</c:v>
                </c:pt>
                <c:pt idx="54">
                  <c:v>1270.7692307692307</c:v>
                </c:pt>
                <c:pt idx="55">
                  <c:v>1255.9553978712618</c:v>
                </c:pt>
                <c:pt idx="56">
                  <c:v>1241.4829659318639</c:v>
                </c:pt>
                <c:pt idx="57">
                  <c:v>1227.3402674591382</c:v>
                </c:pt>
                <c:pt idx="58">
                  <c:v>1213.5161606268362</c:v>
                </c:pt>
                <c:pt idx="59">
                  <c:v>1200</c:v>
                </c:pt>
              </c:numCache>
            </c:numRef>
          </c:yVal>
          <c:smooth val="0"/>
          <c:extLst>
            <c:ext xmlns:c16="http://schemas.microsoft.com/office/drawing/2014/chart" uri="{C3380CC4-5D6E-409C-BE32-E72D297353CC}">
              <c16:uniqueId val="{00000008-40AE-4E49-B099-6C3778ADF105}"/>
            </c:ext>
          </c:extLst>
        </c:ser>
        <c:dLbls>
          <c:showLegendKey val="0"/>
          <c:showVal val="0"/>
          <c:showCatName val="0"/>
          <c:showSerName val="0"/>
          <c:showPercent val="0"/>
          <c:showBubbleSize val="0"/>
        </c:dLbls>
        <c:axId val="1240770704"/>
        <c:axId val="1095947152"/>
      </c:scatterChart>
      <c:valAx>
        <c:axId val="1240770704"/>
        <c:scaling>
          <c:orientation val="minMax"/>
          <c:max val="25"/>
          <c:min val="0"/>
        </c:scaling>
        <c:delete val="0"/>
        <c:axPos val="b"/>
        <c:majorGridlines>
          <c:spPr>
            <a:ln>
              <a:solidFill>
                <a:srgbClr val="A6A6A6"/>
              </a:solidFill>
            </a:ln>
          </c:spPr>
        </c:majorGridlines>
        <c:title>
          <c:tx>
            <c:rich>
              <a:bodyPr/>
              <a:lstStyle/>
              <a:p>
                <a:pPr>
                  <a:defRPr sz="900" b="1">
                    <a:latin typeface="Arial"/>
                    <a:ea typeface="Arial"/>
                    <a:cs typeface="Arial"/>
                  </a:defRPr>
                </a:pPr>
                <a:r>
                  <a:rPr lang="en-US"/>
                  <a:t>Underwriting margin in % of earned premium</a:t>
                </a:r>
              </a:p>
            </c:rich>
          </c:tx>
          <c:overlay val="0"/>
        </c:title>
        <c:numFmt formatCode="0" sourceLinked="0"/>
        <c:majorTickMark val="none"/>
        <c:minorTickMark val="none"/>
        <c:tickLblPos val="nextTo"/>
        <c:txPr>
          <a:bodyPr/>
          <a:lstStyle/>
          <a:p>
            <a:pPr>
              <a:defRPr sz="900">
                <a:latin typeface="Arial"/>
                <a:ea typeface="Arial"/>
                <a:cs typeface="Arial"/>
              </a:defRPr>
            </a:pPr>
            <a:endParaRPr lang="en-US"/>
          </a:p>
        </c:txPr>
        <c:crossAx val="1095947152"/>
        <c:crosses val="autoZero"/>
        <c:crossBetween val="midCat"/>
        <c:majorUnit val="5"/>
      </c:valAx>
      <c:valAx>
        <c:axId val="1095947152"/>
        <c:scaling>
          <c:orientation val="minMax"/>
          <c:max val="3500"/>
          <c:min val="0"/>
        </c:scaling>
        <c:delete val="0"/>
        <c:axPos val="l"/>
        <c:majorGridlines>
          <c:spPr>
            <a:ln>
              <a:solidFill>
                <a:srgbClr val="A6A6A6"/>
              </a:solidFill>
            </a:ln>
          </c:spPr>
        </c:majorGridlines>
        <c:title>
          <c:tx>
            <c:rich>
              <a:bodyPr/>
              <a:lstStyle/>
              <a:p>
                <a:pPr>
                  <a:defRPr sz="900" b="1">
                    <a:latin typeface="Arial"/>
                    <a:ea typeface="Arial"/>
                    <a:cs typeface="Arial"/>
                  </a:defRPr>
                </a:pPr>
                <a:r>
                  <a:rPr lang="en-US"/>
                  <a:t>Net premiums earned in $m</a:t>
                </a:r>
              </a:p>
            </c:rich>
          </c:tx>
          <c:overlay val="0"/>
        </c:title>
        <c:numFmt formatCode="0" sourceLinked="0"/>
        <c:majorTickMark val="none"/>
        <c:minorTickMark val="none"/>
        <c:tickLblPos val="nextTo"/>
        <c:txPr>
          <a:bodyPr/>
          <a:lstStyle/>
          <a:p>
            <a:pPr>
              <a:defRPr sz="900">
                <a:latin typeface="Arial"/>
                <a:ea typeface="Arial"/>
                <a:cs typeface="Arial"/>
              </a:defRPr>
            </a:pPr>
            <a:endParaRPr lang="en-US"/>
          </a:p>
        </c:txPr>
        <c:crossAx val="1240770704"/>
        <c:crosses val="autoZero"/>
        <c:crossBetween val="midCat"/>
        <c:majorUnit val="500"/>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ubbleChart>
        <c:varyColors val="0"/>
        <c:ser>
          <c:idx val="0"/>
          <c:order val="0"/>
          <c:tx>
            <c:v>PY</c:v>
          </c:tx>
          <c:spPr>
            <a:solidFill>
              <a:srgbClr val="D9D9D9"/>
            </a:solidFill>
            <a:ln>
              <a:noFill/>
            </a:ln>
            <a:effectLst/>
            <a:extLst>
              <a:ext uri="{91240B29-F687-4F45-9708-019B960494DF}">
                <a14:hiddenLine xmlns:a14="http://schemas.microsoft.com/office/drawing/2010/main">
                  <a:noFill/>
                </a14:hiddenLine>
              </a:ext>
            </a:extLst>
          </c:spPr>
          <c:invertIfNegative val="0"/>
          <c:dLbls>
            <c:dLbl>
              <c:idx val="0"/>
              <c:tx>
                <c:rich>
                  <a:bodyPr wrap="square" lIns="38100" tIns="19050" rIns="38100" bIns="19050" anchor="ctr">
                    <a:spAutoFit/>
                  </a:bodyPr>
                  <a:lstStyle/>
                  <a:p>
                    <a:pPr>
                      <a:defRPr sz="800">
                        <a:solidFill>
                          <a:srgbClr val="000000"/>
                        </a:solidFill>
                        <a:latin typeface="Arial"/>
                        <a:ea typeface="Arial"/>
                        <a:cs typeface="Arial"/>
                      </a:defRPr>
                    </a:pPr>
                    <a:r>
                      <a:rPr lang="en-US"/>
                      <a:t>9,108.6</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D80-4C66-B031-5C49414AA55C}"/>
                </c:ext>
              </c:extLst>
            </c:dLbl>
            <c:dLbl>
              <c:idx val="1"/>
              <c:tx>
                <c:rich>
                  <a:bodyPr wrap="square" lIns="38100" tIns="19050" rIns="38100" bIns="19050" anchor="ctr">
                    <a:spAutoFit/>
                  </a:bodyPr>
                  <a:lstStyle/>
                  <a:p>
                    <a:pPr>
                      <a:defRPr sz="800">
                        <a:solidFill>
                          <a:srgbClr val="000000"/>
                        </a:solidFill>
                        <a:latin typeface="Arial"/>
                        <a:ea typeface="Arial"/>
                        <a:cs typeface="Arial"/>
                      </a:defRPr>
                    </a:pPr>
                    <a:r>
                      <a:rPr lang="en-US"/>
                      <a:t>8,185.9</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D80-4C66-B031-5C49414AA55C}"/>
                </c:ext>
              </c:extLst>
            </c:dLbl>
            <c:dLbl>
              <c:idx val="2"/>
              <c:tx>
                <c:rich>
                  <a:bodyPr wrap="square" lIns="38100" tIns="19050" rIns="38100" bIns="19050" anchor="ctr">
                    <a:spAutoFit/>
                  </a:bodyPr>
                  <a:lstStyle/>
                  <a:p>
                    <a:pPr>
                      <a:defRPr sz="800">
                        <a:solidFill>
                          <a:srgbClr val="000000"/>
                        </a:solidFill>
                        <a:latin typeface="Arial"/>
                        <a:ea typeface="Arial"/>
                        <a:cs typeface="Arial"/>
                      </a:defRPr>
                    </a:pPr>
                    <a:r>
                      <a:rPr lang="en-US"/>
                      <a:t>Commercial
1,995.9</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D80-4C66-B031-5C49414AA55C}"/>
                </c:ext>
              </c:extLst>
            </c:dLbl>
            <c:spPr>
              <a:noFill/>
              <a:ln>
                <a:noFill/>
              </a:ln>
              <a:effectLst/>
            </c:spPr>
            <c:txPr>
              <a:bodyPr wrap="square" lIns="38100" tIns="19050" rIns="38100" bIns="19050" anchor="ctr">
                <a:spAutoFit/>
              </a:bodyPr>
              <a:lstStyle/>
              <a:p>
                <a:pPr>
                  <a:defRPr sz="800">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'C10D'!$B$11:$B$13</c:f>
              <c:numCache>
                <c:formatCode>0.00</c:formatCode>
                <c:ptCount val="3"/>
                <c:pt idx="0">
                  <c:v>19.600000000000001</c:v>
                </c:pt>
                <c:pt idx="1">
                  <c:v>20.100000000000001</c:v>
                </c:pt>
                <c:pt idx="2">
                  <c:v>21.7</c:v>
                </c:pt>
              </c:numCache>
            </c:numRef>
          </c:xVal>
          <c:yVal>
            <c:numRef>
              <c:f>'C10D'!$C$11:$C$13</c:f>
              <c:numCache>
                <c:formatCode>0.00</c:formatCode>
                <c:ptCount val="3"/>
                <c:pt idx="0">
                  <c:v>72.599999999999994</c:v>
                </c:pt>
                <c:pt idx="1">
                  <c:v>75</c:v>
                </c:pt>
                <c:pt idx="2">
                  <c:v>62.4</c:v>
                </c:pt>
              </c:numCache>
            </c:numRef>
          </c:yVal>
          <c:bubbleSize>
            <c:numRef>
              <c:f>'C10D'!$E$11:$E$13</c:f>
              <c:numCache>
                <c:formatCode>0.0</c:formatCode>
                <c:ptCount val="3"/>
                <c:pt idx="0">
                  <c:v>9108.6</c:v>
                </c:pt>
                <c:pt idx="1">
                  <c:v>8185.9</c:v>
                </c:pt>
                <c:pt idx="2">
                  <c:v>1995.9</c:v>
                </c:pt>
              </c:numCache>
            </c:numRef>
          </c:bubbleSize>
          <c:bubble3D val="0"/>
          <c:extLst>
            <c:ext xmlns:c16="http://schemas.microsoft.com/office/drawing/2014/chart" uri="{C3380CC4-5D6E-409C-BE32-E72D297353CC}">
              <c16:uniqueId val="{00000003-5D80-4C66-B031-5C49414AA55C}"/>
            </c:ext>
          </c:extLst>
        </c:ser>
        <c:ser>
          <c:idx val="1"/>
          <c:order val="1"/>
          <c:tx>
            <c:v>AC</c:v>
          </c:tx>
          <c:spPr>
            <a:solidFill>
              <a:srgbClr val="404040">
                <a:alpha val="80000"/>
              </a:srgbClr>
            </a:solidFill>
            <a:ln w="25400">
              <a:noFill/>
            </a:ln>
          </c:spPr>
          <c:invertIfNegative val="0"/>
          <c:dLbls>
            <c:dLbl>
              <c:idx val="0"/>
              <c:tx>
                <c:rich>
                  <a:bodyPr wrap="square" lIns="38100" tIns="19050" rIns="38100" bIns="19050" anchor="ctr">
                    <a:spAutoFit/>
                  </a:bodyPr>
                  <a:lstStyle/>
                  <a:p>
                    <a:pPr>
                      <a:defRPr sz="800">
                        <a:solidFill>
                          <a:srgbClr val="FFFFFF"/>
                        </a:solidFill>
                        <a:latin typeface="Arial"/>
                        <a:ea typeface="Arial"/>
                        <a:cs typeface="Arial"/>
                      </a:defRPr>
                    </a:pPr>
                    <a:r>
                      <a:rPr lang="en-US"/>
                      <a:t>Agency auto
9,791.7</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D80-4C66-B031-5C49414AA55C}"/>
                </c:ext>
              </c:extLst>
            </c:dLbl>
            <c:dLbl>
              <c:idx val="1"/>
              <c:tx>
                <c:rich>
                  <a:bodyPr wrap="square" lIns="38100" tIns="19050" rIns="38100" bIns="19050" anchor="ctr">
                    <a:spAutoFit/>
                  </a:bodyPr>
                  <a:lstStyle/>
                  <a:p>
                    <a:pPr>
                      <a:defRPr sz="800">
                        <a:solidFill>
                          <a:srgbClr val="FFFFFF"/>
                        </a:solidFill>
                        <a:latin typeface="Arial"/>
                        <a:ea typeface="Arial"/>
                        <a:cs typeface="Arial"/>
                      </a:defRPr>
                    </a:pPr>
                    <a:r>
                      <a:rPr lang="en-US"/>
                      <a:t>Direct auto
9,396.5</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5D80-4C66-B031-5C49414AA55C}"/>
                </c:ext>
              </c:extLst>
            </c:dLbl>
            <c:dLbl>
              <c:idx val="2"/>
              <c:tx>
                <c:rich>
                  <a:bodyPr wrap="square" lIns="38100" tIns="19050" rIns="38100" bIns="19050" anchor="ctr">
                    <a:spAutoFit/>
                  </a:bodyPr>
                  <a:lstStyle/>
                  <a:p>
                    <a:pPr>
                      <a:defRPr sz="800">
                        <a:solidFill>
                          <a:srgbClr val="FFFFFF"/>
                        </a:solidFill>
                        <a:latin typeface="Arial"/>
                        <a:ea typeface="Arial"/>
                        <a:cs typeface="Arial"/>
                      </a:defRPr>
                    </a:pPr>
                    <a:r>
                      <a:rPr lang="en-US"/>
                      <a:t>Commercial
2,421.3</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5D80-4C66-B031-5C49414AA55C}"/>
                </c:ext>
              </c:extLst>
            </c:dLbl>
            <c:spPr>
              <a:noFill/>
              <a:ln>
                <a:noFill/>
              </a:ln>
              <a:effectLst/>
            </c:spPr>
            <c:txPr>
              <a:bodyPr wrap="square" lIns="38100" tIns="19050" rIns="38100" bIns="19050" anchor="ctr">
                <a:spAutoFit/>
              </a:bodyPr>
              <a:lstStyle/>
              <a:p>
                <a:pPr>
                  <a:defRPr sz="800">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'C10D'!$B$15:$B$17</c:f>
              <c:numCache>
                <c:formatCode>0.00</c:formatCode>
                <c:ptCount val="3"/>
                <c:pt idx="0">
                  <c:v>19.7</c:v>
                </c:pt>
                <c:pt idx="1">
                  <c:v>18.8</c:v>
                </c:pt>
                <c:pt idx="2">
                  <c:v>21.7</c:v>
                </c:pt>
              </c:numCache>
            </c:numRef>
          </c:xVal>
          <c:yVal>
            <c:numRef>
              <c:f>'C10D'!$C$15:$C$17</c:f>
              <c:numCache>
                <c:formatCode>0.00</c:formatCode>
                <c:ptCount val="3"/>
                <c:pt idx="0">
                  <c:v>75.3</c:v>
                </c:pt>
                <c:pt idx="1">
                  <c:v>76.8</c:v>
                </c:pt>
                <c:pt idx="2">
                  <c:v>71.900000000000006</c:v>
                </c:pt>
              </c:numCache>
            </c:numRef>
          </c:yVal>
          <c:bubbleSize>
            <c:numRef>
              <c:f>'C10D'!$E$15:$E$17</c:f>
              <c:numCache>
                <c:formatCode>0.0</c:formatCode>
                <c:ptCount val="3"/>
                <c:pt idx="0">
                  <c:v>9791.7000000000007</c:v>
                </c:pt>
                <c:pt idx="1">
                  <c:v>9396.5</c:v>
                </c:pt>
                <c:pt idx="2">
                  <c:v>2421.3000000000002</c:v>
                </c:pt>
              </c:numCache>
            </c:numRef>
          </c:bubbleSize>
          <c:bubble3D val="0"/>
          <c:extLst>
            <c:ext xmlns:c16="http://schemas.microsoft.com/office/drawing/2014/chart" uri="{C3380CC4-5D6E-409C-BE32-E72D297353CC}">
              <c16:uniqueId val="{00000007-5D80-4C66-B031-5C49414AA55C}"/>
            </c:ext>
          </c:extLst>
        </c:ser>
        <c:ser>
          <c:idx val="2"/>
          <c:order val="2"/>
          <c:tx>
            <c:v>ACQ</c:v>
          </c:tx>
          <c:spPr>
            <a:solidFill>
              <a:srgbClr val="0064FF"/>
            </a:solidFill>
            <a:ln w="25400">
              <a:noFill/>
            </a:ln>
          </c:spPr>
          <c:invertIfNegative val="0"/>
          <c:dLbls>
            <c:dLbl>
              <c:idx val="0"/>
              <c:tx>
                <c:rich>
                  <a:bodyPr wrap="square" lIns="38100" tIns="19050" rIns="38100" bIns="19050" anchor="ctr">
                    <a:spAutoFit/>
                  </a:bodyPr>
                  <a:lstStyle/>
                  <a:p>
                    <a:pPr>
                      <a:defRPr sz="800">
                        <a:solidFill>
                          <a:srgbClr val="FFFFFF"/>
                        </a:solidFill>
                        <a:latin typeface="Arial"/>
                        <a:ea typeface="Arial"/>
                        <a:cs typeface="Arial"/>
                      </a:defRPr>
                    </a:pPr>
                    <a:r>
                      <a:rPr lang="en-US"/>
                      <a:t>Property
864.5</a:t>
                    </a: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D80-4C66-B031-5C49414AA55C}"/>
                </c:ext>
              </c:extLst>
            </c:dLbl>
            <c:spPr>
              <a:noFill/>
              <a:ln>
                <a:noFill/>
              </a:ln>
              <a:effectLst/>
            </c:spPr>
            <c:txPr>
              <a:bodyPr wrap="square" lIns="38100" tIns="19050" rIns="38100" bIns="19050" anchor="ctr">
                <a:spAutoFit/>
              </a:bodyPr>
              <a:lstStyle/>
              <a:p>
                <a:pPr>
                  <a:defRPr sz="800">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'C10D'!$B$19</c:f>
              <c:numCache>
                <c:formatCode>0.00</c:formatCode>
                <c:ptCount val="1"/>
                <c:pt idx="0">
                  <c:v>33.020000000000003</c:v>
                </c:pt>
              </c:numCache>
            </c:numRef>
          </c:xVal>
          <c:yVal>
            <c:numRef>
              <c:f>'C10D'!$C$19</c:f>
              <c:numCache>
                <c:formatCode>0.00</c:formatCode>
                <c:ptCount val="1"/>
                <c:pt idx="0">
                  <c:v>63.2</c:v>
                </c:pt>
              </c:numCache>
            </c:numRef>
          </c:yVal>
          <c:bubbleSize>
            <c:numRef>
              <c:f>'C10D'!$E$19:$E$19</c:f>
              <c:numCache>
                <c:formatCode>0.0</c:formatCode>
                <c:ptCount val="1"/>
                <c:pt idx="0">
                  <c:v>864.5</c:v>
                </c:pt>
              </c:numCache>
            </c:numRef>
          </c:bubbleSize>
          <c:bubble3D val="0"/>
          <c:extLst>
            <c:ext xmlns:c16="http://schemas.microsoft.com/office/drawing/2014/chart" uri="{C3380CC4-5D6E-409C-BE32-E72D297353CC}">
              <c16:uniqueId val="{0000000B-5D80-4C66-B031-5C49414AA55C}"/>
            </c:ext>
          </c:extLst>
        </c:ser>
        <c:dLbls>
          <c:showLegendKey val="0"/>
          <c:showVal val="0"/>
          <c:showCatName val="0"/>
          <c:showSerName val="0"/>
          <c:showPercent val="0"/>
          <c:showBubbleSize val="0"/>
        </c:dLbls>
        <c:bubbleScale val="100"/>
        <c:showNegBubbles val="0"/>
        <c:axId val="1240768384"/>
        <c:axId val="1095870832"/>
      </c:bubbleChart>
      <c:valAx>
        <c:axId val="1240768384"/>
        <c:scaling>
          <c:orientation val="minMax"/>
          <c:max val="35"/>
          <c:min val="15"/>
        </c:scaling>
        <c:delete val="0"/>
        <c:axPos val="b"/>
        <c:majorGridlines>
          <c:spPr>
            <a:ln>
              <a:solidFill>
                <a:srgbClr val="A6A6A6"/>
              </a:solidFill>
            </a:ln>
          </c:spPr>
        </c:majorGridlines>
        <c:title>
          <c:tx>
            <c:rich>
              <a:bodyPr/>
              <a:lstStyle/>
              <a:p>
                <a:pPr>
                  <a:defRPr sz="900" b="1">
                    <a:latin typeface="Arial"/>
                    <a:ea typeface="Arial"/>
                    <a:cs typeface="Arial"/>
                  </a:defRPr>
                </a:pPr>
                <a:r>
                  <a:rPr lang="en-US"/>
                  <a:t>Expense ratio in %</a:t>
                </a:r>
              </a:p>
            </c:rich>
          </c:tx>
          <c:overlay val="0"/>
        </c:title>
        <c:numFmt formatCode="0" sourceLinked="0"/>
        <c:majorTickMark val="none"/>
        <c:minorTickMark val="none"/>
        <c:tickLblPos val="nextTo"/>
        <c:txPr>
          <a:bodyPr/>
          <a:lstStyle/>
          <a:p>
            <a:pPr>
              <a:defRPr sz="900">
                <a:latin typeface="Arial"/>
                <a:ea typeface="Arial"/>
                <a:cs typeface="Arial"/>
              </a:defRPr>
            </a:pPr>
            <a:endParaRPr lang="en-US"/>
          </a:p>
        </c:txPr>
        <c:crossAx val="1095870832"/>
        <c:crosses val="autoZero"/>
        <c:crossBetween val="midCat"/>
        <c:majorUnit val="5"/>
      </c:valAx>
      <c:valAx>
        <c:axId val="1095870832"/>
        <c:scaling>
          <c:orientation val="minMax"/>
          <c:max val="80"/>
          <c:min val="55"/>
        </c:scaling>
        <c:delete val="0"/>
        <c:axPos val="l"/>
        <c:majorGridlines>
          <c:spPr>
            <a:ln>
              <a:solidFill>
                <a:srgbClr val="A6A6A6"/>
              </a:solidFill>
            </a:ln>
          </c:spPr>
        </c:majorGridlines>
        <c:title>
          <c:tx>
            <c:rich>
              <a:bodyPr/>
              <a:lstStyle/>
              <a:p>
                <a:pPr>
                  <a:defRPr sz="900" b="1">
                    <a:latin typeface="Arial"/>
                    <a:ea typeface="Arial"/>
                    <a:cs typeface="Arial"/>
                  </a:defRPr>
                </a:pPr>
                <a:r>
                  <a:rPr lang="en-US"/>
                  <a:t>Loss and LAE ratio in %</a:t>
                </a:r>
              </a:p>
            </c:rich>
          </c:tx>
          <c:overlay val="0"/>
        </c:title>
        <c:numFmt formatCode="0" sourceLinked="0"/>
        <c:majorTickMark val="none"/>
        <c:minorTickMark val="none"/>
        <c:tickLblPos val="nextTo"/>
        <c:txPr>
          <a:bodyPr/>
          <a:lstStyle/>
          <a:p>
            <a:pPr>
              <a:defRPr sz="900">
                <a:latin typeface="Arial"/>
                <a:ea typeface="Arial"/>
                <a:cs typeface="Arial"/>
              </a:defRPr>
            </a:pPr>
            <a:endParaRPr lang="en-US"/>
          </a:p>
        </c:txPr>
        <c:crossAx val="1240768384"/>
        <c:crosses val="autoZero"/>
        <c:crossBetween val="midCat"/>
        <c:majorUnit val="5"/>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724137931034482E-2"/>
          <c:y val="5.242482507121432E-2"/>
          <c:w val="0.93103448275862066"/>
          <c:h val="0.8987112869351026"/>
        </c:manualLayout>
      </c:layout>
      <c:barChart>
        <c:barDir val="col"/>
        <c:grouping val="clustered"/>
        <c:varyColors val="0"/>
        <c:ser>
          <c:idx val="0"/>
          <c:order val="0"/>
          <c:tx>
            <c:v>Return on equity</c:v>
          </c:tx>
          <c:invertIfNegative val="0"/>
          <c:dPt>
            <c:idx val="0"/>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7-2996-4FAD-8CC9-7E4AF64F8CD8}"/>
              </c:ext>
            </c:extLst>
          </c:dPt>
          <c:dPt>
            <c:idx val="1"/>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8-2996-4FAD-8CC9-7E4AF64F8CD8}"/>
              </c:ext>
            </c:extLst>
          </c:dPt>
          <c:dPt>
            <c:idx val="2"/>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2996-4FAD-8CC9-7E4AF64F8CD8}"/>
              </c:ext>
            </c:extLst>
          </c:dPt>
          <c:dPt>
            <c:idx val="3"/>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A-2996-4FAD-8CC9-7E4AF64F8CD8}"/>
              </c:ext>
            </c:extLst>
          </c:dPt>
          <c:dPt>
            <c:idx val="4"/>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2996-4FAD-8CC9-7E4AF64F8CD8}"/>
              </c:ext>
            </c:extLst>
          </c:dPt>
          <c:dPt>
            <c:idx val="5"/>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C-2996-4FAD-8CC9-7E4AF64F8CD8}"/>
              </c:ext>
            </c:extLst>
          </c:dPt>
          <c:dPt>
            <c:idx val="6"/>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2996-4FAD-8CC9-7E4AF64F8CD8}"/>
              </c:ext>
            </c:extLst>
          </c:dPt>
          <c:dLbls>
            <c:dLbl>
              <c:idx val="0"/>
              <c:tx>
                <c:strRef>
                  <c:f>'C11A'!$B$62</c:f>
                  <c:strCache>
                    <c:ptCount val="1"/>
                    <c:pt idx="0">
                      <c:v>24.1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{D5B7B39A-D0A3-4721-903B-4F8780FFD162}</c15:txfldGUID>
                      <c15:f>'C11A'!$B$62</c15:f>
                      <c15:dlblFieldTableCache>
                        <c:ptCount val="1"/>
                        <c:pt idx="0">
                          <c:v>24.1</c:v>
                        </c:pt>
                      </c15:dlblFieldTableCache>
                    </c15:dlblFTEntry>
                  </c15:dlblFieldTable>
                  <c15:showDataLabelsRange val="0"/>
                </c:ext>
                <c:ext xmlns:c16="http://schemas.microsoft.com/office/drawing/2014/chart" uri="{C3380CC4-5D6E-409C-BE32-E72D297353CC}">
                  <c16:uniqueId val="{00000007-2996-4FAD-8CC9-7E4AF64F8CD8}"/>
                </c:ext>
              </c:extLst>
            </c:dLbl>
            <c:dLbl>
              <c:idx val="1"/>
              <c:tx>
                <c:strRef>
                  <c:f>'C11A'!$C$62</c:f>
                  <c:strCache>
                    <c:ptCount val="1"/>
                    <c:pt idx="0">
                      <c:v>28.3</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{80BEE319-3EE9-47D6-B17A-4C1834116B26}</c15:txfldGUID>
                      <c15:f>'C11A'!$C$62</c15:f>
                      <c15:dlblFieldTableCache>
                        <c:ptCount val="1"/>
                        <c:pt idx="0">
                          <c:v>28.3</c:v>
                        </c:pt>
                      </c15:dlblFieldTableCache>
                    </c15:dlblFTEntry>
                  </c15:dlblFieldTable>
                  <c15:showDataLabelsRange val="0"/>
                </c:ext>
                <c:ext xmlns:c16="http://schemas.microsoft.com/office/drawing/2014/chart" uri="{C3380CC4-5D6E-409C-BE32-E72D297353CC}">
                  <c16:uniqueId val="{00000008-2996-4FAD-8CC9-7E4AF64F8CD8}"/>
                </c:ext>
              </c:extLst>
            </c:dLbl>
            <c:dLbl>
              <c:idx val="2"/>
              <c:tx>
                <c:strRef>
                  <c:f>'C11A'!$D$62</c:f>
                  <c:strCache>
                    <c:ptCount val="1"/>
                    <c:pt idx="0">
                      <c:v>11.4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{ED52C7FA-0CEE-47FB-97CD-79000E7837FE}</c15:txfldGUID>
                      <c15:f>'C11A'!$D$62</c15:f>
                      <c15:dlblFieldTableCache>
                        <c:ptCount val="1"/>
                        <c:pt idx="0">
                          <c:v>11.4</c:v>
                        </c:pt>
                      </c15:dlblFieldTableCache>
                    </c15:dlblFTEntry>
                  </c15:dlblFieldTable>
                  <c15:showDataLabelsRange val="0"/>
                </c:ext>
                <c:ext xmlns:c16="http://schemas.microsoft.com/office/drawing/2014/chart" uri="{C3380CC4-5D6E-409C-BE32-E72D297353CC}">
                  <c16:uniqueId val="{00000009-2996-4FAD-8CC9-7E4AF64F8CD8}"/>
                </c:ext>
              </c:extLst>
            </c:dLbl>
            <c:dLbl>
              <c:idx val="3"/>
              <c:tx>
                <c:strRef>
                  <c:f>'C11A'!$E$62</c:f>
                  <c:strCache>
                    <c:ptCount val="1"/>
                    <c:pt idx="0">
                      <c:v>13.0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{EF93BF72-9D76-4FE7-982C-F3F13352F864}</c15:txfldGUID>
                      <c15:f>'C11A'!$E$62</c15:f>
                      <c15:dlblFieldTableCache>
                        <c:ptCount val="1"/>
                        <c:pt idx="0">
                          <c:v>13.0</c:v>
                        </c:pt>
                      </c15:dlblFieldTableCache>
                    </c15:dlblFTEntry>
                  </c15:dlblFieldTable>
                  <c15:showDataLabelsRange val="0"/>
                </c:ext>
                <c:ext xmlns:c16="http://schemas.microsoft.com/office/drawing/2014/chart" uri="{C3380CC4-5D6E-409C-BE32-E72D297353CC}">
                  <c16:uniqueId val="{0000000A-2996-4FAD-8CC9-7E4AF64F8CD8}"/>
                </c:ext>
              </c:extLst>
            </c:dLbl>
            <c:dLbl>
              <c:idx val="4"/>
              <c:tx>
                <c:strRef>
                  <c:f>'C11A'!$F$62</c:f>
                  <c:strCache>
                    <c:ptCount val="1"/>
                    <c:pt idx="0">
                      <c:v>14.8</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{291D37DF-A66C-4E44-9F1B-DB3CF7701ED9}</c15:txfldGUID>
                      <c15:f>'C11A'!$F$62</c15:f>
                      <c15:dlblFieldTableCache>
                        <c:ptCount val="1"/>
                        <c:pt idx="0">
                          <c:v>14.8</c:v>
                        </c:pt>
                      </c15:dlblFieldTableCache>
                    </c15:dlblFTEntry>
                  </c15:dlblFieldTable>
                  <c15:showDataLabelsRange val="0"/>
                </c:ext>
                <c:ext xmlns:c16="http://schemas.microsoft.com/office/drawing/2014/chart" uri="{C3380CC4-5D6E-409C-BE32-E72D297353CC}">
                  <c16:uniqueId val="{0000000B-2996-4FAD-8CC9-7E4AF64F8CD8}"/>
                </c:ext>
              </c:extLst>
            </c:dLbl>
            <c:dLbl>
              <c:idx val="5"/>
              <c:tx>
                <c:strRef>
                  <c:f>'C11A'!$G$62</c:f>
                  <c:strCache>
                    <c:ptCount val="1"/>
                    <c:pt idx="0">
                      <c:v>31.0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{0F61D85E-3D35-4BE2-A914-FFE81F2E313A}</c15:txfldGUID>
                      <c15:f>'C11A'!$G$62</c15:f>
                      <c15:dlblFieldTableCache>
                        <c:ptCount val="1"/>
                        <c:pt idx="0">
                          <c:v>31.0</c:v>
                        </c:pt>
                      </c15:dlblFieldTableCache>
                    </c15:dlblFTEntry>
                  </c15:dlblFieldTable>
                  <c15:showDataLabelsRange val="0"/>
                </c:ext>
                <c:ext xmlns:c16="http://schemas.microsoft.com/office/drawing/2014/chart" uri="{C3380CC4-5D6E-409C-BE32-E72D297353CC}">
                  <c16:uniqueId val="{0000000C-2996-4FAD-8CC9-7E4AF64F8CD8}"/>
                </c:ext>
              </c:extLst>
            </c:dLbl>
            <c:dLbl>
              <c:idx val="6"/>
              <c:tx>
                <c:strRef>
                  <c:f>'C11A'!$H$62</c:f>
                  <c:strCache>
                    <c:ptCount val="1"/>
                    <c:pt idx="0">
                      <c:v>33.9</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{7FAF05CE-8BD7-4D87-9C73-8753508258DA}</c15:txfldGUID>
                      <c15:f>'C11A'!$H$62</c15:f>
                      <c15:dlblFieldTableCache>
                        <c:ptCount val="1"/>
                        <c:pt idx="0">
                          <c:v>33.9</c:v>
                        </c:pt>
                      </c15:dlblFieldTableCache>
                    </c15:dlblFTEntry>
                  </c15:dlblFieldTable>
                  <c15:showDataLabelsRange val="0"/>
                </c:ext>
                <c:ext xmlns:c16="http://schemas.microsoft.com/office/drawing/2014/chart" uri="{C3380CC4-5D6E-409C-BE32-E72D297353CC}">
                  <c16:uniqueId val="{0000000D-2996-4FAD-8CC9-7E4AF64F8CD8}"/>
                </c:ext>
              </c:extLst>
            </c:dLbl>
            <c:numFmt formatCode="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'C11A'!$B$12:$H$12</c:f>
              <c:strCache>
                <c:ptCount val="7"/>
                <c:pt idx="0">
                  <c:v>2019</c:v>
                </c:pt>
                <c:pt idx="6">
                  <c:v>2025</c:v>
                </c:pt>
              </c:strCache>
            </c:strRef>
          </c:cat>
          <c:val>
            <c:numRef>
              <c:f>'C11A'!$B$40:$H$40</c:f>
              <c:numCache>
                <c:formatCode>General</c:formatCode>
                <c:ptCount val="7"/>
                <c:pt idx="0">
                  <c:v>0.71000070464135034</c:v>
                </c:pt>
                <c:pt idx="1">
                  <c:v>0.83524157026554913</c:v>
                </c:pt>
                <c:pt idx="2">
                  <c:v>0.33703169600818067</c:v>
                </c:pt>
                <c:pt idx="3">
                  <c:v>0.38352908599886298</c:v>
                </c:pt>
                <c:pt idx="4">
                  <c:v>0.43486743494236663</c:v>
                </c:pt>
                <c:pt idx="5">
                  <c:v>0.91312484538177618</c:v>
                </c:pt>
                <c:pt idx="6">
                  <c:v>1</c:v>
                </c:pt>
              </c:numCache>
            </c:numRef>
          </c:val>
          <c:extLst>
            <c:ext xmlns:c16="http://schemas.microsoft.com/office/drawing/2014/chart" uri="{C3380CC4-5D6E-409C-BE32-E72D297353CC}">
              <c16:uniqueId val="{00000006-2996-4FAD-8CC9-7E4AF64F8CD8}"/>
            </c:ext>
          </c:extLst>
        </c:ser>
        <c:dLbls>
          <c:showLegendKey val="0"/>
          <c:showVal val="0"/>
          <c:showCatName val="0"/>
          <c:showSerName val="0"/>
          <c:showPercent val="0"/>
          <c:showBubbleSize val="0"/>
        </c:dLbls>
        <c:gapWidth val="182"/>
        <c:axId val="1204835152"/>
        <c:axId val="1095851632"/>
      </c:barChart>
      <c:catAx>
        <c:axId val="1204835152"/>
        <c:scaling>
          <c:orientation val="minMax"/>
        </c:scaling>
        <c:delete val="0"/>
        <c:axPos val="b"/>
        <c:numFmt formatCode="General" sourceLinked="1"/>
        <c:majorTickMark val="none"/>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900">
                <a:latin typeface="Arial"/>
                <a:ea typeface="Arial"/>
                <a:cs typeface="Arial"/>
              </a:defRPr>
            </a:pPr>
            <a:endParaRPr lang="en-US"/>
          </a:p>
        </c:txPr>
        <c:crossAx val="1095851632"/>
        <c:crosses val="autoZero"/>
        <c:auto val="1"/>
        <c:lblAlgn val="ctr"/>
        <c:lblOffset val="100"/>
        <c:noMultiLvlLbl val="0"/>
      </c:catAx>
      <c:valAx>
        <c:axId val="1095851632"/>
        <c:scaling>
          <c:orientation val="minMax"/>
          <c:max val="1.1788512003110119"/>
          <c:min val="-0.14735640003887648"/>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04835152"/>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7F7F7F"/>
      </a:solidFill>
      <a:prstDash val="solid"/>
      <a:round/>
    </a:ln>
    <a:effectLst/>
    <a:extLst>
      <a:ext uri="{909E8E84-426E-40DD-AFC4-6F175D3DCCD1}">
        <a14:hiddenFill xmlns:a14="http://schemas.microsoft.com/office/drawing/2010/main">
          <a:solidFill>
            <a:sysClr val="window" lastClr="FFFFFF"/>
          </a:solidFill>
        </a14:hiddenFill>
      </a:ext>
    </a:ex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724137931034482E-2"/>
          <c:y val="0.1024111253732779"/>
          <c:w val="0.93103448275862066"/>
          <c:h val="0.77905606087529256"/>
        </c:manualLayout>
      </c:layout>
      <c:barChart>
        <c:barDir val="col"/>
        <c:grouping val="clustered"/>
        <c:varyColors val="0"/>
        <c:ser>
          <c:idx val="0"/>
          <c:order val="0"/>
          <c:tx>
            <c:v>Underwriting margin</c:v>
          </c:tx>
          <c:invertIfNegative val="0"/>
          <c:dPt>
            <c:idx val="0"/>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7-D803-41E0-8D17-139BBEF288FA}"/>
              </c:ext>
            </c:extLst>
          </c:dPt>
          <c:dPt>
            <c:idx val="1"/>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8-D803-41E0-8D17-139BBEF288FA}"/>
              </c:ext>
            </c:extLst>
          </c:dPt>
          <c:dPt>
            <c:idx val="2"/>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D803-41E0-8D17-139BBEF288FA}"/>
              </c:ext>
            </c:extLst>
          </c:dPt>
          <c:dPt>
            <c:idx val="3"/>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A-D803-41E0-8D17-139BBEF288FA}"/>
              </c:ext>
            </c:extLst>
          </c:dPt>
          <c:dPt>
            <c:idx val="4"/>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D803-41E0-8D17-139BBEF288FA}"/>
              </c:ext>
            </c:extLst>
          </c:dPt>
          <c:dPt>
            <c:idx val="5"/>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C-D803-41E0-8D17-139BBEF288FA}"/>
              </c:ext>
            </c:extLst>
          </c:dPt>
          <c:dPt>
            <c:idx val="6"/>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D803-41E0-8D17-139BBEF288FA}"/>
              </c:ext>
            </c:extLst>
          </c:dPt>
          <c:dLbls>
            <c:dLbl>
              <c:idx val="0"/>
              <c:tx>
                <c:strRef>
                  <c:f>'C11A'!$B$60</c:f>
                  <c:strCache>
                    <c:ptCount val="1"/>
                    <c:pt idx="0">
                      <c:v>9.1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{4FB51E7D-DF0C-4089-B100-D55CCE8AA6EF}</c15:txfldGUID>
                      <c15:f>'C11A'!$B$60</c15:f>
                      <c15:dlblFieldTableCache>
                        <c:ptCount val="1"/>
                        <c:pt idx="0">
                          <c:v>9.1</c:v>
                        </c:pt>
                      </c15:dlblFieldTableCache>
                    </c15:dlblFTEntry>
                  </c15:dlblFieldTable>
                  <c15:showDataLabelsRange val="0"/>
                </c:ext>
                <c:ext xmlns:c16="http://schemas.microsoft.com/office/drawing/2014/chart" uri="{C3380CC4-5D6E-409C-BE32-E72D297353CC}">
                  <c16:uniqueId val="{00000007-D803-41E0-8D17-139BBEF288FA}"/>
                </c:ext>
              </c:extLst>
            </c:dLbl>
            <c:dLbl>
              <c:idx val="1"/>
              <c:tx>
                <c:strRef>
                  <c:f>'C11A'!$C$60</c:f>
                  <c:strCache>
                    <c:ptCount val="1"/>
                    <c:pt idx="0">
                      <c:v>12.3</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{2D872A1D-A3AF-476C-A83F-02C5D756099E}</c15:txfldGUID>
                      <c15:f>'C11A'!$C$60</c15:f>
                      <c15:dlblFieldTableCache>
                        <c:ptCount val="1"/>
                        <c:pt idx="0">
                          <c:v>12.3</c:v>
                        </c:pt>
                      </c15:dlblFieldTableCache>
                    </c15:dlblFTEntry>
                  </c15:dlblFieldTable>
                  <c15:showDataLabelsRange val="0"/>
                </c:ext>
                <c:ext xmlns:c16="http://schemas.microsoft.com/office/drawing/2014/chart" uri="{C3380CC4-5D6E-409C-BE32-E72D297353CC}">
                  <c16:uniqueId val="{00000008-D803-41E0-8D17-139BBEF288FA}"/>
                </c:ext>
              </c:extLst>
            </c:dLbl>
            <c:dLbl>
              <c:idx val="2"/>
              <c:tx>
                <c:strRef>
                  <c:f>'C11A'!$D$60</c:f>
                  <c:strCache>
                    <c:ptCount val="1"/>
                    <c:pt idx="0">
                      <c:v>4.7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{CC928F6D-2972-441F-8377-63E1F4E1BFD6}</c15:txfldGUID>
                      <c15:f>'C11A'!$D$60</c15:f>
                      <c15:dlblFieldTableCache>
                        <c:ptCount val="1"/>
                        <c:pt idx="0">
                          <c:v>4.7</c:v>
                        </c:pt>
                      </c15:dlblFieldTableCache>
                    </c15:dlblFTEntry>
                  </c15:dlblFieldTable>
                  <c15:showDataLabelsRange val="0"/>
                </c:ext>
                <c:ext xmlns:c16="http://schemas.microsoft.com/office/drawing/2014/chart" uri="{C3380CC4-5D6E-409C-BE32-E72D297353CC}">
                  <c16:uniqueId val="{00000009-D803-41E0-8D17-139BBEF288FA}"/>
                </c:ext>
              </c:extLst>
            </c:dLbl>
            <c:dLbl>
              <c:idx val="3"/>
              <c:tx>
                <c:strRef>
                  <c:f>'C11A'!$E$60</c:f>
                  <c:strCache>
                    <c:ptCount val="1"/>
                    <c:pt idx="0">
                      <c:v>4.2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{A6180A22-D849-4A56-9EAB-A575BB3F7299}</c15:txfldGUID>
                      <c15:f>'C11A'!$E$60</c15:f>
                      <c15:dlblFieldTableCache>
                        <c:ptCount val="1"/>
                        <c:pt idx="0">
                          <c:v>4.2</c:v>
                        </c:pt>
                      </c15:dlblFieldTableCache>
                    </c15:dlblFTEntry>
                  </c15:dlblFieldTable>
                  <c15:showDataLabelsRange val="0"/>
                </c:ext>
                <c:ext xmlns:c16="http://schemas.microsoft.com/office/drawing/2014/chart" uri="{C3380CC4-5D6E-409C-BE32-E72D297353CC}">
                  <c16:uniqueId val="{0000000A-D803-41E0-8D17-139BBEF288FA}"/>
                </c:ext>
              </c:extLst>
            </c:dLbl>
            <c:dLbl>
              <c:idx val="4"/>
              <c:tx>
                <c:strRef>
                  <c:f>'C11A'!$F$60</c:f>
                  <c:strCache>
                    <c:ptCount val="1"/>
                    <c:pt idx="0">
                      <c:v>5.1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{FE6D3D4B-CB0F-4236-A549-6551C81E402D}</c15:txfldGUID>
                      <c15:f>'C11A'!$F$60</c15:f>
                      <c15:dlblFieldTableCache>
                        <c:ptCount val="1"/>
                        <c:pt idx="0">
                          <c:v>5.1</c:v>
                        </c:pt>
                      </c15:dlblFieldTableCache>
                    </c15:dlblFTEntry>
                  </c15:dlblFieldTable>
                  <c15:showDataLabelsRange val="0"/>
                </c:ext>
                <c:ext xmlns:c16="http://schemas.microsoft.com/office/drawing/2014/chart" uri="{C3380CC4-5D6E-409C-BE32-E72D297353CC}">
                  <c16:uniqueId val="{0000000B-D803-41E0-8D17-139BBEF288FA}"/>
                </c:ext>
              </c:extLst>
            </c:dLbl>
            <c:dLbl>
              <c:idx val="5"/>
              <c:tx>
                <c:strRef>
                  <c:f>'C11A'!$G$60</c:f>
                  <c:strCache>
                    <c:ptCount val="1"/>
                    <c:pt idx="0">
                      <c:v>11.2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{55E21310-99C5-4368-BFA6-D3ECABBBAD22}</c15:txfldGUID>
                      <c15:f>'C11A'!$G$60</c15:f>
                      <c15:dlblFieldTableCache>
                        <c:ptCount val="1"/>
                        <c:pt idx="0">
                          <c:v>11.2</c:v>
                        </c:pt>
                      </c15:dlblFieldTableCache>
                    </c15:dlblFTEntry>
                  </c15:dlblFieldTable>
                  <c15:showDataLabelsRange val="0"/>
                </c:ext>
                <c:ext xmlns:c16="http://schemas.microsoft.com/office/drawing/2014/chart" uri="{C3380CC4-5D6E-409C-BE32-E72D297353CC}">
                  <c16:uniqueId val="{0000000C-D803-41E0-8D17-139BBEF288FA}"/>
                </c:ext>
              </c:extLst>
            </c:dLbl>
            <c:dLbl>
              <c:idx val="6"/>
              <c:tx>
                <c:strRef>
                  <c:f>'C11A'!$H$60</c:f>
                  <c:strCache>
                    <c:ptCount val="1"/>
                    <c:pt idx="0">
                      <c:v>12.6</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{72673349-FB4B-4B5D-B901-7EACFE9927F0}</c15:txfldGUID>
                      <c15:f>'C11A'!$H$60</c15:f>
                      <c15:dlblFieldTableCache>
                        <c:ptCount val="1"/>
                        <c:pt idx="0">
                          <c:v>12.6</c:v>
                        </c:pt>
                      </c15:dlblFieldTableCache>
                    </c15:dlblFTEntry>
                  </c15:dlblFieldTable>
                  <c15:showDataLabelsRange val="0"/>
                </c:ext>
                <c:ext xmlns:c16="http://schemas.microsoft.com/office/drawing/2014/chart" uri="{C3380CC4-5D6E-409C-BE32-E72D297353CC}">
                  <c16:uniqueId val="{0000000D-D803-41E0-8D17-139BBEF288FA}"/>
                </c:ext>
              </c:extLst>
            </c:dLbl>
            <c:numFmt formatCode="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'C11A'!$B$12:$H$12</c:f>
              <c:strCache>
                <c:ptCount val="7"/>
                <c:pt idx="0">
                  <c:v>2019</c:v>
                </c:pt>
                <c:pt idx="6">
                  <c:v>2025</c:v>
                </c:pt>
              </c:strCache>
            </c:strRef>
          </c:cat>
          <c:val>
            <c:numRef>
              <c:f>'C11A'!$B$38:$H$38</c:f>
              <c:numCache>
                <c:formatCode>General</c:formatCode>
                <c:ptCount val="7"/>
                <c:pt idx="0">
                  <c:v>0.26823164330684079</c:v>
                </c:pt>
                <c:pt idx="1">
                  <c:v>0.36247977983176333</c:v>
                </c:pt>
                <c:pt idx="2">
                  <c:v>0.13849223290182672</c:v>
                </c:pt>
                <c:pt idx="3">
                  <c:v>0.12377207419849172</c:v>
                </c:pt>
                <c:pt idx="4">
                  <c:v>0.15031036032875986</c:v>
                </c:pt>
                <c:pt idx="5">
                  <c:v>0.33005802226253245</c:v>
                </c:pt>
                <c:pt idx="6">
                  <c:v>0.37132780641922097</c:v>
                </c:pt>
              </c:numCache>
            </c:numRef>
          </c:val>
          <c:extLst>
            <c:ext xmlns:c16="http://schemas.microsoft.com/office/drawing/2014/chart" uri="{C3380CC4-5D6E-409C-BE32-E72D297353CC}">
              <c16:uniqueId val="{00000006-D803-41E0-8D17-139BBEF288FA}"/>
            </c:ext>
          </c:extLst>
        </c:ser>
        <c:dLbls>
          <c:showLegendKey val="0"/>
          <c:showVal val="0"/>
          <c:showCatName val="0"/>
          <c:showSerName val="0"/>
          <c:showPercent val="0"/>
          <c:showBubbleSize val="0"/>
        </c:dLbls>
        <c:gapWidth val="182"/>
        <c:axId val="1613681728"/>
        <c:axId val="1095857872"/>
      </c:barChart>
      <c:catAx>
        <c:axId val="1613681728"/>
        <c:scaling>
          <c:orientation val="minMax"/>
        </c:scaling>
        <c:delete val="0"/>
        <c:axPos val="b"/>
        <c:numFmt formatCode="General" sourceLinked="1"/>
        <c:majorTickMark val="none"/>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900">
                <a:latin typeface="Arial"/>
                <a:ea typeface="Arial"/>
                <a:cs typeface="Arial"/>
              </a:defRPr>
            </a:pPr>
            <a:endParaRPr lang="en-US"/>
          </a:p>
        </c:txPr>
        <c:crossAx val="1095857872"/>
        <c:crosses val="autoZero"/>
        <c:auto val="1"/>
        <c:lblAlgn val="ctr"/>
        <c:lblOffset val="100"/>
        <c:noMultiLvlLbl val="0"/>
      </c:catAx>
      <c:valAx>
        <c:axId val="1095857872"/>
        <c:scaling>
          <c:orientation val="minMax"/>
          <c:max val="0.44206920011662948"/>
          <c:min val="-0.14735640003887648"/>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3681728"/>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7F7F7F"/>
      </a:solidFill>
      <a:prstDash val="solid"/>
      <a:round/>
    </a:ln>
    <a:effectLst/>
    <a:extLst>
      <a:ext uri="{909E8E84-426E-40DD-AFC4-6F175D3DCCD1}">
        <a14:hiddenFill xmlns:a14="http://schemas.microsoft.com/office/drawing/2010/main">
          <a:solidFill>
            <a:sysClr val="window" lastClr="FFFFFF"/>
          </a:solidFill>
        </a14:hiddenFill>
      </a:ext>
    </a:ex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724137931034482E-2"/>
          <c:y val="1.9705260068703531E-2"/>
          <c:w val="0.93103448275862066"/>
          <c:h val="0.95640887262028917"/>
        </c:manualLayout>
      </c:layout>
      <c:barChart>
        <c:barDir val="col"/>
        <c:grouping val="clustered"/>
        <c:varyColors val="0"/>
        <c:ser>
          <c:idx val="0"/>
          <c:order val="0"/>
          <c:tx>
            <c:v>Premium to equity</c:v>
          </c:tx>
          <c:invertIfNegative val="0"/>
          <c:dPt>
            <c:idx val="0"/>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7-FAA1-444D-A5FA-803BC85D54B5}"/>
              </c:ext>
            </c:extLst>
          </c:dPt>
          <c:dPt>
            <c:idx val="1"/>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8-FAA1-444D-A5FA-803BC85D54B5}"/>
              </c:ext>
            </c:extLst>
          </c:dPt>
          <c:dPt>
            <c:idx val="2"/>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FAA1-444D-A5FA-803BC85D54B5}"/>
              </c:ext>
            </c:extLst>
          </c:dPt>
          <c:dPt>
            <c:idx val="3"/>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A-FAA1-444D-A5FA-803BC85D54B5}"/>
              </c:ext>
            </c:extLst>
          </c:dPt>
          <c:dPt>
            <c:idx val="4"/>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FAA1-444D-A5FA-803BC85D54B5}"/>
              </c:ext>
            </c:extLst>
          </c:dPt>
          <c:dPt>
            <c:idx val="5"/>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C-FAA1-444D-A5FA-803BC85D54B5}"/>
              </c:ext>
            </c:extLst>
          </c:dPt>
          <c:dPt>
            <c:idx val="6"/>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FAA1-444D-A5FA-803BC85D54B5}"/>
              </c:ext>
            </c:extLst>
          </c:dPt>
          <c:dLbls>
            <c:dLbl>
              <c:idx val="0"/>
              <c:tx>
                <c:strRef>
                  <c:f>'C11A'!$B$61</c:f>
                  <c:strCache>
                    <c:ptCount val="1"/>
                    <c:pt idx="0">
                      <c:v>2.6</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{DDD8F3DA-08EF-4851-9E63-B33FCC6D3278}</c15:txfldGUID>
                      <c15:f>'C11A'!$B$61</c15:f>
                      <c15:dlblFieldTableCache>
                        <c:ptCount val="1"/>
                        <c:pt idx="0">
                          <c:v>2.6</c:v>
                        </c:pt>
                      </c15:dlblFieldTableCache>
                    </c15:dlblFTEntry>
                  </c15:dlblFieldTable>
                  <c15:showDataLabelsRange val="0"/>
                </c:ext>
                <c:ext xmlns:c16="http://schemas.microsoft.com/office/drawing/2014/chart" uri="{C3380CC4-5D6E-409C-BE32-E72D297353CC}">
                  <c16:uniqueId val="{00000007-FAA1-444D-A5FA-803BC85D54B5}"/>
                </c:ext>
              </c:extLst>
            </c:dLbl>
            <c:dLbl>
              <c:idx val="1"/>
              <c:tx>
                <c:strRef>
                  <c:f>'C11A'!$C$61</c:f>
                  <c:strCache>
                    <c:ptCount val="1"/>
                    <c:pt idx="0">
                      <c:v>2.3</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{EB16A8A9-17C4-4352-8E5C-F1B6081DD962}</c15:txfldGUID>
                      <c15:f>'C11A'!$C$61</c15:f>
                      <c15:dlblFieldTableCache>
                        <c:ptCount val="1"/>
                        <c:pt idx="0">
                          <c:v>2.3</c:v>
                        </c:pt>
                      </c15:dlblFieldTableCache>
                    </c15:dlblFTEntry>
                  </c15:dlblFieldTable>
                  <c15:showDataLabelsRange val="0"/>
                </c:ext>
                <c:ext xmlns:c16="http://schemas.microsoft.com/office/drawing/2014/chart" uri="{C3380CC4-5D6E-409C-BE32-E72D297353CC}">
                  <c16:uniqueId val="{00000008-FAA1-444D-A5FA-803BC85D54B5}"/>
                </c:ext>
              </c:extLst>
            </c:dLbl>
            <c:dLbl>
              <c:idx val="2"/>
              <c:tx>
                <c:strRef>
                  <c:f>'C11A'!$D$61</c:f>
                  <c:strCache>
                    <c:ptCount val="1"/>
                    <c:pt idx="0">
                      <c:v>2.4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{3F57BEBD-621D-4371-A824-E9F231B6DB22}</c15:txfldGUID>
                      <c15:f>'C11A'!$D$61</c15:f>
                      <c15:dlblFieldTableCache>
                        <c:ptCount val="1"/>
                        <c:pt idx="0">
                          <c:v>2.4</c:v>
                        </c:pt>
                      </c15:dlblFieldTableCache>
                    </c15:dlblFTEntry>
                  </c15:dlblFieldTable>
                  <c15:showDataLabelsRange val="0"/>
                </c:ext>
                <c:ext xmlns:c16="http://schemas.microsoft.com/office/drawing/2014/chart" uri="{C3380CC4-5D6E-409C-BE32-E72D297353CC}">
                  <c16:uniqueId val="{00000009-FAA1-444D-A5FA-803BC85D54B5}"/>
                </c:ext>
              </c:extLst>
            </c:dLbl>
            <c:dLbl>
              <c:idx val="3"/>
              <c:tx>
                <c:strRef>
                  <c:f>'C11A'!$E$61</c:f>
                  <c:strCache>
                    <c:ptCount val="1"/>
                    <c:pt idx="0">
                      <c:v>3.1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{2D740CB5-5DA7-42F1-8ADF-C8E12CFBBA38}</c15:txfldGUID>
                      <c15:f>'C11A'!$E$61</c15:f>
                      <c15:dlblFieldTableCache>
                        <c:ptCount val="1"/>
                        <c:pt idx="0">
                          <c:v>3.1</c:v>
                        </c:pt>
                      </c15:dlblFieldTableCache>
                    </c15:dlblFTEntry>
                  </c15:dlblFieldTable>
                  <c15:showDataLabelsRange val="0"/>
                </c:ext>
                <c:ext xmlns:c16="http://schemas.microsoft.com/office/drawing/2014/chart" uri="{C3380CC4-5D6E-409C-BE32-E72D297353CC}">
                  <c16:uniqueId val="{0000000A-FAA1-444D-A5FA-803BC85D54B5}"/>
                </c:ext>
              </c:extLst>
            </c:dLbl>
            <c:dLbl>
              <c:idx val="4"/>
              <c:tx>
                <c:strRef>
                  <c:f>'C11A'!$F$61</c:f>
                  <c:strCache>
                    <c:ptCount val="1"/>
                    <c:pt idx="0">
                      <c:v>2.9</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{D82317CE-DF55-47DB-870B-3EE29DC82F12}</c15:txfldGUID>
                      <c15:f>'C11A'!$F$61</c15:f>
                      <c15:dlblFieldTableCache>
                        <c:ptCount val="1"/>
                        <c:pt idx="0">
                          <c:v>2.9</c:v>
                        </c:pt>
                      </c15:dlblFieldTableCache>
                    </c15:dlblFTEntry>
                  </c15:dlblFieldTable>
                  <c15:showDataLabelsRange val="0"/>
                </c:ext>
                <c:ext xmlns:c16="http://schemas.microsoft.com/office/drawing/2014/chart" uri="{C3380CC4-5D6E-409C-BE32-E72D297353CC}">
                  <c16:uniqueId val="{0000000B-FAA1-444D-A5FA-803BC85D54B5}"/>
                </c:ext>
              </c:extLst>
            </c:dLbl>
            <c:dLbl>
              <c:idx val="5"/>
              <c:tx>
                <c:strRef>
                  <c:f>'C11A'!$G$61</c:f>
                  <c:strCache>
                    <c:ptCount val="1"/>
                    <c:pt idx="0">
                      <c:v>2.8</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{24951B67-7EE9-4C77-B8C4-D144412FF290}</c15:txfldGUID>
                      <c15:f>'C11A'!$G$61</c15:f>
                      <c15:dlblFieldTableCache>
                        <c:ptCount val="1"/>
                        <c:pt idx="0">
                          <c:v>2.8</c:v>
                        </c:pt>
                      </c15:dlblFieldTableCache>
                    </c15:dlblFTEntry>
                  </c15:dlblFieldTable>
                  <c15:showDataLabelsRange val="0"/>
                </c:ext>
                <c:ext xmlns:c16="http://schemas.microsoft.com/office/drawing/2014/chart" uri="{C3380CC4-5D6E-409C-BE32-E72D297353CC}">
                  <c16:uniqueId val="{0000000C-FAA1-444D-A5FA-803BC85D54B5}"/>
                </c:ext>
              </c:extLst>
            </c:dLbl>
            <c:dLbl>
              <c:idx val="6"/>
              <c:tx>
                <c:strRef>
                  <c:f>'C11A'!$H$61</c:f>
                  <c:strCache>
                    <c:ptCount val="1"/>
                    <c:pt idx="0">
                      <c:v>2.7</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{D3C4E08E-39B3-41DF-8072-D3894F0B70AB}</c15:txfldGUID>
                      <c15:f>'C11A'!$H$61</c15:f>
                      <c15:dlblFieldTableCache>
                        <c:ptCount val="1"/>
                        <c:pt idx="0">
                          <c:v>2.7</c:v>
                        </c:pt>
                      </c15:dlblFieldTableCache>
                    </c15:dlblFTEntry>
                  </c15:dlblFieldTable>
                  <c15:showDataLabelsRange val="0"/>
                </c:ext>
                <c:ext xmlns:c16="http://schemas.microsoft.com/office/drawing/2014/chart" uri="{C3380CC4-5D6E-409C-BE32-E72D297353CC}">
                  <c16:uniqueId val="{0000000D-FAA1-444D-A5FA-803BC85D54B5}"/>
                </c:ext>
              </c:extLst>
            </c:dLbl>
            <c:numFmt formatCode="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'C11A'!$B$12:$H$12</c:f>
              <c:strCache>
                <c:ptCount val="7"/>
                <c:pt idx="0">
                  <c:v>2019</c:v>
                </c:pt>
                <c:pt idx="6">
                  <c:v>2025</c:v>
                </c:pt>
              </c:strCache>
            </c:strRef>
          </c:cat>
          <c:val>
            <c:numRef>
              <c:f>'C11A'!$B$39:$H$39</c:f>
              <c:numCache>
                <c:formatCode>General</c:formatCode>
                <c:ptCount val="7"/>
                <c:pt idx="0">
                  <c:v>0.85422668272889735</c:v>
                </c:pt>
                <c:pt idx="1">
                  <c:v>0.74362276961553209</c:v>
                </c:pt>
                <c:pt idx="2">
                  <c:v>0.7853616527674655</c:v>
                </c:pt>
                <c:pt idx="3">
                  <c:v>1</c:v>
                </c:pt>
                <c:pt idx="4">
                  <c:v>0.93366769913792325</c:v>
                </c:pt>
                <c:pt idx="5">
                  <c:v>0.89282065777096609</c:v>
                </c:pt>
                <c:pt idx="6">
                  <c:v>0.8690942797856871</c:v>
                </c:pt>
              </c:numCache>
            </c:numRef>
          </c:val>
          <c:extLst>
            <c:ext xmlns:c16="http://schemas.microsoft.com/office/drawing/2014/chart" uri="{C3380CC4-5D6E-409C-BE32-E72D297353CC}">
              <c16:uniqueId val="{00000006-FAA1-444D-A5FA-803BC85D54B5}"/>
            </c:ext>
          </c:extLst>
        </c:ser>
        <c:dLbls>
          <c:showLegendKey val="0"/>
          <c:showVal val="0"/>
          <c:showCatName val="0"/>
          <c:showSerName val="0"/>
          <c:showPercent val="0"/>
          <c:showBubbleSize val="0"/>
        </c:dLbls>
        <c:gapWidth val="182"/>
        <c:axId val="1226662032"/>
        <c:axId val="1095866032"/>
      </c:barChart>
      <c:catAx>
        <c:axId val="1226662032"/>
        <c:scaling>
          <c:orientation val="minMax"/>
        </c:scaling>
        <c:delete val="0"/>
        <c:axPos val="b"/>
        <c:numFmt formatCode="General" sourceLinked="1"/>
        <c:majorTickMark val="none"/>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900">
                <a:latin typeface="Arial"/>
                <a:ea typeface="Arial"/>
                <a:cs typeface="Arial"/>
              </a:defRPr>
            </a:pPr>
            <a:endParaRPr lang="en-US"/>
          </a:p>
        </c:txPr>
        <c:crossAx val="1095866032"/>
        <c:crosses val="autoZero"/>
        <c:auto val="1"/>
        <c:lblAlgn val="ctr"/>
        <c:lblOffset val="100"/>
        <c:noMultiLvlLbl val="0"/>
      </c:catAx>
      <c:valAx>
        <c:axId val="1095866032"/>
        <c:scaling>
          <c:orientation val="minMax"/>
          <c:max val="1.2908754899372474"/>
          <c:min val="-0.16135943624215593"/>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26662032"/>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7F7F7F"/>
      </a:solidFill>
      <a:prstDash val="solid"/>
      <a:round/>
    </a:ln>
    <a:effectLst/>
    <a:extLst>
      <a:ext uri="{909E8E84-426E-40DD-AFC4-6F175D3DCCD1}">
        <a14:hiddenFill xmlns:a14="http://schemas.microsoft.com/office/drawing/2010/main">
          <a:solidFill>
            <a:sysClr val="window" lastClr="FFFFFF"/>
          </a:solidFill>
        </a14:hiddenFill>
      </a:ext>
    </a:ex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724137931034482E-2"/>
          <c:y val="0.21214171257303557"/>
          <c:w val="0.93103448275862066"/>
          <c:h val="0.52277779169783767"/>
        </c:manualLayout>
      </c:layout>
      <c:barChart>
        <c:barDir val="col"/>
        <c:grouping val="clustered"/>
        <c:varyColors val="0"/>
        <c:ser>
          <c:idx val="0"/>
          <c:order val="0"/>
          <c:tx>
            <c:v>Underwriting result</c:v>
          </c:tx>
          <c:invertIfNegative val="0"/>
          <c:dPt>
            <c:idx val="0"/>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7-9F4A-4B08-8B1B-E3D42A288CFB}"/>
              </c:ext>
            </c:extLst>
          </c:dPt>
          <c:dPt>
            <c:idx val="1"/>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8-9F4A-4B08-8B1B-E3D42A288CFB}"/>
              </c:ext>
            </c:extLst>
          </c:dPt>
          <c:dPt>
            <c:idx val="2"/>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9F4A-4B08-8B1B-E3D42A288CFB}"/>
              </c:ext>
            </c:extLst>
          </c:dPt>
          <c:dPt>
            <c:idx val="3"/>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A-9F4A-4B08-8B1B-E3D42A288CFB}"/>
              </c:ext>
            </c:extLst>
          </c:dPt>
          <c:dPt>
            <c:idx val="4"/>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9F4A-4B08-8B1B-E3D42A288CFB}"/>
              </c:ext>
            </c:extLst>
          </c:dPt>
          <c:dPt>
            <c:idx val="5"/>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C-9F4A-4B08-8B1B-E3D42A288CFB}"/>
              </c:ext>
            </c:extLst>
          </c:dPt>
          <c:dPt>
            <c:idx val="6"/>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9F4A-4B08-8B1B-E3D42A288CFB}"/>
              </c:ext>
            </c:extLst>
          </c:dPt>
          <c:dLbls>
            <c:dLbl>
              <c:idx val="0"/>
              <c:tx>
                <c:strRef>
                  <c:f>'C11A'!$B$57</c:f>
                  <c:strCache>
                    <c:ptCount val="1"/>
                    <c:pt idx="0">
                      <c:v>3294.0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{740E41F7-55DF-4ABE-86DF-35C2BE80E432}</c15:txfldGUID>
                      <c15:f>'C11A'!$B$57</c15:f>
                      <c15:dlblFieldTableCache>
                        <c:ptCount val="1"/>
                        <c:pt idx="0">
                          <c:v>3294.0</c:v>
                        </c:pt>
                      </c15:dlblFieldTableCache>
                    </c15:dlblFTEntry>
                  </c15:dlblFieldTable>
                  <c15:showDataLabelsRange val="0"/>
                </c:ext>
                <c:ext xmlns:c16="http://schemas.microsoft.com/office/drawing/2014/chart" uri="{C3380CC4-5D6E-409C-BE32-E72D297353CC}">
                  <c16:uniqueId val="{00000007-9F4A-4B08-8B1B-E3D42A288CFB}"/>
                </c:ext>
              </c:extLst>
            </c:dLbl>
            <c:dLbl>
              <c:idx val="1"/>
              <c:tx>
                <c:strRef>
                  <c:f>'C11A'!$C$57</c:f>
                  <c:strCache>
                    <c:ptCount val="1"/>
                    <c:pt idx="0">
                      <c:v>4829.0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{EA721BD5-C7C7-4D9B-B890-4704B51FB849}</c15:txfldGUID>
                      <c15:f>'C11A'!$C$57</c15:f>
                      <c15:dlblFieldTableCache>
                        <c:ptCount val="1"/>
                        <c:pt idx="0">
                          <c:v>4829.0</c:v>
                        </c:pt>
                      </c15:dlblFieldTableCache>
                    </c15:dlblFTEntry>
                  </c15:dlblFieldTable>
                  <c15:showDataLabelsRange val="0"/>
                </c:ext>
                <c:ext xmlns:c16="http://schemas.microsoft.com/office/drawing/2014/chart" uri="{C3380CC4-5D6E-409C-BE32-E72D297353CC}">
                  <c16:uniqueId val="{00000008-9F4A-4B08-8B1B-E3D42A288CFB}"/>
                </c:ext>
              </c:extLst>
            </c:dLbl>
            <c:dLbl>
              <c:idx val="2"/>
              <c:tx>
                <c:strRef>
                  <c:f>'C11A'!$D$57</c:f>
                  <c:strCache>
                    <c:ptCount val="1"/>
                    <c:pt idx="0">
                      <c:v>2085.0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{044EF13C-5773-4C84-8A07-7E8B907F955D}</c15:txfldGUID>
                      <c15:f>'C11A'!$D$57</c15:f>
                      <c15:dlblFieldTableCache>
                        <c:ptCount val="1"/>
                        <c:pt idx="0">
                          <c:v>2085.0</c:v>
                        </c:pt>
                      </c15:dlblFieldTableCache>
                    </c15:dlblFTEntry>
                  </c15:dlblFieldTable>
                  <c15:showDataLabelsRange val="0"/>
                </c:ext>
                <c:ext xmlns:c16="http://schemas.microsoft.com/office/drawing/2014/chart" uri="{C3380CC4-5D6E-409C-BE32-E72D297353CC}">
                  <c16:uniqueId val="{00000009-9F4A-4B08-8B1B-E3D42A288CFB}"/>
                </c:ext>
              </c:extLst>
            </c:dLbl>
            <c:dLbl>
              <c:idx val="3"/>
              <c:tx>
                <c:strRef>
                  <c:f>'C11A'!$E$57</c:f>
                  <c:strCache>
                    <c:ptCount val="1"/>
                    <c:pt idx="0">
                      <c:v>2068.0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{25030F33-567E-4E93-B853-F9B675124164}</c15:txfldGUID>
                      <c15:f>'C11A'!$E$57</c15:f>
                      <c15:dlblFieldTableCache>
                        <c:ptCount val="1"/>
                        <c:pt idx="0">
                          <c:v>2068.0</c:v>
                        </c:pt>
                      </c15:dlblFieldTableCache>
                    </c15:dlblFTEntry>
                  </c15:dlblFieldTable>
                  <c15:showDataLabelsRange val="0"/>
                </c:ext>
                <c:ext xmlns:c16="http://schemas.microsoft.com/office/drawing/2014/chart" uri="{C3380CC4-5D6E-409C-BE32-E72D297353CC}">
                  <c16:uniqueId val="{0000000A-9F4A-4B08-8B1B-E3D42A288CFB}"/>
                </c:ext>
              </c:extLst>
            </c:dLbl>
            <c:dLbl>
              <c:idx val="4"/>
              <c:tx>
                <c:strRef>
                  <c:f>'C11A'!$F$57</c:f>
                  <c:strCache>
                    <c:ptCount val="1"/>
                    <c:pt idx="0">
                      <c:v>2992.0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{CA19DD47-76D7-4204-B001-8F9F93A4985B}</c15:txfldGUID>
                      <c15:f>'C11A'!$F$57</c15:f>
                      <c15:dlblFieldTableCache>
                        <c:ptCount val="1"/>
                        <c:pt idx="0">
                          <c:v>2992.0</c:v>
                        </c:pt>
                      </c15:dlblFieldTableCache>
                    </c15:dlblFTEntry>
                  </c15:dlblFieldTable>
                  <c15:showDataLabelsRange val="0"/>
                </c:ext>
                <c:ext xmlns:c16="http://schemas.microsoft.com/office/drawing/2014/chart" uri="{C3380CC4-5D6E-409C-BE32-E72D297353CC}">
                  <c16:uniqueId val="{0000000B-9F4A-4B08-8B1B-E3D42A288CFB}"/>
                </c:ext>
              </c:extLst>
            </c:dLbl>
            <c:dLbl>
              <c:idx val="5"/>
              <c:tx>
                <c:strRef>
                  <c:f>'C11A'!$G$57</c:f>
                  <c:strCache>
                    <c:ptCount val="1"/>
                    <c:pt idx="0">
                      <c:v>7929.0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{243EAE4F-1F82-411E-B9AB-B016641563C1}</c15:txfldGUID>
                      <c15:f>'C11A'!$G$57</c15:f>
                      <c15:dlblFieldTableCache>
                        <c:ptCount val="1"/>
                        <c:pt idx="0">
                          <c:v>7929.0</c:v>
                        </c:pt>
                      </c15:dlblFieldTableCache>
                    </c15:dlblFTEntry>
                  </c15:dlblFieldTable>
                  <c15:showDataLabelsRange val="0"/>
                </c:ext>
                <c:ext xmlns:c16="http://schemas.microsoft.com/office/drawing/2014/chart" uri="{C3380CC4-5D6E-409C-BE32-E72D297353CC}">
                  <c16:uniqueId val="{0000000C-9F4A-4B08-8B1B-E3D42A288CFB}"/>
                </c:ext>
              </c:extLst>
            </c:dLbl>
            <c:dLbl>
              <c:idx val="6"/>
              <c:tx>
                <c:strRef>
                  <c:f>'C11A'!$H$57</c:f>
                  <c:strCache>
                    <c:ptCount val="1"/>
                    <c:pt idx="0">
                      <c:v>10289.0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{19F6BF26-6F88-4ECF-891E-FDD777CB9393}</c15:txfldGUID>
                      <c15:f>'C11A'!$H$57</c15:f>
                      <c15:dlblFieldTableCache>
                        <c:ptCount val="1"/>
                        <c:pt idx="0">
                          <c:v>10289.0</c:v>
                        </c:pt>
                      </c15:dlblFieldTableCache>
                    </c15:dlblFTEntry>
                  </c15:dlblFieldTable>
                  <c15:showDataLabelsRange val="0"/>
                </c:ext>
                <c:ext xmlns:c16="http://schemas.microsoft.com/office/drawing/2014/chart" uri="{C3380CC4-5D6E-409C-BE32-E72D297353CC}">
                  <c16:uniqueId val="{0000000D-9F4A-4B08-8B1B-E3D42A288CFB}"/>
                </c:ext>
              </c:extLst>
            </c:dLbl>
            <c:numFmt formatCode="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'C11A'!$B$12:$H$12</c:f>
              <c:strCache>
                <c:ptCount val="7"/>
                <c:pt idx="0">
                  <c:v>2019</c:v>
                </c:pt>
                <c:pt idx="6">
                  <c:v>2025</c:v>
                </c:pt>
              </c:strCache>
            </c:strRef>
          </c:cat>
          <c:val>
            <c:numRef>
              <c:f>'C11A'!$B$35:$H$35</c:f>
              <c:numCache>
                <c:formatCode>General</c:formatCode>
                <c:ptCount val="7"/>
                <c:pt idx="0">
                  <c:v>4.0337492805623244E-2</c:v>
                </c:pt>
                <c:pt idx="1">
                  <c:v>5.9134715470053022E-2</c:v>
                </c:pt>
                <c:pt idx="2">
                  <c:v>2.5532383879697775E-2</c:v>
                </c:pt>
                <c:pt idx="3">
                  <c:v>2.5324206169407674E-2</c:v>
                </c:pt>
                <c:pt idx="4">
                  <c:v>3.6639277011057909E-2</c:v>
                </c:pt>
                <c:pt idx="5">
                  <c:v>9.7096533228836282E-2</c:v>
                </c:pt>
                <c:pt idx="6">
                  <c:v>0.12599649771616805</c:v>
                </c:pt>
              </c:numCache>
            </c:numRef>
          </c:val>
          <c:extLst>
            <c:ext xmlns:c16="http://schemas.microsoft.com/office/drawing/2014/chart" uri="{C3380CC4-5D6E-409C-BE32-E72D297353CC}">
              <c16:uniqueId val="{00000006-9F4A-4B08-8B1B-E3D42A288CFB}"/>
            </c:ext>
          </c:extLst>
        </c:ser>
        <c:dLbls>
          <c:showLegendKey val="0"/>
          <c:showVal val="0"/>
          <c:showCatName val="0"/>
          <c:showSerName val="0"/>
          <c:showPercent val="0"/>
          <c:showBubbleSize val="0"/>
        </c:dLbls>
        <c:gapWidth val="45"/>
        <c:axId val="1613695648"/>
        <c:axId val="1095881392"/>
      </c:barChart>
      <c:catAx>
        <c:axId val="1613695648"/>
        <c:scaling>
          <c:orientation val="minMax"/>
        </c:scaling>
        <c:delete val="0"/>
        <c:axPos val="b"/>
        <c:numFmt formatCode="General" sourceLinked="1"/>
        <c:majorTickMark val="none"/>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900">
                <a:latin typeface="Arial"/>
                <a:ea typeface="Arial"/>
                <a:cs typeface="Arial"/>
              </a:defRPr>
            </a:pPr>
            <a:endParaRPr lang="en-US"/>
          </a:p>
        </c:txPr>
        <c:crossAx val="1095881392"/>
        <c:crosses val="autoZero"/>
        <c:auto val="1"/>
        <c:lblAlgn val="ctr"/>
        <c:lblOffset val="100"/>
        <c:noMultiLvlLbl val="0"/>
      </c:catAx>
      <c:valAx>
        <c:axId val="1095881392"/>
        <c:scaling>
          <c:orientation val="minMax"/>
          <c:max val="0.1436426201001702"/>
          <c:min val="-1.7664491005498342E-2"/>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3695648"/>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7F7F7F"/>
      </a:solidFill>
      <a:prstDash val="solid"/>
      <a:round/>
    </a:ln>
    <a:effectLst/>
    <a:extLst>
      <a:ext uri="{909E8E84-426E-40DD-AFC4-6F175D3DCCD1}">
        <a14:hiddenFill xmlns:a14="http://schemas.microsoft.com/office/drawing/2010/main">
          <a:solidFill>
            <a:sysClr val="window" lastClr="FFFFFF"/>
          </a:solidFill>
        </a14:hiddenFill>
      </a:ext>
    </a:ex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724137931034482E-2"/>
          <c:y val="4.533462010901472E-2"/>
          <c:w val="0.93103448275862066"/>
          <c:h val="0.89212056000239681"/>
        </c:manualLayout>
      </c:layout>
      <c:barChart>
        <c:barDir val="col"/>
        <c:grouping val="clustered"/>
        <c:varyColors val="0"/>
        <c:ser>
          <c:idx val="0"/>
          <c:order val="0"/>
          <c:tx>
            <c:v>Net premiums earned</c:v>
          </c:tx>
          <c:invertIfNegative val="0"/>
          <c:dPt>
            <c:idx val="0"/>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7-1AAB-4E44-9FBC-6ABE62C0D102}"/>
              </c:ext>
            </c:extLst>
          </c:dPt>
          <c:dPt>
            <c:idx val="1"/>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8-1AAB-4E44-9FBC-6ABE62C0D102}"/>
              </c:ext>
            </c:extLst>
          </c:dPt>
          <c:dPt>
            <c:idx val="2"/>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1AAB-4E44-9FBC-6ABE62C0D102}"/>
              </c:ext>
            </c:extLst>
          </c:dPt>
          <c:dPt>
            <c:idx val="3"/>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A-1AAB-4E44-9FBC-6ABE62C0D102}"/>
              </c:ext>
            </c:extLst>
          </c:dPt>
          <c:dPt>
            <c:idx val="4"/>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1AAB-4E44-9FBC-6ABE62C0D102}"/>
              </c:ext>
            </c:extLst>
          </c:dPt>
          <c:dPt>
            <c:idx val="5"/>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C-1AAB-4E44-9FBC-6ABE62C0D102}"/>
              </c:ext>
            </c:extLst>
          </c:dPt>
          <c:dPt>
            <c:idx val="6"/>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1AAB-4E44-9FBC-6ABE62C0D102}"/>
              </c:ext>
            </c:extLst>
          </c:dPt>
          <c:dLbls>
            <c:dLbl>
              <c:idx val="0"/>
              <c:tx>
                <c:strRef>
                  <c:f>'C11A'!$B$58</c:f>
                  <c:strCache>
                    <c:ptCount val="1"/>
                    <c:pt idx="0">
                      <c:v>36192.0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{E2AFB873-4060-48D1-A50A-6735CB3496A1}</c15:txfldGUID>
                      <c15:f>'C11A'!$B$58</c15:f>
                      <c15:dlblFieldTableCache>
                        <c:ptCount val="1"/>
                        <c:pt idx="0">
                          <c:v>36192.0</c:v>
                        </c:pt>
                      </c15:dlblFieldTableCache>
                    </c15:dlblFTEntry>
                  </c15:dlblFieldTable>
                  <c15:showDataLabelsRange val="0"/>
                </c:ext>
                <c:ext xmlns:c16="http://schemas.microsoft.com/office/drawing/2014/chart" uri="{C3380CC4-5D6E-409C-BE32-E72D297353CC}">
                  <c16:uniqueId val="{00000007-1AAB-4E44-9FBC-6ABE62C0D102}"/>
                </c:ext>
              </c:extLst>
            </c:dLbl>
            <c:dLbl>
              <c:idx val="1"/>
              <c:tx>
                <c:strRef>
                  <c:f>'C11A'!$C$58</c:f>
                  <c:strCache>
                    <c:ptCount val="1"/>
                    <c:pt idx="0">
                      <c:v>39262.0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{FD35B1FE-F2C9-475A-8C3B-207A229456FE}</c15:txfldGUID>
                      <c15:f>'C11A'!$C$58</c15:f>
                      <c15:dlblFieldTableCache>
                        <c:ptCount val="1"/>
                        <c:pt idx="0">
                          <c:v>39262.0</c:v>
                        </c:pt>
                      </c15:dlblFieldTableCache>
                    </c15:dlblFTEntry>
                  </c15:dlblFieldTable>
                  <c15:showDataLabelsRange val="0"/>
                </c:ext>
                <c:ext xmlns:c16="http://schemas.microsoft.com/office/drawing/2014/chart" uri="{C3380CC4-5D6E-409C-BE32-E72D297353CC}">
                  <c16:uniqueId val="{00000008-1AAB-4E44-9FBC-6ABE62C0D102}"/>
                </c:ext>
              </c:extLst>
            </c:dLbl>
            <c:dLbl>
              <c:idx val="2"/>
              <c:tx>
                <c:strRef>
                  <c:f>'C11A'!$D$58</c:f>
                  <c:strCache>
                    <c:ptCount val="1"/>
                    <c:pt idx="0">
                      <c:v>44369.0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{22615D07-308F-4E87-8AC2-76574B652069}</c15:txfldGUID>
                      <c15:f>'C11A'!$D$58</c15:f>
                      <c15:dlblFieldTableCache>
                        <c:ptCount val="1"/>
                        <c:pt idx="0">
                          <c:v>44369.0</c:v>
                        </c:pt>
                      </c15:dlblFieldTableCache>
                    </c15:dlblFTEntry>
                  </c15:dlblFieldTable>
                  <c15:showDataLabelsRange val="0"/>
                </c:ext>
                <c:ext xmlns:c16="http://schemas.microsoft.com/office/drawing/2014/chart" uri="{C3380CC4-5D6E-409C-BE32-E72D297353CC}">
                  <c16:uniqueId val="{00000009-1AAB-4E44-9FBC-6ABE62C0D102}"/>
                </c:ext>
              </c:extLst>
            </c:dLbl>
            <c:dLbl>
              <c:idx val="3"/>
              <c:tx>
                <c:strRef>
                  <c:f>'C11A'!$E$58</c:f>
                  <c:strCache>
                    <c:ptCount val="1"/>
                    <c:pt idx="0">
                      <c:v>49241.0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{8824A509-5182-4972-ABF9-9DAFD089422A}</c15:txfldGUID>
                      <c15:f>'C11A'!$E$58</c15:f>
                      <c15:dlblFieldTableCache>
                        <c:ptCount val="1"/>
                        <c:pt idx="0">
                          <c:v>49241.0</c:v>
                        </c:pt>
                      </c15:dlblFieldTableCache>
                    </c15:dlblFTEntry>
                  </c15:dlblFieldTable>
                  <c15:showDataLabelsRange val="0"/>
                </c:ext>
                <c:ext xmlns:c16="http://schemas.microsoft.com/office/drawing/2014/chart" uri="{C3380CC4-5D6E-409C-BE32-E72D297353CC}">
                  <c16:uniqueId val="{0000000A-1AAB-4E44-9FBC-6ABE62C0D102}"/>
                </c:ext>
              </c:extLst>
            </c:dLbl>
            <c:dLbl>
              <c:idx val="4"/>
              <c:tx>
                <c:strRef>
                  <c:f>'C11A'!$F$58</c:f>
                  <c:strCache>
                    <c:ptCount val="1"/>
                    <c:pt idx="0">
                      <c:v>58664.0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{61D5ED7D-3B71-428A-89F6-718A0E73A722}</c15:txfldGUID>
                      <c15:f>'C11A'!$F$58</c15:f>
                      <c15:dlblFieldTableCache>
                        <c:ptCount val="1"/>
                        <c:pt idx="0">
                          <c:v>58664.0</c:v>
                        </c:pt>
                      </c15:dlblFieldTableCache>
                    </c15:dlblFTEntry>
                  </c15:dlblFieldTable>
                  <c15:showDataLabelsRange val="0"/>
                </c:ext>
                <c:ext xmlns:c16="http://schemas.microsoft.com/office/drawing/2014/chart" uri="{C3380CC4-5D6E-409C-BE32-E72D297353CC}">
                  <c16:uniqueId val="{0000000B-1AAB-4E44-9FBC-6ABE62C0D102}"/>
                </c:ext>
              </c:extLst>
            </c:dLbl>
            <c:dLbl>
              <c:idx val="5"/>
              <c:tx>
                <c:strRef>
                  <c:f>'C11A'!$G$58</c:f>
                  <c:strCache>
                    <c:ptCount val="1"/>
                    <c:pt idx="0">
                      <c:v>70799.0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{B60D39BA-12F3-4C10-A698-720ED70B9172}</c15:txfldGUID>
                      <c15:f>'C11A'!$G$58</c15:f>
                      <c15:dlblFieldTableCache>
                        <c:ptCount val="1"/>
                        <c:pt idx="0">
                          <c:v>70799.0</c:v>
                        </c:pt>
                      </c15:dlblFieldTableCache>
                    </c15:dlblFTEntry>
                  </c15:dlblFieldTable>
                  <c15:showDataLabelsRange val="0"/>
                </c:ext>
                <c:ext xmlns:c16="http://schemas.microsoft.com/office/drawing/2014/chart" uri="{C3380CC4-5D6E-409C-BE32-E72D297353CC}">
                  <c16:uniqueId val="{0000000C-1AAB-4E44-9FBC-6ABE62C0D102}"/>
                </c:ext>
              </c:extLst>
            </c:dLbl>
            <c:dLbl>
              <c:idx val="6"/>
              <c:tx>
                <c:strRef>
                  <c:f>'C11A'!$H$58</c:f>
                  <c:strCache>
                    <c:ptCount val="1"/>
                    <c:pt idx="0">
                      <c:v>81661.0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{43373E26-5CAD-4C00-9A36-D4FFE7BA7784}</c15:txfldGUID>
                      <c15:f>'C11A'!$H$58</c15:f>
                      <c15:dlblFieldTableCache>
                        <c:ptCount val="1"/>
                        <c:pt idx="0">
                          <c:v>81661.0</c:v>
                        </c:pt>
                      </c15:dlblFieldTableCache>
                    </c15:dlblFTEntry>
                  </c15:dlblFieldTable>
                  <c15:showDataLabelsRange val="0"/>
                </c:ext>
                <c:ext xmlns:c16="http://schemas.microsoft.com/office/drawing/2014/chart" uri="{C3380CC4-5D6E-409C-BE32-E72D297353CC}">
                  <c16:uniqueId val="{0000000D-1AAB-4E44-9FBC-6ABE62C0D102}"/>
                </c:ext>
              </c:extLst>
            </c:dLbl>
            <c:numFmt formatCode="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'C11A'!$B$12:$H$12</c:f>
              <c:strCache>
                <c:ptCount val="7"/>
                <c:pt idx="0">
                  <c:v>2019</c:v>
                </c:pt>
                <c:pt idx="6">
                  <c:v>2025</c:v>
                </c:pt>
              </c:strCache>
            </c:strRef>
          </c:cat>
          <c:val>
            <c:numRef>
              <c:f>'C11A'!$B$36:$H$36</c:f>
              <c:numCache>
                <c:formatCode>General</c:formatCode>
                <c:ptCount val="7"/>
                <c:pt idx="0">
                  <c:v>0.44319809945996252</c:v>
                </c:pt>
                <c:pt idx="1">
                  <c:v>0.48079254478882211</c:v>
                </c:pt>
                <c:pt idx="2">
                  <c:v>0.5433315781095015</c:v>
                </c:pt>
                <c:pt idx="3">
                  <c:v>0.60299286072911185</c:v>
                </c:pt>
                <c:pt idx="4">
                  <c:v>0.71838454096814885</c:v>
                </c:pt>
                <c:pt idx="5">
                  <c:v>0.86698668887228914</c:v>
                </c:pt>
                <c:pt idx="6">
                  <c:v>1</c:v>
                </c:pt>
              </c:numCache>
            </c:numRef>
          </c:val>
          <c:extLst>
            <c:ext xmlns:c16="http://schemas.microsoft.com/office/drawing/2014/chart" uri="{C3380CC4-5D6E-409C-BE32-E72D297353CC}">
              <c16:uniqueId val="{00000006-1AAB-4E44-9FBC-6ABE62C0D102}"/>
            </c:ext>
          </c:extLst>
        </c:ser>
        <c:dLbls>
          <c:showLegendKey val="0"/>
          <c:showVal val="0"/>
          <c:showCatName val="0"/>
          <c:showSerName val="0"/>
          <c:showPercent val="0"/>
          <c:showBubbleSize val="0"/>
        </c:dLbls>
        <c:gapWidth val="45"/>
        <c:axId val="1613704928"/>
        <c:axId val="1095897712"/>
      </c:barChart>
      <c:catAx>
        <c:axId val="1613704928"/>
        <c:scaling>
          <c:orientation val="minMax"/>
        </c:scaling>
        <c:delete val="0"/>
        <c:axPos val="b"/>
        <c:numFmt formatCode="General" sourceLinked="1"/>
        <c:majorTickMark val="none"/>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900">
                <a:latin typeface="Arial"/>
                <a:ea typeface="Arial"/>
                <a:cs typeface="Arial"/>
              </a:defRPr>
            </a:pPr>
            <a:endParaRPr lang="en-US"/>
          </a:p>
        </c:txPr>
        <c:crossAx val="1095897712"/>
        <c:crosses val="autoZero"/>
        <c:auto val="1"/>
        <c:lblAlgn val="ctr"/>
        <c:lblOffset val="100"/>
        <c:noMultiLvlLbl val="0"/>
      </c:catAx>
      <c:valAx>
        <c:axId val="1095897712"/>
        <c:scaling>
          <c:orientation val="minMax"/>
          <c:max val="1.1400178787915896"/>
          <c:min val="-0.14003012453925373"/>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3704928"/>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7F7F7F"/>
      </a:solidFill>
      <a:prstDash val="solid"/>
      <a:round/>
    </a:ln>
    <a:effectLst/>
    <a:extLst>
      <a:ext uri="{909E8E84-426E-40DD-AFC4-6F175D3DCCD1}">
        <a14:hiddenFill xmlns:a14="http://schemas.microsoft.com/office/drawing/2010/main">
          <a:solidFill>
            <a:sysClr val="window" lastClr="FFFFFF"/>
          </a:solidFill>
        </a14:hiddenFill>
      </a:ext>
    </a:ex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724137931034482E-2"/>
          <c:y val="0.1025072477178733"/>
          <c:w val="0.93103448275862066"/>
          <c:h val="0.74683851908736265"/>
        </c:manualLayout>
      </c:layout>
      <c:barChart>
        <c:barDir val="col"/>
        <c:grouping val="clustered"/>
        <c:varyColors val="0"/>
        <c:ser>
          <c:idx val="0"/>
          <c:order val="0"/>
          <c:tx>
            <c:v>Shareholders' equity</c:v>
          </c:tx>
          <c:invertIfNegative val="0"/>
          <c:dPt>
            <c:idx val="0"/>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7-1563-48D4-BE75-4A05EB514A4C}"/>
              </c:ext>
            </c:extLst>
          </c:dPt>
          <c:dPt>
            <c:idx val="1"/>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8-1563-48D4-BE75-4A05EB514A4C}"/>
              </c:ext>
            </c:extLst>
          </c:dPt>
          <c:dPt>
            <c:idx val="2"/>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1563-48D4-BE75-4A05EB514A4C}"/>
              </c:ext>
            </c:extLst>
          </c:dPt>
          <c:dPt>
            <c:idx val="3"/>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A-1563-48D4-BE75-4A05EB514A4C}"/>
              </c:ext>
            </c:extLst>
          </c:dPt>
          <c:dPt>
            <c:idx val="4"/>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1563-48D4-BE75-4A05EB514A4C}"/>
              </c:ext>
            </c:extLst>
          </c:dPt>
          <c:dPt>
            <c:idx val="5"/>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C-1563-48D4-BE75-4A05EB514A4C}"/>
              </c:ext>
            </c:extLst>
          </c:dPt>
          <c:dPt>
            <c:idx val="6"/>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1563-48D4-BE75-4A05EB514A4C}"/>
              </c:ext>
            </c:extLst>
          </c:dPt>
          <c:dLbls>
            <c:dLbl>
              <c:idx val="0"/>
              <c:tx>
                <c:strRef>
                  <c:f>'C11A'!$B$59</c:f>
                  <c:strCache>
                    <c:ptCount val="1"/>
                    <c:pt idx="0">
                      <c:v>13673.0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{D432C0D6-33F1-4A0D-8120-E0FB535F21A8}</c15:txfldGUID>
                      <c15:f>'C11A'!$B$59</c15:f>
                      <c15:dlblFieldTableCache>
                        <c:ptCount val="1"/>
                        <c:pt idx="0">
                          <c:v>13673.0</c:v>
                        </c:pt>
                      </c15:dlblFieldTableCache>
                    </c15:dlblFTEntry>
                  </c15:dlblFieldTable>
                  <c15:showDataLabelsRange val="0"/>
                </c:ext>
                <c:ext xmlns:c16="http://schemas.microsoft.com/office/drawing/2014/chart" uri="{C3380CC4-5D6E-409C-BE32-E72D297353CC}">
                  <c16:uniqueId val="{00000007-1563-48D4-BE75-4A05EB514A4C}"/>
                </c:ext>
              </c:extLst>
            </c:dLbl>
            <c:dLbl>
              <c:idx val="1"/>
              <c:tx>
                <c:strRef>
                  <c:f>'C11A'!$C$59</c:f>
                  <c:strCache>
                    <c:ptCount val="1"/>
                    <c:pt idx="0">
                      <c:v>17039.0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{C9EBF3B9-FED7-42ED-B5A0-DB6395DD6F40}</c15:txfldGUID>
                      <c15:f>'C11A'!$C$59</c15:f>
                      <c15:dlblFieldTableCache>
                        <c:ptCount val="1"/>
                        <c:pt idx="0">
                          <c:v>17039.0</c:v>
                        </c:pt>
                      </c15:dlblFieldTableCache>
                    </c15:dlblFTEntry>
                  </c15:dlblFieldTable>
                  <c15:showDataLabelsRange val="0"/>
                </c:ext>
                <c:ext xmlns:c16="http://schemas.microsoft.com/office/drawing/2014/chart" uri="{C3380CC4-5D6E-409C-BE32-E72D297353CC}">
                  <c16:uniqueId val="{00000008-1563-48D4-BE75-4A05EB514A4C}"/>
                </c:ext>
              </c:extLst>
            </c:dLbl>
            <c:dLbl>
              <c:idx val="2"/>
              <c:tx>
                <c:strRef>
                  <c:f>'C11A'!$D$59</c:f>
                  <c:strCache>
                    <c:ptCount val="1"/>
                    <c:pt idx="0">
                      <c:v>18232.0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{BA4BBEFF-25A7-4688-950E-E31B8E9152F6}</c15:txfldGUID>
                      <c15:f>'C11A'!$D$59</c15:f>
                      <c15:dlblFieldTableCache>
                        <c:ptCount val="1"/>
                        <c:pt idx="0">
                          <c:v>18232.0</c:v>
                        </c:pt>
                      </c15:dlblFieldTableCache>
                    </c15:dlblFTEntry>
                  </c15:dlblFieldTable>
                  <c15:showDataLabelsRange val="0"/>
                </c:ext>
                <c:ext xmlns:c16="http://schemas.microsoft.com/office/drawing/2014/chart" uri="{C3380CC4-5D6E-409C-BE32-E72D297353CC}">
                  <c16:uniqueId val="{00000009-1563-48D4-BE75-4A05EB514A4C}"/>
                </c:ext>
              </c:extLst>
            </c:dLbl>
            <c:dLbl>
              <c:idx val="3"/>
              <c:tx>
                <c:strRef>
                  <c:f>'C11A'!$E$59</c:f>
                  <c:strCache>
                    <c:ptCount val="1"/>
                    <c:pt idx="0">
                      <c:v>15891.0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{5F372260-5431-4295-9EEA-BC7A4030CEF1}</c15:txfldGUID>
                      <c15:f>'C11A'!$E$59</c15:f>
                      <c15:dlblFieldTableCache>
                        <c:ptCount val="1"/>
                        <c:pt idx="0">
                          <c:v>15891.0</c:v>
                        </c:pt>
                      </c15:dlblFieldTableCache>
                    </c15:dlblFTEntry>
                  </c15:dlblFieldTable>
                  <c15:showDataLabelsRange val="0"/>
                </c:ext>
                <c:ext xmlns:c16="http://schemas.microsoft.com/office/drawing/2014/chart" uri="{C3380CC4-5D6E-409C-BE32-E72D297353CC}">
                  <c16:uniqueId val="{0000000A-1563-48D4-BE75-4A05EB514A4C}"/>
                </c:ext>
              </c:extLst>
            </c:dLbl>
            <c:dLbl>
              <c:idx val="4"/>
              <c:tx>
                <c:strRef>
                  <c:f>'C11A'!$F$59</c:f>
                  <c:strCache>
                    <c:ptCount val="1"/>
                    <c:pt idx="0">
                      <c:v>20277.0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{3E56F1A5-DA20-4C94-90D6-9E766C87D682}</c15:txfldGUID>
                      <c15:f>'C11A'!$F$59</c15:f>
                      <c15:dlblFieldTableCache>
                        <c:ptCount val="1"/>
                        <c:pt idx="0">
                          <c:v>20277.0</c:v>
                        </c:pt>
                      </c15:dlblFieldTableCache>
                    </c15:dlblFTEntry>
                  </c15:dlblFieldTable>
                  <c15:showDataLabelsRange val="0"/>
                </c:ext>
                <c:ext xmlns:c16="http://schemas.microsoft.com/office/drawing/2014/chart" uri="{C3380CC4-5D6E-409C-BE32-E72D297353CC}">
                  <c16:uniqueId val="{0000000B-1563-48D4-BE75-4A05EB514A4C}"/>
                </c:ext>
              </c:extLst>
            </c:dLbl>
            <c:dLbl>
              <c:idx val="5"/>
              <c:tx>
                <c:strRef>
                  <c:f>'C11A'!$G$59</c:f>
                  <c:strCache>
                    <c:ptCount val="1"/>
                    <c:pt idx="0">
                      <c:v>25591.0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{CDFF9082-5270-46B1-8049-14435D7224ED}</c15:txfldGUID>
                      <c15:f>'C11A'!$G$59</c15:f>
                      <c15:dlblFieldTableCache>
                        <c:ptCount val="1"/>
                        <c:pt idx="0">
                          <c:v>25591.0</c:v>
                        </c:pt>
                      </c15:dlblFieldTableCache>
                    </c15:dlblFTEntry>
                  </c15:dlblFieldTable>
                  <c15:showDataLabelsRange val="0"/>
                </c:ext>
                <c:ext xmlns:c16="http://schemas.microsoft.com/office/drawing/2014/chart" uri="{C3380CC4-5D6E-409C-BE32-E72D297353CC}">
                  <c16:uniqueId val="{0000000C-1563-48D4-BE75-4A05EB514A4C}"/>
                </c:ext>
              </c:extLst>
            </c:dLbl>
            <c:dLbl>
              <c:idx val="6"/>
              <c:tx>
                <c:strRef>
                  <c:f>'C11A'!$H$59</c:f>
                  <c:strCache>
                    <c:ptCount val="1"/>
                    <c:pt idx="0">
                      <c:v>30323.0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{2D5FFC2B-3107-4ABE-985A-2D694CF45425}</c15:txfldGUID>
                      <c15:f>'C11A'!$H$59</c15:f>
                      <c15:dlblFieldTableCache>
                        <c:ptCount val="1"/>
                        <c:pt idx="0">
                          <c:v>30323.0</c:v>
                        </c:pt>
                      </c15:dlblFieldTableCache>
                    </c15:dlblFTEntry>
                  </c15:dlblFieldTable>
                  <c15:showDataLabelsRange val="0"/>
                </c:ext>
                <c:ext xmlns:c16="http://schemas.microsoft.com/office/drawing/2014/chart" uri="{C3380CC4-5D6E-409C-BE32-E72D297353CC}">
                  <c16:uniqueId val="{0000000D-1563-48D4-BE75-4A05EB514A4C}"/>
                </c:ext>
              </c:extLst>
            </c:dLbl>
            <c:numFmt formatCode="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'C11A'!$B$12:$H$12</c:f>
              <c:strCache>
                <c:ptCount val="7"/>
                <c:pt idx="0">
                  <c:v>2019</c:v>
                </c:pt>
                <c:pt idx="6">
                  <c:v>2025</c:v>
                </c:pt>
              </c:strCache>
            </c:strRef>
          </c:cat>
          <c:val>
            <c:numRef>
              <c:f>'C11A'!$B$37:$H$37</c:f>
              <c:numCache>
                <c:formatCode>General</c:formatCode>
                <c:ptCount val="7"/>
                <c:pt idx="0">
                  <c:v>0.16743610781156243</c:v>
                </c:pt>
                <c:pt idx="1">
                  <c:v>0.20865529444900258</c:v>
                </c:pt>
                <c:pt idx="2">
                  <c:v>0.22326447141230207</c:v>
                </c:pt>
                <c:pt idx="3">
                  <c:v>0.19459717613058866</c:v>
                </c:pt>
                <c:pt idx="4">
                  <c:v>0.24830702538543492</c:v>
                </c:pt>
                <c:pt idx="5">
                  <c:v>0.31338092847258792</c:v>
                </c:pt>
                <c:pt idx="6">
                  <c:v>0.37132780641922092</c:v>
                </c:pt>
              </c:numCache>
            </c:numRef>
          </c:val>
          <c:extLst>
            <c:ext xmlns:c16="http://schemas.microsoft.com/office/drawing/2014/chart" uri="{C3380CC4-5D6E-409C-BE32-E72D297353CC}">
              <c16:uniqueId val="{00000006-1563-48D4-BE75-4A05EB514A4C}"/>
            </c:ext>
          </c:extLst>
        </c:ser>
        <c:dLbls>
          <c:showLegendKey val="0"/>
          <c:showVal val="0"/>
          <c:showCatName val="0"/>
          <c:showSerName val="0"/>
          <c:showPercent val="0"/>
          <c:showBubbleSize val="0"/>
        </c:dLbls>
        <c:gapWidth val="45"/>
        <c:axId val="1613694256"/>
        <c:axId val="1095926992"/>
      </c:barChart>
      <c:catAx>
        <c:axId val="1613694256"/>
        <c:scaling>
          <c:orientation val="minMax"/>
        </c:scaling>
        <c:delete val="0"/>
        <c:axPos val="b"/>
        <c:numFmt formatCode="General" sourceLinked="1"/>
        <c:majorTickMark val="none"/>
        <c:minorTickMark val="none"/>
        <c:tickLblPos val="nextTo"/>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txPr>
          <a:bodyPr/>
          <a:lstStyle/>
          <a:p>
            <a:pPr>
              <a:defRPr sz="900">
                <a:latin typeface="Arial"/>
                <a:ea typeface="Arial"/>
                <a:cs typeface="Arial"/>
              </a:defRPr>
            </a:pPr>
            <a:endParaRPr lang="en-US"/>
          </a:p>
        </c:txPr>
        <c:crossAx val="1095926992"/>
        <c:crosses val="autoZero"/>
        <c:auto val="1"/>
        <c:lblAlgn val="ctr"/>
        <c:lblOffset val="100"/>
        <c:noMultiLvlLbl val="0"/>
      </c:catAx>
      <c:valAx>
        <c:axId val="1095926992"/>
        <c:scaling>
          <c:orientation val="minMax"/>
          <c:max val="0.42333549674875398"/>
          <c:min val="-5.2013813203365129E-2"/>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3694256"/>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7F7F7F"/>
      </a:solidFill>
      <a:prstDash val="solid"/>
      <a:round/>
    </a:ln>
    <a:effectLst/>
    <a:extLst>
      <a:ext uri="{909E8E84-426E-40DD-AFC4-6F175D3DCCD1}">
        <a14:hiddenFill xmlns:a14="http://schemas.microsoft.com/office/drawing/2010/main">
          <a:solidFill>
            <a:sysClr val="window" lastClr="FFFFFF"/>
          </a:solidFill>
        </a14:hiddenFill>
      </a:ext>
    </a:ex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8499999999999998"/>
          <c:y val="5.9701492537313432E-2"/>
          <c:w val="0.7"/>
          <c:h val="0.92039800995024879"/>
        </c:manualLayout>
      </c:layout>
      <c:barChart>
        <c:barDir val="bar"/>
        <c:grouping val="stacked"/>
        <c:varyColors val="0"/>
        <c:ser>
          <c:idx val="0"/>
          <c:order val="0"/>
          <c:tx>
            <c:v>PY base</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cat>
            <c:strRef>
              <c:f>'C12A'!$A$13:$A$32</c:f>
              <c:strCache>
                <c:ptCount val="10"/>
                <c:pt idx="0">
                  <c:v>Premiums earned</c:v>
                </c:pt>
                <c:pt idx="1">
                  <c:v>Investment income</c:v>
                </c:pt>
                <c:pt idx="2">
                  <c:v>Other revenues</c:v>
                </c:pt>
                <c:pt idx="3">
                  <c:v>Total revenues</c:v>
                </c:pt>
                <c:pt idx="4">
                  <c:v>Losses and LAE</c:v>
                </c:pt>
                <c:pt idx="5">
                  <c:v>Acquisition costs</c:v>
                </c:pt>
                <c:pt idx="6">
                  <c:v>Other expenses</c:v>
                </c:pt>
                <c:pt idx="7">
                  <c:v>Pretax income</c:v>
                </c:pt>
                <c:pt idx="8">
                  <c:v>Income taxes</c:v>
                </c:pt>
                <c:pt idx="9">
                  <c:v>Net income</c:v>
                </c:pt>
              </c:strCache>
            </c:strRef>
          </c:cat>
          <c:val>
            <c:numRef>
              <c:f>'C12A'!$Z$13:$Z$32</c:f>
              <c:numCache>
                <c:formatCode>0.000000</c:formatCode>
                <c:ptCount val="20"/>
                <c:pt idx="0">
                  <c:v>0</c:v>
                </c:pt>
                <c:pt idx="1">
                  <c:v>0.7928158559951054</c:v>
                </c:pt>
                <c:pt idx="2">
                  <c:v>0.7987731246679225</c:v>
                </c:pt>
                <c:pt idx="3">
                  <c:v>0</c:v>
                </c:pt>
                <c:pt idx="4">
                  <c:v>0.18496514192790095</c:v>
                </c:pt>
                <c:pt idx="5">
                  <c:v>0.12189859762675297</c:v>
                </c:pt>
                <c:pt idx="6">
                  <c:v>1.4844869503614614E-2</c:v>
                </c:pt>
                <c:pt idx="7">
                  <c:v>0</c:v>
                </c:pt>
                <c:pt idx="8">
                  <c:v>1.1624724275064805E-2</c:v>
                </c:pt>
                <c:pt idx="9">
                  <c:v>0</c:v>
                </c:pt>
              </c:numCache>
            </c:numRef>
          </c:val>
          <c:extLst>
            <c:ext xmlns:c16="http://schemas.microsoft.com/office/drawing/2014/chart" uri="{C3380CC4-5D6E-409C-BE32-E72D297353CC}">
              <c16:uniqueId val="{00000007-4F36-40FA-B976-61B265D1A9CA}"/>
            </c:ext>
          </c:extLst>
        </c:ser>
        <c:ser>
          <c:idx val="1"/>
          <c:order val="1"/>
          <c:tx>
            <c:v>PY adds</c:v>
          </c:tx>
          <c:spPr>
            <a:solidFill>
              <a:srgbClr val="7F7F7F"/>
            </a:solidFill>
            <a:ln>
              <a:noFill/>
            </a:ln>
            <a:effectLst/>
            <a:extLst>
              <a:ext uri="{91240B29-F687-4F45-9708-019B960494DF}">
                <a14:hiddenLine xmlns:a14="http://schemas.microsoft.com/office/drawing/2010/main">
                  <a:noFill/>
                </a14:hiddenLine>
              </a:ext>
            </a:extLst>
          </c:spPr>
          <c:invertIfNegative val="0"/>
          <c:dLbls>
            <c:dLbl>
              <c:idx val="0"/>
              <c:tx>
                <c:strRef>
                  <c:f>'C12A'!$AB$13</c:f>
                  <c:strCache>
                    <c:ptCount val="1"/>
                    <c:pt idx="0">
                      <c:v>49,241</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{53FD05CB-ED79-45D8-85DD-177C46F32A1E}</c15:txfldGUID>
                      <c15:f>'C12A'!$AB$13</c15:f>
                      <c15:dlblFieldTableCache>
                        <c:ptCount val="1"/>
                        <c:pt idx="0">
                          <c:v>49,241</c:v>
                        </c:pt>
                      </c15:dlblFieldTableCache>
                    </c15:dlblFTEntry>
                  </c15:dlblFieldTable>
                  <c15:showDataLabelsRange val="0"/>
                </c:ext>
                <c:ext xmlns:c16="http://schemas.microsoft.com/office/drawing/2014/chart" uri="{C3380CC4-5D6E-409C-BE32-E72D297353CC}">
                  <c16:uniqueId val="{00000017-4F36-40FA-B976-61B265D1A9CA}"/>
                </c:ext>
              </c:extLst>
            </c:dLbl>
            <c:dLbl>
              <c:idx val="1"/>
              <c:tx>
                <c:strRef>
                  <c:f>'C12A'!$AB$14</c:f>
                  <c:strCache>
                    <c:ptCount val="1"/>
                    <c:pt idx="0">
                      <c:v>1,236</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{FDD87EF4-E849-41EE-97C9-91F6652E3206}</c15:txfldGUID>
                      <c15:f>'C12A'!$AB$14</c15:f>
                      <c15:dlblFieldTableCache>
                        <c:ptCount val="1"/>
                        <c:pt idx="0">
                          <c:v>1,236</c:v>
                        </c:pt>
                      </c15:dlblFieldTableCache>
                    </c15:dlblFTEntry>
                  </c15:dlblFieldTable>
                  <c15:showDataLabelsRange val="0"/>
                </c:ext>
                <c:ext xmlns:c16="http://schemas.microsoft.com/office/drawing/2014/chart" uri="{C3380CC4-5D6E-409C-BE32-E72D297353CC}">
                  <c16:uniqueId val="{00000018-4F36-40FA-B976-61B265D1A9CA}"/>
                </c:ext>
              </c:extLst>
            </c:dLbl>
            <c:dLbl>
              <c:idx val="2"/>
              <c:tx>
                <c:strRef>
                  <c:f>'C12A'!$AB$15</c:f>
                  <c:strCache>
                    <c:ptCount val="1"/>
                    <c:pt idx="0">
                      <c:v>866</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{BE14158C-B944-41F0-971A-DCFFC2909330}</c15:txfldGUID>
                      <c15:f>'C12A'!$AB$15</c15:f>
                      <c15:dlblFieldTableCache>
                        <c:ptCount val="1"/>
                        <c:pt idx="0">
                          <c:v>866</c:v>
                        </c:pt>
                      </c15:dlblFieldTableCache>
                    </c15:dlblFTEntry>
                  </c15:dlblFieldTable>
                  <c15:showDataLabelsRange val="0"/>
                </c:ext>
                <c:ext xmlns:c16="http://schemas.microsoft.com/office/drawing/2014/chart" uri="{C3380CC4-5D6E-409C-BE32-E72D297353CC}">
                  <c16:uniqueId val="{00000019-4F36-40FA-B976-61B265D1A9CA}"/>
                </c:ext>
              </c:extLst>
            </c:dLbl>
            <c:dLbl>
              <c:idx val="3"/>
              <c:tx>
                <c:strRef>
                  <c:f>'C12A'!$AB$16</c:f>
                  <c:strCache>
                    <c:ptCount val="1"/>
                    <c:pt idx="0">
                      <c:v>49,611</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{5B8753D2-AF64-40FE-B100-21B9861937E3}</c15:txfldGUID>
                      <c15:f>'C12A'!$AB$16</c15:f>
                      <c15:dlblFieldTableCache>
                        <c:ptCount val="1"/>
                        <c:pt idx="0">
                          <c:v>49,611</c:v>
                        </c:pt>
                      </c15:dlblFieldTableCache>
                    </c15:dlblFTEntry>
                  </c15:dlblFieldTable>
                  <c15:showDataLabelsRange val="0"/>
                </c:ext>
                <c:ext xmlns:c16="http://schemas.microsoft.com/office/drawing/2014/chart" uri="{C3380CC4-5D6E-409C-BE32-E72D297353CC}">
                  <c16:uniqueId val="{0000001A-4F36-40FA-B976-61B265D1A9CA}"/>
                </c:ext>
              </c:extLst>
            </c:dLbl>
            <c:dLbl>
              <c:idx val="4"/>
              <c:delete val="1"/>
              <c:extLst>
                <c:ext xmlns:c15="http://schemas.microsoft.com/office/drawing/2012/chart" uri="{CE6537A1-D6FC-4f65-9D91-7224C49458BB}"/>
                <c:ext xmlns:c16="http://schemas.microsoft.com/office/drawing/2014/chart" uri="{C3380CC4-5D6E-409C-BE32-E72D297353CC}">
                  <c16:uniqueId val="{00000009-4F36-40FA-B976-61B265D1A9CA}"/>
                </c:ext>
              </c:extLst>
            </c:dLbl>
            <c:dLbl>
              <c:idx val="5"/>
              <c:delete val="1"/>
              <c:extLst>
                <c:ext xmlns:c15="http://schemas.microsoft.com/office/drawing/2012/chart" uri="{CE6537A1-D6FC-4f65-9D91-7224C49458BB}"/>
                <c:ext xmlns:c16="http://schemas.microsoft.com/office/drawing/2014/chart" uri="{C3380CC4-5D6E-409C-BE32-E72D297353CC}">
                  <c16:uniqueId val="{0000000A-4F36-40FA-B976-61B265D1A9CA}"/>
                </c:ext>
              </c:extLst>
            </c:dLbl>
            <c:dLbl>
              <c:idx val="6"/>
              <c:delete val="1"/>
              <c:extLst>
                <c:ext xmlns:c15="http://schemas.microsoft.com/office/drawing/2012/chart" uri="{CE6537A1-D6FC-4f65-9D91-7224C49458BB}"/>
                <c:ext xmlns:c16="http://schemas.microsoft.com/office/drawing/2014/chart" uri="{C3380CC4-5D6E-409C-BE32-E72D297353CC}">
                  <c16:uniqueId val="{0000000B-4F36-40FA-B976-61B265D1A9CA}"/>
                </c:ext>
              </c:extLst>
            </c:dLbl>
            <c:dLbl>
              <c:idx val="7"/>
              <c:tx>
                <c:strRef>
                  <c:f>'C12A'!$AB$20</c:f>
                  <c:strCache>
                    <c:ptCount val="1"/>
                    <c:pt idx="0">
                      <c:v>922</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{FBCA2027-2C41-4C9D-9D33-B66B1470FB81}</c15:txfldGUID>
                      <c15:f>'C12A'!$AB$20</c15:f>
                      <c15:dlblFieldTableCache>
                        <c:ptCount val="1"/>
                        <c:pt idx="0">
                          <c:v>922</c:v>
                        </c:pt>
                      </c15:dlblFieldTableCache>
                    </c15:dlblFTEntry>
                  </c15:dlblFieldTable>
                  <c15:showDataLabelsRange val="0"/>
                </c:ext>
                <c:ext xmlns:c16="http://schemas.microsoft.com/office/drawing/2014/chart" uri="{C3380CC4-5D6E-409C-BE32-E72D297353CC}">
                  <c16:uniqueId val="{0000001B-4F36-40FA-B976-61B265D1A9CA}"/>
                </c:ext>
              </c:extLst>
            </c:dLbl>
            <c:dLbl>
              <c:idx val="8"/>
              <c:delete val="1"/>
              <c:extLst>
                <c:ext xmlns:c15="http://schemas.microsoft.com/office/drawing/2012/chart" uri="{CE6537A1-D6FC-4f65-9D91-7224C49458BB}"/>
                <c:ext xmlns:c16="http://schemas.microsoft.com/office/drawing/2014/chart" uri="{C3380CC4-5D6E-409C-BE32-E72D297353CC}">
                  <c16:uniqueId val="{0000000C-4F36-40FA-B976-61B265D1A9CA}"/>
                </c:ext>
              </c:extLst>
            </c:dLbl>
            <c:dLbl>
              <c:idx val="9"/>
              <c:tx>
                <c:strRef>
                  <c:f>'C12A'!$AB$22</c:f>
                  <c:strCache>
                    <c:ptCount val="1"/>
                    <c:pt idx="0">
                      <c:v>722</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{A51609AE-462C-4A52-99A6-E80B6D54D974}</c15:txfldGUID>
                      <c15:f>'C12A'!$AB$22</c15:f>
                      <c15:dlblFieldTableCache>
                        <c:ptCount val="1"/>
                        <c:pt idx="0">
                          <c:v>722</c:v>
                        </c:pt>
                      </c15:dlblFieldTableCache>
                    </c15:dlblFTEntry>
                  </c15:dlblFieldTable>
                  <c15:showDataLabelsRange val="0"/>
                </c:ext>
                <c:ext xmlns:c16="http://schemas.microsoft.com/office/drawing/2014/chart" uri="{C3380CC4-5D6E-409C-BE32-E72D297353CC}">
                  <c16:uniqueId val="{0000001C-4F36-40FA-B976-61B265D1A9CA}"/>
                </c:ext>
              </c:extLst>
            </c:dLbl>
            <c:dLbl>
              <c:idx val="10"/>
              <c:delete val="1"/>
              <c:extLst>
                <c:ext xmlns:c15="http://schemas.microsoft.com/office/drawing/2012/chart" uri="{CE6537A1-D6FC-4f65-9D91-7224C49458BB}"/>
                <c:ext xmlns:c16="http://schemas.microsoft.com/office/drawing/2014/chart" uri="{C3380CC4-5D6E-409C-BE32-E72D297353CC}">
                  <c16:uniqueId val="{0000000D-4F36-40FA-B976-61B265D1A9CA}"/>
                </c:ext>
              </c:extLst>
            </c:dLbl>
            <c:dLbl>
              <c:idx val="11"/>
              <c:delete val="1"/>
              <c:extLst>
                <c:ext xmlns:c15="http://schemas.microsoft.com/office/drawing/2012/chart" uri="{CE6537A1-D6FC-4f65-9D91-7224C49458BB}"/>
                <c:ext xmlns:c16="http://schemas.microsoft.com/office/drawing/2014/chart" uri="{C3380CC4-5D6E-409C-BE32-E72D297353CC}">
                  <c16:uniqueId val="{0000000E-4F36-40FA-B976-61B265D1A9CA}"/>
                </c:ext>
              </c:extLst>
            </c:dLbl>
            <c:dLbl>
              <c:idx val="12"/>
              <c:delete val="1"/>
              <c:extLst>
                <c:ext xmlns:c15="http://schemas.microsoft.com/office/drawing/2012/chart" uri="{CE6537A1-D6FC-4f65-9D91-7224C49458BB}"/>
                <c:ext xmlns:c16="http://schemas.microsoft.com/office/drawing/2014/chart" uri="{C3380CC4-5D6E-409C-BE32-E72D297353CC}">
                  <c16:uniqueId val="{0000000F-4F36-40FA-B976-61B265D1A9CA}"/>
                </c:ext>
              </c:extLst>
            </c:dLbl>
            <c:dLbl>
              <c:idx val="13"/>
              <c:delete val="1"/>
              <c:extLst>
                <c:ext xmlns:c15="http://schemas.microsoft.com/office/drawing/2012/chart" uri="{CE6537A1-D6FC-4f65-9D91-7224C49458BB}"/>
                <c:ext xmlns:c16="http://schemas.microsoft.com/office/drawing/2014/chart" uri="{C3380CC4-5D6E-409C-BE32-E72D297353CC}">
                  <c16:uniqueId val="{00000010-4F36-40FA-B976-61B265D1A9CA}"/>
                </c:ext>
              </c:extLst>
            </c:dLbl>
            <c:dLbl>
              <c:idx val="14"/>
              <c:delete val="1"/>
              <c:extLst>
                <c:ext xmlns:c15="http://schemas.microsoft.com/office/drawing/2012/chart" uri="{CE6537A1-D6FC-4f65-9D91-7224C49458BB}"/>
                <c:ext xmlns:c16="http://schemas.microsoft.com/office/drawing/2014/chart" uri="{C3380CC4-5D6E-409C-BE32-E72D297353CC}">
                  <c16:uniqueId val="{00000011-4F36-40FA-B976-61B265D1A9CA}"/>
                </c:ext>
              </c:extLst>
            </c:dLbl>
            <c:dLbl>
              <c:idx val="15"/>
              <c:delete val="1"/>
              <c:extLst>
                <c:ext xmlns:c15="http://schemas.microsoft.com/office/drawing/2012/chart" uri="{CE6537A1-D6FC-4f65-9D91-7224C49458BB}"/>
                <c:ext xmlns:c16="http://schemas.microsoft.com/office/drawing/2014/chart" uri="{C3380CC4-5D6E-409C-BE32-E72D297353CC}">
                  <c16:uniqueId val="{00000012-4F36-40FA-B976-61B265D1A9CA}"/>
                </c:ext>
              </c:extLst>
            </c:dLbl>
            <c:dLbl>
              <c:idx val="16"/>
              <c:delete val="1"/>
              <c:extLst>
                <c:ext xmlns:c15="http://schemas.microsoft.com/office/drawing/2012/chart" uri="{CE6537A1-D6FC-4f65-9D91-7224C49458BB}"/>
                <c:ext xmlns:c16="http://schemas.microsoft.com/office/drawing/2014/chart" uri="{C3380CC4-5D6E-409C-BE32-E72D297353CC}">
                  <c16:uniqueId val="{00000013-4F36-40FA-B976-61B265D1A9CA}"/>
                </c:ext>
              </c:extLst>
            </c:dLbl>
            <c:dLbl>
              <c:idx val="17"/>
              <c:delete val="1"/>
              <c:extLst>
                <c:ext xmlns:c15="http://schemas.microsoft.com/office/drawing/2012/chart" uri="{CE6537A1-D6FC-4f65-9D91-7224C49458BB}"/>
                <c:ext xmlns:c16="http://schemas.microsoft.com/office/drawing/2014/chart" uri="{C3380CC4-5D6E-409C-BE32-E72D297353CC}">
                  <c16:uniqueId val="{00000014-4F36-40FA-B976-61B265D1A9CA}"/>
                </c:ext>
              </c:extLst>
            </c:dLbl>
            <c:dLbl>
              <c:idx val="18"/>
              <c:delete val="1"/>
              <c:extLst>
                <c:ext xmlns:c15="http://schemas.microsoft.com/office/drawing/2012/chart" uri="{CE6537A1-D6FC-4f65-9D91-7224C49458BB}"/>
                <c:ext xmlns:c16="http://schemas.microsoft.com/office/drawing/2014/chart" uri="{C3380CC4-5D6E-409C-BE32-E72D297353CC}">
                  <c16:uniqueId val="{00000015-4F36-40FA-B976-61B265D1A9CA}"/>
                </c:ext>
              </c:extLst>
            </c:dLbl>
            <c:dLbl>
              <c:idx val="19"/>
              <c:delete val="1"/>
              <c:extLst>
                <c:ext xmlns:c15="http://schemas.microsoft.com/office/drawing/2012/chart" uri="{CE6537A1-D6FC-4f65-9D91-7224C49458BB}"/>
                <c:ext xmlns:c16="http://schemas.microsoft.com/office/drawing/2014/chart" uri="{C3380CC4-5D6E-409C-BE32-E72D297353CC}">
                  <c16:uniqueId val="{00000016-4F36-40FA-B976-61B265D1A9CA}"/>
                </c:ext>
              </c:extLst>
            </c:dLbl>
            <c:numFmt formatCode="#,##0" sourceLinked="0"/>
            <c:spPr>
              <a:noFill/>
              <a:ln>
                <a:noFill/>
              </a:ln>
              <a:effectLst/>
            </c:spPr>
            <c:txPr>
              <a:bodyPr wrap="square" lIns="38100" tIns="19050" rIns="38100" bIns="19050" anchor="ctr">
                <a:spAutoFit/>
              </a:bodyPr>
              <a:lstStyle/>
              <a:p>
                <a:pPr>
                  <a:defRPr sz="900">
                    <a:solidFill>
                      <a:srgbClr val="FFFFFF"/>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'C12A'!$A$13:$A$32</c:f>
              <c:strCache>
                <c:ptCount val="10"/>
                <c:pt idx="0">
                  <c:v>Premiums earned</c:v>
                </c:pt>
                <c:pt idx="1">
                  <c:v>Investment income</c:v>
                </c:pt>
                <c:pt idx="2">
                  <c:v>Other revenues</c:v>
                </c:pt>
                <c:pt idx="3">
                  <c:v>Total revenues</c:v>
                </c:pt>
                <c:pt idx="4">
                  <c:v>Losses and LAE</c:v>
                </c:pt>
                <c:pt idx="5">
                  <c:v>Acquisition costs</c:v>
                </c:pt>
                <c:pt idx="6">
                  <c:v>Other expenses</c:v>
                </c:pt>
                <c:pt idx="7">
                  <c:v>Pretax income</c:v>
                </c:pt>
                <c:pt idx="8">
                  <c:v>Income taxes</c:v>
                </c:pt>
                <c:pt idx="9">
                  <c:v>Net income</c:v>
                </c:pt>
              </c:strCache>
            </c:strRef>
          </c:cat>
          <c:val>
            <c:numRef>
              <c:f>'C12A'!$AA$13:$AA$32</c:f>
              <c:numCache>
                <c:formatCode>0.000000</c:formatCode>
                <c:ptCount val="20"/>
                <c:pt idx="0">
                  <c:v>0.7928158559951054</c:v>
                </c:pt>
                <c:pt idx="1">
                  <c:v>1.9900497512437811E-2</c:v>
                </c:pt>
                <c:pt idx="2">
                  <c:v>1.3943228839620667E-2</c:v>
                </c:pt>
                <c:pt idx="3">
                  <c:v>0.7987731246679225</c:v>
                </c:pt>
                <c:pt idx="4">
                  <c:v>0</c:v>
                </c:pt>
                <c:pt idx="5">
                  <c:v>0</c:v>
                </c:pt>
                <c:pt idx="6">
                  <c:v>0</c:v>
                </c:pt>
                <c:pt idx="7">
                  <c:v>1.4844869503614614E-2</c:v>
                </c:pt>
                <c:pt idx="8">
                  <c:v>0</c:v>
                </c:pt>
                <c:pt idx="9">
                  <c:v>1.1624724275064805E-2</c:v>
                </c:pt>
              </c:numCache>
            </c:numRef>
          </c:val>
          <c:extLst>
            <c:ext xmlns:c16="http://schemas.microsoft.com/office/drawing/2014/chart" uri="{C3380CC4-5D6E-409C-BE32-E72D297353CC}">
              <c16:uniqueId val="{00000008-4F36-40FA-B976-61B265D1A9CA}"/>
            </c:ext>
          </c:extLst>
        </c:ser>
        <c:ser>
          <c:idx val="2"/>
          <c:order val="2"/>
          <c:tx>
            <c:v>PY subs</c:v>
          </c:tx>
          <c:spPr>
            <a:solidFill>
              <a:srgbClr val="BFBFBF"/>
            </a:solidFill>
            <a:ln>
              <a:noFill/>
            </a:ln>
            <a:effectLst/>
            <a:extLst>
              <a:ext uri="{91240B29-F687-4F45-9708-019B960494DF}">
                <a14:hiddenLine xmlns:a14="http://schemas.microsoft.com/office/drawing/2010/main">
                  <a:noFill/>
                </a14:hiddenLine>
              </a:ext>
            </a:ex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E-4F36-40FA-B976-61B265D1A9CA}"/>
                </c:ext>
              </c:extLst>
            </c:dLbl>
            <c:dLbl>
              <c:idx val="1"/>
              <c:delete val="1"/>
              <c:extLst>
                <c:ext xmlns:c15="http://schemas.microsoft.com/office/drawing/2012/chart" uri="{CE6537A1-D6FC-4f65-9D91-7224C49458BB}"/>
                <c:ext xmlns:c16="http://schemas.microsoft.com/office/drawing/2014/chart" uri="{C3380CC4-5D6E-409C-BE32-E72D297353CC}">
                  <c16:uniqueId val="{0000001F-4F36-40FA-B976-61B265D1A9CA}"/>
                </c:ext>
              </c:extLst>
            </c:dLbl>
            <c:dLbl>
              <c:idx val="2"/>
              <c:delete val="1"/>
              <c:extLst>
                <c:ext xmlns:c15="http://schemas.microsoft.com/office/drawing/2012/chart" uri="{CE6537A1-D6FC-4f65-9D91-7224C49458BB}"/>
                <c:ext xmlns:c16="http://schemas.microsoft.com/office/drawing/2014/chart" uri="{C3380CC4-5D6E-409C-BE32-E72D297353CC}">
                  <c16:uniqueId val="{00000020-4F36-40FA-B976-61B265D1A9CA}"/>
                </c:ext>
              </c:extLst>
            </c:dLbl>
            <c:dLbl>
              <c:idx val="3"/>
              <c:delete val="1"/>
              <c:extLst>
                <c:ext xmlns:c15="http://schemas.microsoft.com/office/drawing/2012/chart" uri="{CE6537A1-D6FC-4f65-9D91-7224C49458BB}"/>
                <c:ext xmlns:c16="http://schemas.microsoft.com/office/drawing/2014/chart" uri="{C3380CC4-5D6E-409C-BE32-E72D297353CC}">
                  <c16:uniqueId val="{00000021-4F36-40FA-B976-61B265D1A9CA}"/>
                </c:ext>
              </c:extLst>
            </c:dLbl>
            <c:dLbl>
              <c:idx val="4"/>
              <c:tx>
                <c:strRef>
                  <c:f>'C12A'!$AD$17</c:f>
                  <c:strCache>
                    <c:ptCount val="1"/>
                    <c:pt idx="0">
                      <c:v>38,123</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{08350F61-4E6C-4A18-9E28-FF85137A500A}</c15:txfldGUID>
                      <c15:f>'C12A'!$AD$17</c15:f>
                      <c15:dlblFieldTableCache>
                        <c:ptCount val="1"/>
                        <c:pt idx="0">
                          <c:v>38,123</c:v>
                        </c:pt>
                      </c15:dlblFieldTableCache>
                    </c15:dlblFTEntry>
                  </c15:dlblFieldTable>
                  <c15:showDataLabelsRange val="0"/>
                </c:ext>
                <c:ext xmlns:c16="http://schemas.microsoft.com/office/drawing/2014/chart" uri="{C3380CC4-5D6E-409C-BE32-E72D297353CC}">
                  <c16:uniqueId val="{0000002E-4F36-40FA-B976-61B265D1A9CA}"/>
                </c:ext>
              </c:extLst>
            </c:dLbl>
            <c:dLbl>
              <c:idx val="5"/>
              <c:tx>
                <c:strRef>
                  <c:f>'C12A'!$AD$18</c:f>
                  <c:strCache>
                    <c:ptCount val="1"/>
                    <c:pt idx="0">
                      <c:v>3,917</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{8E9FF7A0-5B22-4C61-A8DA-DCD53653938C}</c15:txfldGUID>
                      <c15:f>'C12A'!$AD$18</c15:f>
                      <c15:dlblFieldTableCache>
                        <c:ptCount val="1"/>
                        <c:pt idx="0">
                          <c:v>3,917</c:v>
                        </c:pt>
                      </c15:dlblFieldTableCache>
                    </c15:dlblFTEntry>
                  </c15:dlblFieldTable>
                  <c15:showDataLabelsRange val="0"/>
                </c:ext>
                <c:ext xmlns:c16="http://schemas.microsoft.com/office/drawing/2014/chart" uri="{C3380CC4-5D6E-409C-BE32-E72D297353CC}">
                  <c16:uniqueId val="{0000002F-4F36-40FA-B976-61B265D1A9CA}"/>
                </c:ext>
              </c:extLst>
            </c:dLbl>
            <c:dLbl>
              <c:idx val="6"/>
              <c:tx>
                <c:strRef>
                  <c:f>'C12A'!$AD$19</c:f>
                  <c:strCache>
                    <c:ptCount val="1"/>
                    <c:pt idx="0">
                      <c:v>6,649</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{31299767-64C8-4EE7-9E82-1FE691D57474}</c15:txfldGUID>
                      <c15:f>'C12A'!$AD$19</c15:f>
                      <c15:dlblFieldTableCache>
                        <c:ptCount val="1"/>
                        <c:pt idx="0">
                          <c:v>6,649</c:v>
                        </c:pt>
                      </c15:dlblFieldTableCache>
                    </c15:dlblFTEntry>
                  </c15:dlblFieldTable>
                  <c15:showDataLabelsRange val="0"/>
                </c:ext>
                <c:ext xmlns:c16="http://schemas.microsoft.com/office/drawing/2014/chart" uri="{C3380CC4-5D6E-409C-BE32-E72D297353CC}">
                  <c16:uniqueId val="{00000030-4F36-40FA-B976-61B265D1A9CA}"/>
                </c:ext>
              </c:extLst>
            </c:dLbl>
            <c:dLbl>
              <c:idx val="7"/>
              <c:delete val="1"/>
              <c:extLst>
                <c:ext xmlns:c15="http://schemas.microsoft.com/office/drawing/2012/chart" uri="{CE6537A1-D6FC-4f65-9D91-7224C49458BB}"/>
                <c:ext xmlns:c16="http://schemas.microsoft.com/office/drawing/2014/chart" uri="{C3380CC4-5D6E-409C-BE32-E72D297353CC}">
                  <c16:uniqueId val="{00000022-4F36-40FA-B976-61B265D1A9CA}"/>
                </c:ext>
              </c:extLst>
            </c:dLbl>
            <c:dLbl>
              <c:idx val="8"/>
              <c:tx>
                <c:strRef>
                  <c:f>'C12A'!$AD$21</c:f>
                  <c:strCache>
                    <c:ptCount val="1"/>
                    <c:pt idx="0">
                      <c:v>200</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{22DCD8AB-62D1-4BD3-B822-A1158FE94607}</c15:txfldGUID>
                      <c15:f>'C12A'!$AD$21</c15:f>
                      <c15:dlblFieldTableCache>
                        <c:ptCount val="1"/>
                        <c:pt idx="0">
                          <c:v>200</c:v>
                        </c:pt>
                      </c15:dlblFieldTableCache>
                    </c15:dlblFTEntry>
                  </c15:dlblFieldTable>
                  <c15:showDataLabelsRange val="0"/>
                </c:ext>
                <c:ext xmlns:c16="http://schemas.microsoft.com/office/drawing/2014/chart" uri="{C3380CC4-5D6E-409C-BE32-E72D297353CC}">
                  <c16:uniqueId val="{00000031-4F36-40FA-B976-61B265D1A9CA}"/>
                </c:ext>
              </c:extLst>
            </c:dLbl>
            <c:dLbl>
              <c:idx val="9"/>
              <c:delete val="1"/>
              <c:extLst>
                <c:ext xmlns:c15="http://schemas.microsoft.com/office/drawing/2012/chart" uri="{CE6537A1-D6FC-4f65-9D91-7224C49458BB}"/>
                <c:ext xmlns:c16="http://schemas.microsoft.com/office/drawing/2014/chart" uri="{C3380CC4-5D6E-409C-BE32-E72D297353CC}">
                  <c16:uniqueId val="{00000023-4F36-40FA-B976-61B265D1A9CA}"/>
                </c:ext>
              </c:extLst>
            </c:dLbl>
            <c:dLbl>
              <c:idx val="10"/>
              <c:delete val="1"/>
              <c:extLst>
                <c:ext xmlns:c15="http://schemas.microsoft.com/office/drawing/2012/chart" uri="{CE6537A1-D6FC-4f65-9D91-7224C49458BB}"/>
                <c:ext xmlns:c16="http://schemas.microsoft.com/office/drawing/2014/chart" uri="{C3380CC4-5D6E-409C-BE32-E72D297353CC}">
                  <c16:uniqueId val="{00000024-4F36-40FA-B976-61B265D1A9CA}"/>
                </c:ext>
              </c:extLst>
            </c:dLbl>
            <c:dLbl>
              <c:idx val="11"/>
              <c:delete val="1"/>
              <c:extLst>
                <c:ext xmlns:c15="http://schemas.microsoft.com/office/drawing/2012/chart" uri="{CE6537A1-D6FC-4f65-9D91-7224C49458BB}"/>
                <c:ext xmlns:c16="http://schemas.microsoft.com/office/drawing/2014/chart" uri="{C3380CC4-5D6E-409C-BE32-E72D297353CC}">
                  <c16:uniqueId val="{00000025-4F36-40FA-B976-61B265D1A9CA}"/>
                </c:ext>
              </c:extLst>
            </c:dLbl>
            <c:dLbl>
              <c:idx val="12"/>
              <c:delete val="1"/>
              <c:extLst>
                <c:ext xmlns:c15="http://schemas.microsoft.com/office/drawing/2012/chart" uri="{CE6537A1-D6FC-4f65-9D91-7224C49458BB}"/>
                <c:ext xmlns:c16="http://schemas.microsoft.com/office/drawing/2014/chart" uri="{C3380CC4-5D6E-409C-BE32-E72D297353CC}">
                  <c16:uniqueId val="{00000026-4F36-40FA-B976-61B265D1A9CA}"/>
                </c:ext>
              </c:extLst>
            </c:dLbl>
            <c:dLbl>
              <c:idx val="13"/>
              <c:delete val="1"/>
              <c:extLst>
                <c:ext xmlns:c15="http://schemas.microsoft.com/office/drawing/2012/chart" uri="{CE6537A1-D6FC-4f65-9D91-7224C49458BB}"/>
                <c:ext xmlns:c16="http://schemas.microsoft.com/office/drawing/2014/chart" uri="{C3380CC4-5D6E-409C-BE32-E72D297353CC}">
                  <c16:uniqueId val="{00000027-4F36-40FA-B976-61B265D1A9CA}"/>
                </c:ext>
              </c:extLst>
            </c:dLbl>
            <c:dLbl>
              <c:idx val="14"/>
              <c:delete val="1"/>
              <c:extLst>
                <c:ext xmlns:c15="http://schemas.microsoft.com/office/drawing/2012/chart" uri="{CE6537A1-D6FC-4f65-9D91-7224C49458BB}"/>
                <c:ext xmlns:c16="http://schemas.microsoft.com/office/drawing/2014/chart" uri="{C3380CC4-5D6E-409C-BE32-E72D297353CC}">
                  <c16:uniqueId val="{00000028-4F36-40FA-B976-61B265D1A9CA}"/>
                </c:ext>
              </c:extLst>
            </c:dLbl>
            <c:dLbl>
              <c:idx val="15"/>
              <c:delete val="1"/>
              <c:extLst>
                <c:ext xmlns:c15="http://schemas.microsoft.com/office/drawing/2012/chart" uri="{CE6537A1-D6FC-4f65-9D91-7224C49458BB}"/>
                <c:ext xmlns:c16="http://schemas.microsoft.com/office/drawing/2014/chart" uri="{C3380CC4-5D6E-409C-BE32-E72D297353CC}">
                  <c16:uniqueId val="{00000029-4F36-40FA-B976-61B265D1A9CA}"/>
                </c:ext>
              </c:extLst>
            </c:dLbl>
            <c:dLbl>
              <c:idx val="16"/>
              <c:delete val="1"/>
              <c:extLst>
                <c:ext xmlns:c15="http://schemas.microsoft.com/office/drawing/2012/chart" uri="{CE6537A1-D6FC-4f65-9D91-7224C49458BB}"/>
                <c:ext xmlns:c16="http://schemas.microsoft.com/office/drawing/2014/chart" uri="{C3380CC4-5D6E-409C-BE32-E72D297353CC}">
                  <c16:uniqueId val="{0000002A-4F36-40FA-B976-61B265D1A9CA}"/>
                </c:ext>
              </c:extLst>
            </c:dLbl>
            <c:dLbl>
              <c:idx val="17"/>
              <c:delete val="1"/>
              <c:extLst>
                <c:ext xmlns:c15="http://schemas.microsoft.com/office/drawing/2012/chart" uri="{CE6537A1-D6FC-4f65-9D91-7224C49458BB}"/>
                <c:ext xmlns:c16="http://schemas.microsoft.com/office/drawing/2014/chart" uri="{C3380CC4-5D6E-409C-BE32-E72D297353CC}">
                  <c16:uniqueId val="{0000002B-4F36-40FA-B976-61B265D1A9CA}"/>
                </c:ext>
              </c:extLst>
            </c:dLbl>
            <c:dLbl>
              <c:idx val="18"/>
              <c:delete val="1"/>
              <c:extLst>
                <c:ext xmlns:c15="http://schemas.microsoft.com/office/drawing/2012/chart" uri="{CE6537A1-D6FC-4f65-9D91-7224C49458BB}"/>
                <c:ext xmlns:c16="http://schemas.microsoft.com/office/drawing/2014/chart" uri="{C3380CC4-5D6E-409C-BE32-E72D297353CC}">
                  <c16:uniqueId val="{0000002C-4F36-40FA-B976-61B265D1A9CA}"/>
                </c:ext>
              </c:extLst>
            </c:dLbl>
            <c:dLbl>
              <c:idx val="19"/>
              <c:delete val="1"/>
              <c:extLst>
                <c:ext xmlns:c15="http://schemas.microsoft.com/office/drawing/2012/chart" uri="{CE6537A1-D6FC-4f65-9D91-7224C49458BB}"/>
                <c:ext xmlns:c16="http://schemas.microsoft.com/office/drawing/2014/chart" uri="{C3380CC4-5D6E-409C-BE32-E72D297353CC}">
                  <c16:uniqueId val="{0000002D-4F36-40FA-B976-61B265D1A9CA}"/>
                </c:ext>
              </c:extLst>
            </c:dLbl>
            <c:numFmt formatCode="#,##0" sourceLinked="0"/>
            <c:spPr>
              <a:noFill/>
              <a:ln>
                <a:noFill/>
              </a:ln>
              <a:effectLst/>
            </c:spPr>
            <c:txPr>
              <a:bodyPr wrap="square" lIns="38100" tIns="19050" rIns="38100" bIns="19050" anchor="ctr">
                <a:spAutoFit/>
              </a:bodyPr>
              <a:lstStyle/>
              <a:p>
                <a:pPr>
                  <a:defRPr sz="900">
                    <a:solidFill>
                      <a:srgbClr val="000000"/>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'C12A'!$A$13:$A$32</c:f>
              <c:strCache>
                <c:ptCount val="10"/>
                <c:pt idx="0">
                  <c:v>Premiums earned</c:v>
                </c:pt>
                <c:pt idx="1">
                  <c:v>Investment income</c:v>
                </c:pt>
                <c:pt idx="2">
                  <c:v>Other revenues</c:v>
                </c:pt>
                <c:pt idx="3">
                  <c:v>Total revenues</c:v>
                </c:pt>
                <c:pt idx="4">
                  <c:v>Losses and LAE</c:v>
                </c:pt>
                <c:pt idx="5">
                  <c:v>Acquisition costs</c:v>
                </c:pt>
                <c:pt idx="6">
                  <c:v>Other expenses</c:v>
                </c:pt>
                <c:pt idx="7">
                  <c:v>Pretax income</c:v>
                </c:pt>
                <c:pt idx="8">
                  <c:v>Income taxes</c:v>
                </c:pt>
                <c:pt idx="9">
                  <c:v>Net income</c:v>
                </c:pt>
              </c:strCache>
            </c:strRef>
          </c:cat>
          <c:val>
            <c:numRef>
              <c:f>'C12A'!$AC$13:$AC$32</c:f>
              <c:numCache>
                <c:formatCode>0.000000</c:formatCode>
                <c:ptCount val="20"/>
                <c:pt idx="0">
                  <c:v>0</c:v>
                </c:pt>
                <c:pt idx="1">
                  <c:v>0</c:v>
                </c:pt>
                <c:pt idx="2">
                  <c:v>0</c:v>
                </c:pt>
                <c:pt idx="3">
                  <c:v>0</c:v>
                </c:pt>
                <c:pt idx="4">
                  <c:v>0.61380798274002157</c:v>
                </c:pt>
                <c:pt idx="5">
                  <c:v>6.3066544301147984E-2</c:v>
                </c:pt>
                <c:pt idx="6">
                  <c:v>0.10705372812313835</c:v>
                </c:pt>
                <c:pt idx="7">
                  <c:v>0</c:v>
                </c:pt>
                <c:pt idx="8">
                  <c:v>3.2201452285498078E-3</c:v>
                </c:pt>
                <c:pt idx="9">
                  <c:v>0</c:v>
                </c:pt>
              </c:numCache>
            </c:numRef>
          </c:val>
          <c:extLst>
            <c:ext xmlns:c16="http://schemas.microsoft.com/office/drawing/2014/chart" uri="{C3380CC4-5D6E-409C-BE32-E72D297353CC}">
              <c16:uniqueId val="{0000001D-4F36-40FA-B976-61B265D1A9CA}"/>
            </c:ext>
          </c:extLst>
        </c:ser>
        <c:dLbls>
          <c:showLegendKey val="0"/>
          <c:showVal val="0"/>
          <c:showCatName val="0"/>
          <c:showSerName val="0"/>
          <c:showPercent val="0"/>
          <c:showBubbleSize val="0"/>
        </c:dLbls>
        <c:gapWidth val="150"/>
        <c:overlap val="100"/>
        <c:axId val="1613665952"/>
        <c:axId val="1095997552"/>
      </c:barChart>
      <c:catAx>
        <c:axId val="1613665952"/>
        <c:scaling>
          <c:orientation val="maxMin"/>
        </c:scaling>
        <c:delete val="0"/>
        <c:axPos val="l"/>
        <c:numFmt formatCode="General" sourceLinked="1"/>
        <c:majorTickMark val="none"/>
        <c:minorTickMark val="none"/>
        <c:tickLblPos val="low"/>
        <c:txPr>
          <a:bodyPr/>
          <a:lstStyle/>
          <a:p>
            <a:pPr>
              <a:defRPr sz="900">
                <a:latin typeface="Arial"/>
                <a:ea typeface="Arial"/>
                <a:cs typeface="Arial"/>
              </a:defRPr>
            </a:pPr>
            <a:endParaRPr lang="en-US"/>
          </a:p>
        </c:txPr>
        <c:crossAx val="1095997552"/>
        <c:crosses val="autoZero"/>
        <c:auto val="1"/>
        <c:lblAlgn val="ctr"/>
        <c:lblOffset val="100"/>
        <c:noMultiLvlLbl val="0"/>
      </c:catAx>
      <c:valAx>
        <c:axId val="1095997552"/>
        <c:scaling>
          <c:orientation val="minMax"/>
          <c:max val="1.0556000000000001"/>
          <c:min val="-0.03"/>
        </c:scaling>
        <c:delete val="0"/>
        <c:axPos val="b"/>
        <c:numFmt formatCode="0.00000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3665952"/>
        <c:crosses val="max"/>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6666666666666669E-2"/>
          <c:y val="5.9701492537313432E-2"/>
          <c:w val="0.93333333333333335"/>
          <c:h val="0.92039800995024879"/>
        </c:manualLayout>
      </c:layout>
      <c:barChart>
        <c:barDir val="bar"/>
        <c:grouping val="stacked"/>
        <c:varyColors val="0"/>
        <c:ser>
          <c:idx val="0"/>
          <c:order val="0"/>
          <c:tx>
            <c:v>AC base</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cat>
            <c:strRef>
              <c:f>'C12A'!$A$13:$A$32</c:f>
              <c:strCache>
                <c:ptCount val="10"/>
                <c:pt idx="0">
                  <c:v>Premiums earned</c:v>
                </c:pt>
                <c:pt idx="1">
                  <c:v>Investment income</c:v>
                </c:pt>
                <c:pt idx="2">
                  <c:v>Other revenues</c:v>
                </c:pt>
                <c:pt idx="3">
                  <c:v>Total revenues</c:v>
                </c:pt>
                <c:pt idx="4">
                  <c:v>Losses and LAE</c:v>
                </c:pt>
                <c:pt idx="5">
                  <c:v>Acquisition costs</c:v>
                </c:pt>
                <c:pt idx="6">
                  <c:v>Other expenses</c:v>
                </c:pt>
                <c:pt idx="7">
                  <c:v>Pretax income</c:v>
                </c:pt>
                <c:pt idx="8">
                  <c:v>Income taxes</c:v>
                </c:pt>
                <c:pt idx="9">
                  <c:v>Net income</c:v>
                </c:pt>
              </c:strCache>
            </c:strRef>
          </c:cat>
          <c:val>
            <c:numRef>
              <c:f>'C12A'!$AE$13:$AE$32</c:f>
              <c:numCache>
                <c:formatCode>0.000000</c:formatCode>
                <c:ptCount val="20"/>
                <c:pt idx="0">
                  <c:v>0</c:v>
                </c:pt>
                <c:pt idx="1">
                  <c:v>0.94454909916437235</c:v>
                </c:pt>
                <c:pt idx="2">
                  <c:v>0.97459305414674202</c:v>
                </c:pt>
                <c:pt idx="3">
                  <c:v>0</c:v>
                </c:pt>
                <c:pt idx="4">
                  <c:v>0.26492134795279265</c:v>
                </c:pt>
                <c:pt idx="5">
                  <c:v>0.18981146049686839</c:v>
                </c:pt>
                <c:pt idx="6">
                  <c:v>7.8957961004041288E-2</c:v>
                </c:pt>
                <c:pt idx="7">
                  <c:v>0</c:v>
                </c:pt>
                <c:pt idx="8">
                  <c:v>6.2841134135149496E-2</c:v>
                </c:pt>
                <c:pt idx="9">
                  <c:v>0</c:v>
                </c:pt>
              </c:numCache>
            </c:numRef>
          </c:val>
          <c:extLst>
            <c:ext xmlns:c16="http://schemas.microsoft.com/office/drawing/2014/chart" uri="{C3380CC4-5D6E-409C-BE32-E72D297353CC}">
              <c16:uniqueId val="{00000007-D460-439A-BB78-B10F733E2244}"/>
            </c:ext>
          </c:extLst>
        </c:ser>
        <c:ser>
          <c:idx val="1"/>
          <c:order val="1"/>
          <c:tx>
            <c:v>AC adds</c:v>
          </c:tx>
          <c:spPr>
            <a:solidFill>
              <a:srgbClr val="404040"/>
            </a:solidFill>
            <a:ln>
              <a:noFill/>
            </a:ln>
            <a:effectLst/>
            <a:extLst>
              <a:ext uri="{91240B29-F687-4F45-9708-019B960494DF}">
                <a14:hiddenLine xmlns:a14="http://schemas.microsoft.com/office/drawing/2010/main">
                  <a:noFill/>
                </a14:hiddenLine>
              </a:ext>
            </a:extLst>
          </c:spPr>
          <c:invertIfNegative val="0"/>
          <c:dLbls>
            <c:dLbl>
              <c:idx val="0"/>
              <c:tx>
                <c:strRef>
                  <c:f>'C12A'!$AG$13</c:f>
                  <c:strCache>
                    <c:ptCount val="1"/>
                    <c:pt idx="0">
                      <c:v>58,665</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{A3833CB0-0A58-48AE-A4CA-B35DAC6A57D6}</c15:txfldGUID>
                      <c15:f>'C12A'!$AG$13</c15:f>
                      <c15:dlblFieldTableCache>
                        <c:ptCount val="1"/>
                        <c:pt idx="0">
                          <c:v>58,665</c:v>
                        </c:pt>
                      </c15:dlblFieldTableCache>
                    </c15:dlblFTEntry>
                  </c15:dlblFieldTable>
                  <c15:showDataLabelsRange val="0"/>
                </c:ext>
                <c:ext xmlns:c16="http://schemas.microsoft.com/office/drawing/2014/chart" uri="{C3380CC4-5D6E-409C-BE32-E72D297353CC}">
                  <c16:uniqueId val="{00000017-D460-439A-BB78-B10F733E2244}"/>
                </c:ext>
              </c:extLst>
            </c:dLbl>
            <c:dLbl>
              <c:idx val="1"/>
              <c:tx>
                <c:strRef>
                  <c:f>'C12A'!$AG$14</c:f>
                  <c:strCache>
                    <c:ptCount val="1"/>
                    <c:pt idx="0">
                      <c:v>1,866</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{BDF04545-0AC3-4508-B78E-ED5439D28FA9}</c15:txfldGUID>
                      <c15:f>'C12A'!$AG$14</c15:f>
                      <c15:dlblFieldTableCache>
                        <c:ptCount val="1"/>
                        <c:pt idx="0">
                          <c:v>1,866</c:v>
                        </c:pt>
                      </c15:dlblFieldTableCache>
                    </c15:dlblFTEntry>
                  </c15:dlblFieldTable>
                  <c15:showDataLabelsRange val="0"/>
                </c:ext>
                <c:ext xmlns:c16="http://schemas.microsoft.com/office/drawing/2014/chart" uri="{C3380CC4-5D6E-409C-BE32-E72D297353CC}">
                  <c16:uniqueId val="{00000018-D460-439A-BB78-B10F733E2244}"/>
                </c:ext>
              </c:extLst>
            </c:dLbl>
            <c:dLbl>
              <c:idx val="2"/>
              <c:tx>
                <c:strRef>
                  <c:f>'C12A'!$AG$15</c:f>
                  <c:strCache>
                    <c:ptCount val="1"/>
                    <c:pt idx="0">
                      <c:v>1,578</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{38B70110-8E16-44F5-978F-193FE9AE76C5}</c15:txfldGUID>
                      <c15:f>'C12A'!$AG$15</c15:f>
                      <c15:dlblFieldTableCache>
                        <c:ptCount val="1"/>
                        <c:pt idx="0">
                          <c:v>1,578</c:v>
                        </c:pt>
                      </c15:dlblFieldTableCache>
                    </c15:dlblFTEntry>
                  </c15:dlblFieldTable>
                  <c15:showDataLabelsRange val="0"/>
                </c:ext>
                <c:ext xmlns:c16="http://schemas.microsoft.com/office/drawing/2014/chart" uri="{C3380CC4-5D6E-409C-BE32-E72D297353CC}">
                  <c16:uniqueId val="{00000019-D460-439A-BB78-B10F733E2244}"/>
                </c:ext>
              </c:extLst>
            </c:dLbl>
            <c:dLbl>
              <c:idx val="3"/>
              <c:tx>
                <c:strRef>
                  <c:f>'C12A'!$AG$16</c:f>
                  <c:strCache>
                    <c:ptCount val="1"/>
                    <c:pt idx="0">
                      <c:v>62,109</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{401DD01B-83F7-41C5-9E27-59DDD2757858}</c15:txfldGUID>
                      <c15:f>'C12A'!$AG$16</c15:f>
                      <c15:dlblFieldTableCache>
                        <c:ptCount val="1"/>
                        <c:pt idx="0">
                          <c:v>62,109</c:v>
                        </c:pt>
                      </c15:dlblFieldTableCache>
                    </c15:dlblFTEntry>
                  </c15:dlblFieldTable>
                  <c15:showDataLabelsRange val="0"/>
                </c:ext>
                <c:ext xmlns:c16="http://schemas.microsoft.com/office/drawing/2014/chart" uri="{C3380CC4-5D6E-409C-BE32-E72D297353CC}">
                  <c16:uniqueId val="{0000001A-D460-439A-BB78-B10F733E2244}"/>
                </c:ext>
              </c:extLst>
            </c:dLbl>
            <c:dLbl>
              <c:idx val="4"/>
              <c:delete val="1"/>
              <c:extLst>
                <c:ext xmlns:c15="http://schemas.microsoft.com/office/drawing/2012/chart" uri="{CE6537A1-D6FC-4f65-9D91-7224C49458BB}"/>
                <c:ext xmlns:c16="http://schemas.microsoft.com/office/drawing/2014/chart" uri="{C3380CC4-5D6E-409C-BE32-E72D297353CC}">
                  <c16:uniqueId val="{00000009-D460-439A-BB78-B10F733E2244}"/>
                </c:ext>
              </c:extLst>
            </c:dLbl>
            <c:dLbl>
              <c:idx val="5"/>
              <c:delete val="1"/>
              <c:extLst>
                <c:ext xmlns:c15="http://schemas.microsoft.com/office/drawing/2012/chart" uri="{CE6537A1-D6FC-4f65-9D91-7224C49458BB}"/>
                <c:ext xmlns:c16="http://schemas.microsoft.com/office/drawing/2014/chart" uri="{C3380CC4-5D6E-409C-BE32-E72D297353CC}">
                  <c16:uniqueId val="{0000000A-D460-439A-BB78-B10F733E2244}"/>
                </c:ext>
              </c:extLst>
            </c:dLbl>
            <c:dLbl>
              <c:idx val="6"/>
              <c:delete val="1"/>
              <c:extLst>
                <c:ext xmlns:c15="http://schemas.microsoft.com/office/drawing/2012/chart" uri="{CE6537A1-D6FC-4f65-9D91-7224C49458BB}"/>
                <c:ext xmlns:c16="http://schemas.microsoft.com/office/drawing/2014/chart" uri="{C3380CC4-5D6E-409C-BE32-E72D297353CC}">
                  <c16:uniqueId val="{0000000B-D460-439A-BB78-B10F733E2244}"/>
                </c:ext>
              </c:extLst>
            </c:dLbl>
            <c:dLbl>
              <c:idx val="7"/>
              <c:tx>
                <c:strRef>
                  <c:f>'C12A'!$AG$20</c:f>
                  <c:strCache>
                    <c:ptCount val="1"/>
                    <c:pt idx="0">
                      <c:v>4,904</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{69956689-DBE4-49BD-8134-819A06B5E305}</c15:txfldGUID>
                      <c15:f>'C12A'!$AG$20</c15:f>
                      <c15:dlblFieldTableCache>
                        <c:ptCount val="1"/>
                        <c:pt idx="0">
                          <c:v>4,904</c:v>
                        </c:pt>
                      </c15:dlblFieldTableCache>
                    </c15:dlblFTEntry>
                  </c15:dlblFieldTable>
                  <c15:showDataLabelsRange val="0"/>
                </c:ext>
                <c:ext xmlns:c16="http://schemas.microsoft.com/office/drawing/2014/chart" uri="{C3380CC4-5D6E-409C-BE32-E72D297353CC}">
                  <c16:uniqueId val="{0000001B-D460-439A-BB78-B10F733E2244}"/>
                </c:ext>
              </c:extLst>
            </c:dLbl>
            <c:dLbl>
              <c:idx val="8"/>
              <c:delete val="1"/>
              <c:extLst>
                <c:ext xmlns:c15="http://schemas.microsoft.com/office/drawing/2012/chart" uri="{CE6537A1-D6FC-4f65-9D91-7224C49458BB}"/>
                <c:ext xmlns:c16="http://schemas.microsoft.com/office/drawing/2014/chart" uri="{C3380CC4-5D6E-409C-BE32-E72D297353CC}">
                  <c16:uniqueId val="{0000000C-D460-439A-BB78-B10F733E2244}"/>
                </c:ext>
              </c:extLst>
            </c:dLbl>
            <c:dLbl>
              <c:idx val="9"/>
              <c:tx>
                <c:strRef>
                  <c:f>'C12A'!$AG$22</c:f>
                  <c:strCache>
                    <c:ptCount val="1"/>
                    <c:pt idx="0">
                      <c:v>3,903</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{8E4B0659-4B54-4BA0-9B0A-4F24C11CD432}</c15:txfldGUID>
                      <c15:f>'C12A'!$AG$22</c15:f>
                      <c15:dlblFieldTableCache>
                        <c:ptCount val="1"/>
                        <c:pt idx="0">
                          <c:v>3,903</c:v>
                        </c:pt>
                      </c15:dlblFieldTableCache>
                    </c15:dlblFTEntry>
                  </c15:dlblFieldTable>
                  <c15:showDataLabelsRange val="0"/>
                </c:ext>
                <c:ext xmlns:c16="http://schemas.microsoft.com/office/drawing/2014/chart" uri="{C3380CC4-5D6E-409C-BE32-E72D297353CC}">
                  <c16:uniqueId val="{0000001C-D460-439A-BB78-B10F733E2244}"/>
                </c:ext>
              </c:extLst>
            </c:dLbl>
            <c:dLbl>
              <c:idx val="10"/>
              <c:delete val="1"/>
              <c:extLst>
                <c:ext xmlns:c15="http://schemas.microsoft.com/office/drawing/2012/chart" uri="{CE6537A1-D6FC-4f65-9D91-7224C49458BB}"/>
                <c:ext xmlns:c16="http://schemas.microsoft.com/office/drawing/2014/chart" uri="{C3380CC4-5D6E-409C-BE32-E72D297353CC}">
                  <c16:uniqueId val="{0000000D-D460-439A-BB78-B10F733E2244}"/>
                </c:ext>
              </c:extLst>
            </c:dLbl>
            <c:dLbl>
              <c:idx val="11"/>
              <c:delete val="1"/>
              <c:extLst>
                <c:ext xmlns:c15="http://schemas.microsoft.com/office/drawing/2012/chart" uri="{CE6537A1-D6FC-4f65-9D91-7224C49458BB}"/>
                <c:ext xmlns:c16="http://schemas.microsoft.com/office/drawing/2014/chart" uri="{C3380CC4-5D6E-409C-BE32-E72D297353CC}">
                  <c16:uniqueId val="{0000000E-D460-439A-BB78-B10F733E2244}"/>
                </c:ext>
              </c:extLst>
            </c:dLbl>
            <c:dLbl>
              <c:idx val="12"/>
              <c:delete val="1"/>
              <c:extLst>
                <c:ext xmlns:c15="http://schemas.microsoft.com/office/drawing/2012/chart" uri="{CE6537A1-D6FC-4f65-9D91-7224C49458BB}"/>
                <c:ext xmlns:c16="http://schemas.microsoft.com/office/drawing/2014/chart" uri="{C3380CC4-5D6E-409C-BE32-E72D297353CC}">
                  <c16:uniqueId val="{0000000F-D460-439A-BB78-B10F733E2244}"/>
                </c:ext>
              </c:extLst>
            </c:dLbl>
            <c:dLbl>
              <c:idx val="13"/>
              <c:delete val="1"/>
              <c:extLst>
                <c:ext xmlns:c15="http://schemas.microsoft.com/office/drawing/2012/chart" uri="{CE6537A1-D6FC-4f65-9D91-7224C49458BB}"/>
                <c:ext xmlns:c16="http://schemas.microsoft.com/office/drawing/2014/chart" uri="{C3380CC4-5D6E-409C-BE32-E72D297353CC}">
                  <c16:uniqueId val="{00000010-D460-439A-BB78-B10F733E2244}"/>
                </c:ext>
              </c:extLst>
            </c:dLbl>
            <c:dLbl>
              <c:idx val="14"/>
              <c:delete val="1"/>
              <c:extLst>
                <c:ext xmlns:c15="http://schemas.microsoft.com/office/drawing/2012/chart" uri="{CE6537A1-D6FC-4f65-9D91-7224C49458BB}"/>
                <c:ext xmlns:c16="http://schemas.microsoft.com/office/drawing/2014/chart" uri="{C3380CC4-5D6E-409C-BE32-E72D297353CC}">
                  <c16:uniqueId val="{00000011-D460-439A-BB78-B10F733E2244}"/>
                </c:ext>
              </c:extLst>
            </c:dLbl>
            <c:dLbl>
              <c:idx val="15"/>
              <c:delete val="1"/>
              <c:extLst>
                <c:ext xmlns:c15="http://schemas.microsoft.com/office/drawing/2012/chart" uri="{CE6537A1-D6FC-4f65-9D91-7224C49458BB}"/>
                <c:ext xmlns:c16="http://schemas.microsoft.com/office/drawing/2014/chart" uri="{C3380CC4-5D6E-409C-BE32-E72D297353CC}">
                  <c16:uniqueId val="{00000012-D460-439A-BB78-B10F733E2244}"/>
                </c:ext>
              </c:extLst>
            </c:dLbl>
            <c:dLbl>
              <c:idx val="16"/>
              <c:delete val="1"/>
              <c:extLst>
                <c:ext xmlns:c15="http://schemas.microsoft.com/office/drawing/2012/chart" uri="{CE6537A1-D6FC-4f65-9D91-7224C49458BB}"/>
                <c:ext xmlns:c16="http://schemas.microsoft.com/office/drawing/2014/chart" uri="{C3380CC4-5D6E-409C-BE32-E72D297353CC}">
                  <c16:uniqueId val="{00000013-D460-439A-BB78-B10F733E2244}"/>
                </c:ext>
              </c:extLst>
            </c:dLbl>
            <c:dLbl>
              <c:idx val="17"/>
              <c:delete val="1"/>
              <c:extLst>
                <c:ext xmlns:c15="http://schemas.microsoft.com/office/drawing/2012/chart" uri="{CE6537A1-D6FC-4f65-9D91-7224C49458BB}"/>
                <c:ext xmlns:c16="http://schemas.microsoft.com/office/drawing/2014/chart" uri="{C3380CC4-5D6E-409C-BE32-E72D297353CC}">
                  <c16:uniqueId val="{00000014-D460-439A-BB78-B10F733E2244}"/>
                </c:ext>
              </c:extLst>
            </c:dLbl>
            <c:dLbl>
              <c:idx val="18"/>
              <c:delete val="1"/>
              <c:extLst>
                <c:ext xmlns:c15="http://schemas.microsoft.com/office/drawing/2012/chart" uri="{CE6537A1-D6FC-4f65-9D91-7224C49458BB}"/>
                <c:ext xmlns:c16="http://schemas.microsoft.com/office/drawing/2014/chart" uri="{C3380CC4-5D6E-409C-BE32-E72D297353CC}">
                  <c16:uniqueId val="{00000015-D460-439A-BB78-B10F733E2244}"/>
                </c:ext>
              </c:extLst>
            </c:dLbl>
            <c:dLbl>
              <c:idx val="19"/>
              <c:delete val="1"/>
              <c:extLst>
                <c:ext xmlns:c15="http://schemas.microsoft.com/office/drawing/2012/chart" uri="{CE6537A1-D6FC-4f65-9D91-7224C49458BB}"/>
                <c:ext xmlns:c16="http://schemas.microsoft.com/office/drawing/2014/chart" uri="{C3380CC4-5D6E-409C-BE32-E72D297353CC}">
                  <c16:uniqueId val="{00000016-D460-439A-BB78-B10F733E2244}"/>
                </c:ext>
              </c:extLst>
            </c:dLbl>
            <c:numFmt formatCode="#,##0" sourceLinked="0"/>
            <c:spPr>
              <a:noFill/>
              <a:ln>
                <a:noFill/>
              </a:ln>
              <a:effectLst/>
            </c:spPr>
            <c:txPr>
              <a:bodyPr wrap="square" lIns="38100" tIns="19050" rIns="38100" bIns="19050" anchor="ctr">
                <a:spAutoFit/>
              </a:bodyPr>
              <a:lstStyle/>
              <a:p>
                <a:pPr>
                  <a:defRPr sz="900">
                    <a:solidFill>
                      <a:srgbClr val="FFFFFF"/>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'C12A'!$A$13:$A$32</c:f>
              <c:strCache>
                <c:ptCount val="10"/>
                <c:pt idx="0">
                  <c:v>Premiums earned</c:v>
                </c:pt>
                <c:pt idx="1">
                  <c:v>Investment income</c:v>
                </c:pt>
                <c:pt idx="2">
                  <c:v>Other revenues</c:v>
                </c:pt>
                <c:pt idx="3">
                  <c:v>Total revenues</c:v>
                </c:pt>
                <c:pt idx="4">
                  <c:v>Losses and LAE</c:v>
                </c:pt>
                <c:pt idx="5">
                  <c:v>Acquisition costs</c:v>
                </c:pt>
                <c:pt idx="6">
                  <c:v>Other expenses</c:v>
                </c:pt>
                <c:pt idx="7">
                  <c:v>Pretax income</c:v>
                </c:pt>
                <c:pt idx="8">
                  <c:v>Income taxes</c:v>
                </c:pt>
                <c:pt idx="9">
                  <c:v>Net income</c:v>
                </c:pt>
              </c:strCache>
            </c:strRef>
          </c:cat>
          <c:val>
            <c:numRef>
              <c:f>'C12A'!$AF$13:$AF$32</c:f>
              <c:numCache>
                <c:formatCode>0.000000</c:formatCode>
                <c:ptCount val="20"/>
                <c:pt idx="0">
                  <c:v>0.94454909916437235</c:v>
                </c:pt>
                <c:pt idx="1">
                  <c:v>3.0043954982369704E-2</c:v>
                </c:pt>
                <c:pt idx="2">
                  <c:v>2.5406945853257982E-2</c:v>
                </c:pt>
                <c:pt idx="3">
                  <c:v>1</c:v>
                </c:pt>
                <c:pt idx="4">
                  <c:v>0</c:v>
                </c:pt>
                <c:pt idx="5">
                  <c:v>0</c:v>
                </c:pt>
                <c:pt idx="6">
                  <c:v>0</c:v>
                </c:pt>
                <c:pt idx="7">
                  <c:v>7.8957961004041288E-2</c:v>
                </c:pt>
                <c:pt idx="8">
                  <c:v>0</c:v>
                </c:pt>
                <c:pt idx="9">
                  <c:v>6.2841134135149496E-2</c:v>
                </c:pt>
              </c:numCache>
            </c:numRef>
          </c:val>
          <c:extLst>
            <c:ext xmlns:c16="http://schemas.microsoft.com/office/drawing/2014/chart" uri="{C3380CC4-5D6E-409C-BE32-E72D297353CC}">
              <c16:uniqueId val="{00000008-D460-439A-BB78-B10F733E2244}"/>
            </c:ext>
          </c:extLst>
        </c:ser>
        <c:ser>
          <c:idx val="2"/>
          <c:order val="2"/>
          <c:tx>
            <c:v>AC subs</c:v>
          </c:tx>
          <c:spPr>
            <a:solidFill>
              <a:srgbClr val="7F7F7F"/>
            </a:solidFill>
            <a:ln>
              <a:noFill/>
            </a:ln>
            <a:effectLst/>
            <a:extLst>
              <a:ext uri="{91240B29-F687-4F45-9708-019B960494DF}">
                <a14:hiddenLine xmlns:a14="http://schemas.microsoft.com/office/drawing/2010/main">
                  <a:noFill/>
                </a14:hiddenLine>
              </a:ext>
            </a:ex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1E-D460-439A-BB78-B10F733E2244}"/>
                </c:ext>
              </c:extLst>
            </c:dLbl>
            <c:dLbl>
              <c:idx val="1"/>
              <c:delete val="1"/>
              <c:extLst>
                <c:ext xmlns:c15="http://schemas.microsoft.com/office/drawing/2012/chart" uri="{CE6537A1-D6FC-4f65-9D91-7224C49458BB}"/>
                <c:ext xmlns:c16="http://schemas.microsoft.com/office/drawing/2014/chart" uri="{C3380CC4-5D6E-409C-BE32-E72D297353CC}">
                  <c16:uniqueId val="{0000001F-D460-439A-BB78-B10F733E2244}"/>
                </c:ext>
              </c:extLst>
            </c:dLbl>
            <c:dLbl>
              <c:idx val="2"/>
              <c:delete val="1"/>
              <c:extLst>
                <c:ext xmlns:c15="http://schemas.microsoft.com/office/drawing/2012/chart" uri="{CE6537A1-D6FC-4f65-9D91-7224C49458BB}"/>
                <c:ext xmlns:c16="http://schemas.microsoft.com/office/drawing/2014/chart" uri="{C3380CC4-5D6E-409C-BE32-E72D297353CC}">
                  <c16:uniqueId val="{00000020-D460-439A-BB78-B10F733E2244}"/>
                </c:ext>
              </c:extLst>
            </c:dLbl>
            <c:dLbl>
              <c:idx val="3"/>
              <c:delete val="1"/>
              <c:extLst>
                <c:ext xmlns:c15="http://schemas.microsoft.com/office/drawing/2012/chart" uri="{CE6537A1-D6FC-4f65-9D91-7224C49458BB}"/>
                <c:ext xmlns:c16="http://schemas.microsoft.com/office/drawing/2014/chart" uri="{C3380CC4-5D6E-409C-BE32-E72D297353CC}">
                  <c16:uniqueId val="{00000021-D460-439A-BB78-B10F733E2244}"/>
                </c:ext>
              </c:extLst>
            </c:dLbl>
            <c:dLbl>
              <c:idx val="4"/>
              <c:tx>
                <c:strRef>
                  <c:f>'C12A'!$AI$17</c:f>
                  <c:strCache>
                    <c:ptCount val="1"/>
                    <c:pt idx="0">
                      <c:v>45,655</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{CB05D80A-91B3-4DF9-A925-51091D614A46}</c15:txfldGUID>
                      <c15:f>'C12A'!$AI$17</c15:f>
                      <c15:dlblFieldTableCache>
                        <c:ptCount val="1"/>
                        <c:pt idx="0">
                          <c:v>45,655</c:v>
                        </c:pt>
                      </c15:dlblFieldTableCache>
                    </c15:dlblFTEntry>
                  </c15:dlblFieldTable>
                  <c15:showDataLabelsRange val="0"/>
                </c:ext>
                <c:ext xmlns:c16="http://schemas.microsoft.com/office/drawing/2014/chart" uri="{C3380CC4-5D6E-409C-BE32-E72D297353CC}">
                  <c16:uniqueId val="{0000002E-D460-439A-BB78-B10F733E2244}"/>
                </c:ext>
              </c:extLst>
            </c:dLbl>
            <c:dLbl>
              <c:idx val="5"/>
              <c:tx>
                <c:strRef>
                  <c:f>'C12A'!$AI$18</c:f>
                  <c:strCache>
                    <c:ptCount val="1"/>
                    <c:pt idx="0">
                      <c:v>4,665</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{1E0F2244-DEAC-4279-A77C-B1B9C9D8BDF0}</c15:txfldGUID>
                      <c15:f>'C12A'!$AI$18</c15:f>
                      <c15:dlblFieldTableCache>
                        <c:ptCount val="1"/>
                        <c:pt idx="0">
                          <c:v>4,665</c:v>
                        </c:pt>
                      </c15:dlblFieldTableCache>
                    </c15:dlblFTEntry>
                  </c15:dlblFieldTable>
                  <c15:showDataLabelsRange val="0"/>
                </c:ext>
                <c:ext xmlns:c16="http://schemas.microsoft.com/office/drawing/2014/chart" uri="{C3380CC4-5D6E-409C-BE32-E72D297353CC}">
                  <c16:uniqueId val="{0000002F-D460-439A-BB78-B10F733E2244}"/>
                </c:ext>
              </c:extLst>
            </c:dLbl>
            <c:dLbl>
              <c:idx val="6"/>
              <c:tx>
                <c:strRef>
                  <c:f>'C12A'!$AI$19</c:f>
                  <c:strCache>
                    <c:ptCount val="1"/>
                    <c:pt idx="0">
                      <c:v>6,885</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{4E627CC4-C6A5-4F46-AD64-7CCA47675B34}</c15:txfldGUID>
                      <c15:f>'C12A'!$AI$19</c15:f>
                      <c15:dlblFieldTableCache>
                        <c:ptCount val="1"/>
                        <c:pt idx="0">
                          <c:v>6,885</c:v>
                        </c:pt>
                      </c15:dlblFieldTableCache>
                    </c15:dlblFTEntry>
                  </c15:dlblFieldTable>
                  <c15:showDataLabelsRange val="0"/>
                </c:ext>
                <c:ext xmlns:c16="http://schemas.microsoft.com/office/drawing/2014/chart" uri="{C3380CC4-5D6E-409C-BE32-E72D297353CC}">
                  <c16:uniqueId val="{00000030-D460-439A-BB78-B10F733E2244}"/>
                </c:ext>
              </c:extLst>
            </c:dLbl>
            <c:dLbl>
              <c:idx val="7"/>
              <c:delete val="1"/>
              <c:extLst>
                <c:ext xmlns:c15="http://schemas.microsoft.com/office/drawing/2012/chart" uri="{CE6537A1-D6FC-4f65-9D91-7224C49458BB}"/>
                <c:ext xmlns:c16="http://schemas.microsoft.com/office/drawing/2014/chart" uri="{C3380CC4-5D6E-409C-BE32-E72D297353CC}">
                  <c16:uniqueId val="{00000022-D460-439A-BB78-B10F733E2244}"/>
                </c:ext>
              </c:extLst>
            </c:dLbl>
            <c:dLbl>
              <c:idx val="8"/>
              <c:tx>
                <c:strRef>
                  <c:f>'C12A'!$AI$21</c:f>
                  <c:strCache>
                    <c:ptCount val="1"/>
                    <c:pt idx="0">
                      <c:v>1,001</c:v>
                    </c:pt>
                  </c:strCache>
                </c:strRef>
              </c:tx>
              <c:dLblPos val="inEnd"/>
              <c:showLegendKey val="0"/>
              <c:showVal val="1"/>
              <c:showCatName val="0"/>
              <c:showSerName val="0"/>
              <c:showPercent val="0"/>
              <c:showBubbleSize val="0"/>
              <c:extLst>
                <c:ext xmlns:c15="http://schemas.microsoft.com/office/drawing/2012/chart" uri="{CE6537A1-D6FC-4f65-9D91-7224C49458BB}">
                  <c15:dlblFieldTable>
                    <c15:dlblFTEntry>
                      <c15:txfldGUID>{FE4CA89F-41BD-45AF-A0FF-7FD680D3F3BD}</c15:txfldGUID>
                      <c15:f>'C12A'!$AI$21</c15:f>
                      <c15:dlblFieldTableCache>
                        <c:ptCount val="1"/>
                        <c:pt idx="0">
                          <c:v>1,001</c:v>
                        </c:pt>
                      </c15:dlblFieldTableCache>
                    </c15:dlblFTEntry>
                  </c15:dlblFieldTable>
                  <c15:showDataLabelsRange val="0"/>
                </c:ext>
                <c:ext xmlns:c16="http://schemas.microsoft.com/office/drawing/2014/chart" uri="{C3380CC4-5D6E-409C-BE32-E72D297353CC}">
                  <c16:uniqueId val="{00000031-D460-439A-BB78-B10F733E2244}"/>
                </c:ext>
              </c:extLst>
            </c:dLbl>
            <c:dLbl>
              <c:idx val="9"/>
              <c:delete val="1"/>
              <c:extLst>
                <c:ext xmlns:c15="http://schemas.microsoft.com/office/drawing/2012/chart" uri="{CE6537A1-D6FC-4f65-9D91-7224C49458BB}"/>
                <c:ext xmlns:c16="http://schemas.microsoft.com/office/drawing/2014/chart" uri="{C3380CC4-5D6E-409C-BE32-E72D297353CC}">
                  <c16:uniqueId val="{00000023-D460-439A-BB78-B10F733E2244}"/>
                </c:ext>
              </c:extLst>
            </c:dLbl>
            <c:dLbl>
              <c:idx val="10"/>
              <c:delete val="1"/>
              <c:extLst>
                <c:ext xmlns:c15="http://schemas.microsoft.com/office/drawing/2012/chart" uri="{CE6537A1-D6FC-4f65-9D91-7224C49458BB}"/>
                <c:ext xmlns:c16="http://schemas.microsoft.com/office/drawing/2014/chart" uri="{C3380CC4-5D6E-409C-BE32-E72D297353CC}">
                  <c16:uniqueId val="{00000024-D460-439A-BB78-B10F733E2244}"/>
                </c:ext>
              </c:extLst>
            </c:dLbl>
            <c:dLbl>
              <c:idx val="11"/>
              <c:delete val="1"/>
              <c:extLst>
                <c:ext xmlns:c15="http://schemas.microsoft.com/office/drawing/2012/chart" uri="{CE6537A1-D6FC-4f65-9D91-7224C49458BB}"/>
                <c:ext xmlns:c16="http://schemas.microsoft.com/office/drawing/2014/chart" uri="{C3380CC4-5D6E-409C-BE32-E72D297353CC}">
                  <c16:uniqueId val="{00000025-D460-439A-BB78-B10F733E2244}"/>
                </c:ext>
              </c:extLst>
            </c:dLbl>
            <c:dLbl>
              <c:idx val="12"/>
              <c:delete val="1"/>
              <c:extLst>
                <c:ext xmlns:c15="http://schemas.microsoft.com/office/drawing/2012/chart" uri="{CE6537A1-D6FC-4f65-9D91-7224C49458BB}"/>
                <c:ext xmlns:c16="http://schemas.microsoft.com/office/drawing/2014/chart" uri="{C3380CC4-5D6E-409C-BE32-E72D297353CC}">
                  <c16:uniqueId val="{00000026-D460-439A-BB78-B10F733E2244}"/>
                </c:ext>
              </c:extLst>
            </c:dLbl>
            <c:dLbl>
              <c:idx val="13"/>
              <c:delete val="1"/>
              <c:extLst>
                <c:ext xmlns:c15="http://schemas.microsoft.com/office/drawing/2012/chart" uri="{CE6537A1-D6FC-4f65-9D91-7224C49458BB}"/>
                <c:ext xmlns:c16="http://schemas.microsoft.com/office/drawing/2014/chart" uri="{C3380CC4-5D6E-409C-BE32-E72D297353CC}">
                  <c16:uniqueId val="{00000027-D460-439A-BB78-B10F733E2244}"/>
                </c:ext>
              </c:extLst>
            </c:dLbl>
            <c:dLbl>
              <c:idx val="14"/>
              <c:delete val="1"/>
              <c:extLst>
                <c:ext xmlns:c15="http://schemas.microsoft.com/office/drawing/2012/chart" uri="{CE6537A1-D6FC-4f65-9D91-7224C49458BB}"/>
                <c:ext xmlns:c16="http://schemas.microsoft.com/office/drawing/2014/chart" uri="{C3380CC4-5D6E-409C-BE32-E72D297353CC}">
                  <c16:uniqueId val="{00000028-D460-439A-BB78-B10F733E2244}"/>
                </c:ext>
              </c:extLst>
            </c:dLbl>
            <c:dLbl>
              <c:idx val="15"/>
              <c:delete val="1"/>
              <c:extLst>
                <c:ext xmlns:c15="http://schemas.microsoft.com/office/drawing/2012/chart" uri="{CE6537A1-D6FC-4f65-9D91-7224C49458BB}"/>
                <c:ext xmlns:c16="http://schemas.microsoft.com/office/drawing/2014/chart" uri="{C3380CC4-5D6E-409C-BE32-E72D297353CC}">
                  <c16:uniqueId val="{00000029-D460-439A-BB78-B10F733E2244}"/>
                </c:ext>
              </c:extLst>
            </c:dLbl>
            <c:dLbl>
              <c:idx val="16"/>
              <c:delete val="1"/>
              <c:extLst>
                <c:ext xmlns:c15="http://schemas.microsoft.com/office/drawing/2012/chart" uri="{CE6537A1-D6FC-4f65-9D91-7224C49458BB}"/>
                <c:ext xmlns:c16="http://schemas.microsoft.com/office/drawing/2014/chart" uri="{C3380CC4-5D6E-409C-BE32-E72D297353CC}">
                  <c16:uniqueId val="{0000002A-D460-439A-BB78-B10F733E2244}"/>
                </c:ext>
              </c:extLst>
            </c:dLbl>
            <c:dLbl>
              <c:idx val="17"/>
              <c:delete val="1"/>
              <c:extLst>
                <c:ext xmlns:c15="http://schemas.microsoft.com/office/drawing/2012/chart" uri="{CE6537A1-D6FC-4f65-9D91-7224C49458BB}"/>
                <c:ext xmlns:c16="http://schemas.microsoft.com/office/drawing/2014/chart" uri="{C3380CC4-5D6E-409C-BE32-E72D297353CC}">
                  <c16:uniqueId val="{0000002B-D460-439A-BB78-B10F733E2244}"/>
                </c:ext>
              </c:extLst>
            </c:dLbl>
            <c:dLbl>
              <c:idx val="18"/>
              <c:delete val="1"/>
              <c:extLst>
                <c:ext xmlns:c15="http://schemas.microsoft.com/office/drawing/2012/chart" uri="{CE6537A1-D6FC-4f65-9D91-7224C49458BB}"/>
                <c:ext xmlns:c16="http://schemas.microsoft.com/office/drawing/2014/chart" uri="{C3380CC4-5D6E-409C-BE32-E72D297353CC}">
                  <c16:uniqueId val="{0000002C-D460-439A-BB78-B10F733E2244}"/>
                </c:ext>
              </c:extLst>
            </c:dLbl>
            <c:dLbl>
              <c:idx val="19"/>
              <c:delete val="1"/>
              <c:extLst>
                <c:ext xmlns:c15="http://schemas.microsoft.com/office/drawing/2012/chart" uri="{CE6537A1-D6FC-4f65-9D91-7224C49458BB}"/>
                <c:ext xmlns:c16="http://schemas.microsoft.com/office/drawing/2014/chart" uri="{C3380CC4-5D6E-409C-BE32-E72D297353CC}">
                  <c16:uniqueId val="{0000002D-D460-439A-BB78-B10F733E2244}"/>
                </c:ext>
              </c:extLst>
            </c:dLbl>
            <c:numFmt formatCode="#,##0" sourceLinked="0"/>
            <c:spPr>
              <a:noFill/>
              <a:ln>
                <a:noFill/>
              </a:ln>
              <a:effectLst/>
            </c:spPr>
            <c:txPr>
              <a:bodyPr wrap="square" lIns="38100" tIns="19050" rIns="38100" bIns="19050" anchor="ctr">
                <a:spAutoFit/>
              </a:bodyPr>
              <a:lstStyle/>
              <a:p>
                <a:pPr>
                  <a:defRPr sz="900">
                    <a:solidFill>
                      <a:srgbClr val="FFFFFF"/>
                    </a:solidFill>
                    <a:latin typeface="Arial"/>
                    <a:ea typeface="Arial"/>
                    <a:cs typeface="Arial"/>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'C12A'!$A$13:$A$32</c:f>
              <c:strCache>
                <c:ptCount val="10"/>
                <c:pt idx="0">
                  <c:v>Premiums earned</c:v>
                </c:pt>
                <c:pt idx="1">
                  <c:v>Investment income</c:v>
                </c:pt>
                <c:pt idx="2">
                  <c:v>Other revenues</c:v>
                </c:pt>
                <c:pt idx="3">
                  <c:v>Total revenues</c:v>
                </c:pt>
                <c:pt idx="4">
                  <c:v>Losses and LAE</c:v>
                </c:pt>
                <c:pt idx="5">
                  <c:v>Acquisition costs</c:v>
                </c:pt>
                <c:pt idx="6">
                  <c:v>Other expenses</c:v>
                </c:pt>
                <c:pt idx="7">
                  <c:v>Pretax income</c:v>
                </c:pt>
                <c:pt idx="8">
                  <c:v>Income taxes</c:v>
                </c:pt>
                <c:pt idx="9">
                  <c:v>Net income</c:v>
                </c:pt>
              </c:strCache>
            </c:strRef>
          </c:cat>
          <c:val>
            <c:numRef>
              <c:f>'C12A'!$AH$13:$AH$32</c:f>
              <c:numCache>
                <c:formatCode>0.000000</c:formatCode>
                <c:ptCount val="20"/>
                <c:pt idx="0">
                  <c:v>0</c:v>
                </c:pt>
                <c:pt idx="1">
                  <c:v>0</c:v>
                </c:pt>
                <c:pt idx="2">
                  <c:v>0</c:v>
                </c:pt>
                <c:pt idx="3">
                  <c:v>0</c:v>
                </c:pt>
                <c:pt idx="4">
                  <c:v>0.73507865204720735</c:v>
                </c:pt>
                <c:pt idx="5">
                  <c:v>7.5109887455924257E-2</c:v>
                </c:pt>
                <c:pt idx="6">
                  <c:v>0.11085349949282712</c:v>
                </c:pt>
                <c:pt idx="7">
                  <c:v>0</c:v>
                </c:pt>
                <c:pt idx="8">
                  <c:v>1.6116826868891786E-2</c:v>
                </c:pt>
                <c:pt idx="9">
                  <c:v>0</c:v>
                </c:pt>
              </c:numCache>
            </c:numRef>
          </c:val>
          <c:extLst>
            <c:ext xmlns:c16="http://schemas.microsoft.com/office/drawing/2014/chart" uri="{C3380CC4-5D6E-409C-BE32-E72D297353CC}">
              <c16:uniqueId val="{0000001D-D460-439A-BB78-B10F733E2244}"/>
            </c:ext>
          </c:extLst>
        </c:ser>
        <c:dLbls>
          <c:showLegendKey val="0"/>
          <c:showVal val="0"/>
          <c:showCatName val="0"/>
          <c:showSerName val="0"/>
          <c:showPercent val="0"/>
          <c:showBubbleSize val="0"/>
        </c:dLbls>
        <c:gapWidth val="150"/>
        <c:overlap val="100"/>
        <c:axId val="1613676160"/>
        <c:axId val="1095972592"/>
      </c:barChart>
      <c:catAx>
        <c:axId val="1613676160"/>
        <c:scaling>
          <c:orientation val="maxMin"/>
        </c:scaling>
        <c:delete val="0"/>
        <c:axPos val="l"/>
        <c:numFmt formatCode="General" sourceLinked="1"/>
        <c:majorTickMark val="none"/>
        <c:minorTickMark val="none"/>
        <c:tickLblPos val="none"/>
        <c:crossAx val="1095972592"/>
        <c:crosses val="autoZero"/>
        <c:auto val="1"/>
        <c:lblAlgn val="ctr"/>
        <c:lblOffset val="100"/>
        <c:noMultiLvlLbl val="0"/>
      </c:catAx>
      <c:valAx>
        <c:axId val="1095972592"/>
        <c:scaling>
          <c:orientation val="minMax"/>
          <c:max val="1.0556000000000001"/>
          <c:min val="-0.03"/>
        </c:scaling>
        <c:delete val="0"/>
        <c:axPos val="b"/>
        <c:numFmt formatCode="0.00000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3676160"/>
        <c:crosses val="max"/>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14285714285715"/>
          <c:y val="5.9701492537313432E-2"/>
          <c:w val="0.74285714285714288"/>
          <c:h val="0.92039800995024879"/>
        </c:manualLayout>
      </c:layout>
      <c:barChart>
        <c:barDir val="bar"/>
        <c:grouping val="clustered"/>
        <c:varyColors val="0"/>
        <c:ser>
          <c:idx val="0"/>
          <c:order val="0"/>
          <c:tx>
            <c:v>ΔPY</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dLbls>
            <c:dLbl>
              <c:idx val="0"/>
              <c:tx>
                <c:strRef>
                  <c:f>'C12A'!$AK$13</c:f>
                  <c:strCache>
                    <c:ptCount val="1"/>
                    <c:pt idx="0">
                      <c:v>+9424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{6E19372A-9CE5-4856-BA3B-926345D748F2}</c15:txfldGUID>
                      <c15:f>'C12A'!$AK$13</c15:f>
                      <c15:dlblFieldTableCache>
                        <c:ptCount val="1"/>
                        <c:pt idx="0">
                          <c:v>+9424</c:v>
                        </c:pt>
                      </c15:dlblFieldTableCache>
                    </c15:dlblFTEntry>
                  </c15:dlblFieldTable>
                  <c15:showDataLabelsRange val="0"/>
                </c:ext>
                <c:ext xmlns:c16="http://schemas.microsoft.com/office/drawing/2014/chart" uri="{C3380CC4-5D6E-409C-BE32-E72D297353CC}">
                  <c16:uniqueId val="{00000008-7DCC-457F-900D-9CBB4FB40563}"/>
                </c:ext>
              </c:extLst>
            </c:dLbl>
            <c:dLbl>
              <c:idx val="1"/>
              <c:tx>
                <c:strRef>
                  <c:f>'C12A'!$AK$14</c:f>
                  <c:strCache>
                    <c:ptCount val="1"/>
                    <c:pt idx="0">
                      <c:v>+630</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{3DA45617-C340-4593-81E1-8C12B2B99FC4}</c15:txfldGUID>
                      <c15:f>'C12A'!$AK$14</c15:f>
                      <c15:dlblFieldTableCache>
                        <c:ptCount val="1"/>
                        <c:pt idx="0">
                          <c:v>+630</c:v>
                        </c:pt>
                      </c15:dlblFieldTableCache>
                    </c15:dlblFTEntry>
                  </c15:dlblFieldTable>
                  <c15:showDataLabelsRange val="0"/>
                </c:ext>
                <c:ext xmlns:c16="http://schemas.microsoft.com/office/drawing/2014/chart" uri="{C3380CC4-5D6E-409C-BE32-E72D297353CC}">
                  <c16:uniqueId val="{00000009-7DCC-457F-900D-9CBB4FB40563}"/>
                </c:ext>
              </c:extLst>
            </c:dLbl>
            <c:dLbl>
              <c:idx val="2"/>
              <c:tx>
                <c:strRef>
                  <c:f>'C12A'!$AK$15</c:f>
                  <c:strCache>
                    <c:ptCount val="1"/>
                    <c:pt idx="0">
                      <c:v>+2444</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{57DA4317-2246-4057-9CD7-AA9F6E0A3A4F}</c15:txfldGUID>
                      <c15:f>'C12A'!$AK$15</c15:f>
                      <c15:dlblFieldTableCache>
                        <c:ptCount val="1"/>
                        <c:pt idx="0">
                          <c:v>+2444</c:v>
                        </c:pt>
                      </c15:dlblFieldTableCache>
                    </c15:dlblFTEntry>
                  </c15:dlblFieldTable>
                  <c15:showDataLabelsRange val="0"/>
                </c:ext>
                <c:ext xmlns:c16="http://schemas.microsoft.com/office/drawing/2014/chart" uri="{C3380CC4-5D6E-409C-BE32-E72D297353CC}">
                  <c16:uniqueId val="{0000000A-7DCC-457F-900D-9CBB4FB40563}"/>
                </c:ext>
              </c:extLst>
            </c:dLbl>
            <c:dLbl>
              <c:idx val="3"/>
              <c:tx>
                <c:strRef>
                  <c:f>'C12A'!$AK$16</c:f>
                  <c:strCache>
                    <c:ptCount val="1"/>
                    <c:pt idx="0">
                      <c:v>+12498</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{964FB809-BD60-463A-A130-72D8C6A9E5D4}</c15:txfldGUID>
                      <c15:f>'C12A'!$AK$16</c15:f>
                      <c15:dlblFieldTableCache>
                        <c:ptCount val="1"/>
                        <c:pt idx="0">
                          <c:v>+12498</c:v>
                        </c:pt>
                      </c15:dlblFieldTableCache>
                    </c15:dlblFTEntry>
                  </c15:dlblFieldTable>
                  <c15:showDataLabelsRange val="0"/>
                </c:ext>
                <c:ext xmlns:c16="http://schemas.microsoft.com/office/drawing/2014/chart" uri="{C3380CC4-5D6E-409C-BE32-E72D297353CC}">
                  <c16:uniqueId val="{0000000B-7DCC-457F-900D-9CBB4FB40563}"/>
                </c:ext>
              </c:extLst>
            </c:dLbl>
            <c:dLbl>
              <c:idx val="4"/>
              <c:tx>
                <c:strRef>
                  <c:f>'C12A'!$AK$17</c:f>
                  <c:strCache>
                    <c:ptCount val="1"/>
                    <c:pt idx="0">
                      <c:v>+7532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{EFD4845B-E4FF-4638-8B76-DBCD72065D61}</c15:txfldGUID>
                      <c15:f>'C12A'!$AK$17</c15:f>
                      <c15:dlblFieldTableCache>
                        <c:ptCount val="1"/>
                        <c:pt idx="0">
                          <c:v>+7532</c:v>
                        </c:pt>
                      </c15:dlblFieldTableCache>
                    </c15:dlblFTEntry>
                  </c15:dlblFieldTable>
                  <c15:showDataLabelsRange val="0"/>
                </c:ext>
                <c:ext xmlns:c16="http://schemas.microsoft.com/office/drawing/2014/chart" uri="{C3380CC4-5D6E-409C-BE32-E72D297353CC}">
                  <c16:uniqueId val="{0000000C-7DCC-457F-900D-9CBB4FB40563}"/>
                </c:ext>
              </c:extLst>
            </c:dLbl>
            <c:dLbl>
              <c:idx val="5"/>
              <c:tx>
                <c:strRef>
                  <c:f>'C12A'!$AK$18</c:f>
                  <c:strCache>
                    <c:ptCount val="1"/>
                    <c:pt idx="0">
                      <c:v>+748</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{37A5AFA1-A126-4159-BF4B-FEC5155EFE78}</c15:txfldGUID>
                      <c15:f>'C12A'!$AK$18</c15:f>
                      <c15:dlblFieldTableCache>
                        <c:ptCount val="1"/>
                        <c:pt idx="0">
                          <c:v>+748</c:v>
                        </c:pt>
                      </c15:dlblFieldTableCache>
                    </c15:dlblFTEntry>
                  </c15:dlblFieldTable>
                  <c15:showDataLabelsRange val="0"/>
                </c:ext>
                <c:ext xmlns:c16="http://schemas.microsoft.com/office/drawing/2014/chart" uri="{C3380CC4-5D6E-409C-BE32-E72D297353CC}">
                  <c16:uniqueId val="{0000000D-7DCC-457F-900D-9CBB4FB40563}"/>
                </c:ext>
              </c:extLst>
            </c:dLbl>
            <c:dLbl>
              <c:idx val="6"/>
              <c:tx>
                <c:strRef>
                  <c:f>'C12A'!$AK$19</c:f>
                  <c:strCache>
                    <c:ptCount val="1"/>
                    <c:pt idx="0">
                      <c:v>+236</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{364D2900-FD99-4A0F-94F7-98551A66625D}</c15:txfldGUID>
                      <c15:f>'C12A'!$AK$19</c15:f>
                      <c15:dlblFieldTableCache>
                        <c:ptCount val="1"/>
                        <c:pt idx="0">
                          <c:v>+236</c:v>
                        </c:pt>
                      </c15:dlblFieldTableCache>
                    </c15:dlblFTEntry>
                  </c15:dlblFieldTable>
                  <c15:showDataLabelsRange val="0"/>
                </c:ext>
                <c:ext xmlns:c16="http://schemas.microsoft.com/office/drawing/2014/chart" uri="{C3380CC4-5D6E-409C-BE32-E72D297353CC}">
                  <c16:uniqueId val="{0000000E-7DCC-457F-900D-9CBB4FB40563}"/>
                </c:ext>
              </c:extLst>
            </c:dLbl>
            <c:dLbl>
              <c:idx val="7"/>
              <c:tx>
                <c:strRef>
                  <c:f>'C12A'!$AK$20</c:f>
                  <c:strCache>
                    <c:ptCount val="1"/>
                    <c:pt idx="0">
                      <c:v>+3982</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{210F2832-5A4D-4F26-AAEB-99E9344DCB3D}</c15:txfldGUID>
                      <c15:f>'C12A'!$AK$20</c15:f>
                      <c15:dlblFieldTableCache>
                        <c:ptCount val="1"/>
                        <c:pt idx="0">
                          <c:v>+3982</c:v>
                        </c:pt>
                      </c15:dlblFieldTableCache>
                    </c15:dlblFTEntry>
                  </c15:dlblFieldTable>
                  <c15:showDataLabelsRange val="0"/>
                </c:ext>
                <c:ext xmlns:c16="http://schemas.microsoft.com/office/drawing/2014/chart" uri="{C3380CC4-5D6E-409C-BE32-E72D297353CC}">
                  <c16:uniqueId val="{0000000F-7DCC-457F-900D-9CBB4FB40563}"/>
                </c:ext>
              </c:extLst>
            </c:dLbl>
            <c:dLbl>
              <c:idx val="8"/>
              <c:tx>
                <c:strRef>
                  <c:f>'C12A'!$AK$21</c:f>
                  <c:strCache>
                    <c:ptCount val="1"/>
                    <c:pt idx="0">
                      <c:v>+801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{D7FE3558-ECCC-4506-882E-2123EC2D1D1D}</c15:txfldGUID>
                      <c15:f>'C12A'!$AK$21</c15:f>
                      <c15:dlblFieldTableCache>
                        <c:ptCount val="1"/>
                        <c:pt idx="0">
                          <c:v>+801</c:v>
                        </c:pt>
                      </c15:dlblFieldTableCache>
                    </c15:dlblFTEntry>
                  </c15:dlblFieldTable>
                  <c15:showDataLabelsRange val="0"/>
                </c:ext>
                <c:ext xmlns:c16="http://schemas.microsoft.com/office/drawing/2014/chart" uri="{C3380CC4-5D6E-409C-BE32-E72D297353CC}">
                  <c16:uniqueId val="{00000010-7DCC-457F-900D-9CBB4FB40563}"/>
                </c:ext>
              </c:extLst>
            </c:dLbl>
            <c:dLbl>
              <c:idx val="9"/>
              <c:tx>
                <c:strRef>
                  <c:f>'C12A'!$AK$22</c:f>
                  <c:strCache>
                    <c:ptCount val="1"/>
                    <c:pt idx="0">
                      <c:v>+3181</c:v>
                    </c:pt>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{ECBFE9C8-5324-4D09-9B06-A5393867D5A2}</c15:txfldGUID>
                      <c15:f>'C12A'!$AK$22</c15:f>
                      <c15:dlblFieldTableCache>
                        <c:ptCount val="1"/>
                        <c:pt idx="0">
                          <c:v>+3181</c:v>
                        </c:pt>
                      </c15:dlblFieldTableCache>
                    </c15:dlblFTEntry>
                  </c15:dlblFieldTable>
                  <c15:showDataLabelsRange val="0"/>
                </c:ext>
                <c:ext xmlns:c16="http://schemas.microsoft.com/office/drawing/2014/chart" uri="{C3380CC4-5D6E-409C-BE32-E72D297353CC}">
                  <c16:uniqueId val="{00000011-7DCC-457F-900D-9CBB4FB40563}"/>
                </c:ext>
              </c:extLst>
            </c:dLbl>
            <c:dLbl>
              <c:idx val="10"/>
              <c:tx>
                <c:strRef>
                  <c:f>'C12A'!$AK$23</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{BB10FDF0-3F3F-4699-9E87-EA91D231267D}</c15:txfldGUID>
                      <c15:f>'C12A'!$AK$23</c15:f>
                      <c15:dlblFieldTableCache>
                        <c:ptCount val="1"/>
                      </c15:dlblFieldTableCache>
                    </c15:dlblFTEntry>
                  </c15:dlblFieldTable>
                  <c15:showDataLabelsRange val="0"/>
                </c:ext>
                <c:ext xmlns:c16="http://schemas.microsoft.com/office/drawing/2014/chart" uri="{C3380CC4-5D6E-409C-BE32-E72D297353CC}">
                  <c16:uniqueId val="{00000012-7DCC-457F-900D-9CBB4FB40563}"/>
                </c:ext>
              </c:extLst>
            </c:dLbl>
            <c:dLbl>
              <c:idx val="11"/>
              <c:tx>
                <c:strRef>
                  <c:f>'C12A'!$AK$24</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{1F06C222-D41D-4472-9A89-47B8A73FCF02}</c15:txfldGUID>
                      <c15:f>'C12A'!$AK$24</c15:f>
                      <c15:dlblFieldTableCache>
                        <c:ptCount val="1"/>
                      </c15:dlblFieldTableCache>
                    </c15:dlblFTEntry>
                  </c15:dlblFieldTable>
                  <c15:showDataLabelsRange val="0"/>
                </c:ext>
                <c:ext xmlns:c16="http://schemas.microsoft.com/office/drawing/2014/chart" uri="{C3380CC4-5D6E-409C-BE32-E72D297353CC}">
                  <c16:uniqueId val="{00000013-7DCC-457F-900D-9CBB4FB40563}"/>
                </c:ext>
              </c:extLst>
            </c:dLbl>
            <c:dLbl>
              <c:idx val="12"/>
              <c:tx>
                <c:strRef>
                  <c:f>'C12A'!$AK$25</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{E1FE5D0C-41C0-4F5E-AB27-9AD660600887}</c15:txfldGUID>
                      <c15:f>'C12A'!$AK$25</c15:f>
                      <c15:dlblFieldTableCache>
                        <c:ptCount val="1"/>
                      </c15:dlblFieldTableCache>
                    </c15:dlblFTEntry>
                  </c15:dlblFieldTable>
                  <c15:showDataLabelsRange val="0"/>
                </c:ext>
                <c:ext xmlns:c16="http://schemas.microsoft.com/office/drawing/2014/chart" uri="{C3380CC4-5D6E-409C-BE32-E72D297353CC}">
                  <c16:uniqueId val="{00000014-7DCC-457F-900D-9CBB4FB40563}"/>
                </c:ext>
              </c:extLst>
            </c:dLbl>
            <c:dLbl>
              <c:idx val="13"/>
              <c:tx>
                <c:strRef>
                  <c:f>'C12A'!$AK$26</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{A77C8CBA-0882-45CB-9560-3DEE22A232D0}</c15:txfldGUID>
                      <c15:f>'C12A'!$AK$26</c15:f>
                      <c15:dlblFieldTableCache>
                        <c:ptCount val="1"/>
                      </c15:dlblFieldTableCache>
                    </c15:dlblFTEntry>
                  </c15:dlblFieldTable>
                  <c15:showDataLabelsRange val="0"/>
                </c:ext>
                <c:ext xmlns:c16="http://schemas.microsoft.com/office/drawing/2014/chart" uri="{C3380CC4-5D6E-409C-BE32-E72D297353CC}">
                  <c16:uniqueId val="{00000015-7DCC-457F-900D-9CBB4FB40563}"/>
                </c:ext>
              </c:extLst>
            </c:dLbl>
            <c:dLbl>
              <c:idx val="14"/>
              <c:tx>
                <c:strRef>
                  <c:f>'C12A'!$AK$27</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{C89C13FE-442C-4FA6-926D-D2AEEA68007A}</c15:txfldGUID>
                      <c15:f>'C12A'!$AK$27</c15:f>
                      <c15:dlblFieldTableCache>
                        <c:ptCount val="1"/>
                      </c15:dlblFieldTableCache>
                    </c15:dlblFTEntry>
                  </c15:dlblFieldTable>
                  <c15:showDataLabelsRange val="0"/>
                </c:ext>
                <c:ext xmlns:c16="http://schemas.microsoft.com/office/drawing/2014/chart" uri="{C3380CC4-5D6E-409C-BE32-E72D297353CC}">
                  <c16:uniqueId val="{00000016-7DCC-457F-900D-9CBB4FB40563}"/>
                </c:ext>
              </c:extLst>
            </c:dLbl>
            <c:dLbl>
              <c:idx val="15"/>
              <c:tx>
                <c:strRef>
                  <c:f>'C12A'!$AK$28</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{104CB07B-CC80-4FB0-959F-D4D092928322}</c15:txfldGUID>
                      <c15:f>'C12A'!$AK$28</c15:f>
                      <c15:dlblFieldTableCache>
                        <c:ptCount val="1"/>
                      </c15:dlblFieldTableCache>
                    </c15:dlblFTEntry>
                  </c15:dlblFieldTable>
                  <c15:showDataLabelsRange val="0"/>
                </c:ext>
                <c:ext xmlns:c16="http://schemas.microsoft.com/office/drawing/2014/chart" uri="{C3380CC4-5D6E-409C-BE32-E72D297353CC}">
                  <c16:uniqueId val="{00000017-7DCC-457F-900D-9CBB4FB40563}"/>
                </c:ext>
              </c:extLst>
            </c:dLbl>
            <c:dLbl>
              <c:idx val="16"/>
              <c:tx>
                <c:strRef>
                  <c:f>'C12A'!$AK$29</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{8A3203E8-C508-4084-A5C3-97E6B67EC95C}</c15:txfldGUID>
                      <c15:f>'C12A'!$AK$29</c15:f>
                      <c15:dlblFieldTableCache>
                        <c:ptCount val="1"/>
                      </c15:dlblFieldTableCache>
                    </c15:dlblFTEntry>
                  </c15:dlblFieldTable>
                  <c15:showDataLabelsRange val="0"/>
                </c:ext>
                <c:ext xmlns:c16="http://schemas.microsoft.com/office/drawing/2014/chart" uri="{C3380CC4-5D6E-409C-BE32-E72D297353CC}">
                  <c16:uniqueId val="{00000018-7DCC-457F-900D-9CBB4FB40563}"/>
                </c:ext>
              </c:extLst>
            </c:dLbl>
            <c:dLbl>
              <c:idx val="17"/>
              <c:tx>
                <c:strRef>
                  <c:f>'C12A'!$AK$30</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{190F0DE8-9F23-49B9-85EB-6DF8B6BC30F6}</c15:txfldGUID>
                      <c15:f>'C12A'!$AK$30</c15:f>
                      <c15:dlblFieldTableCache>
                        <c:ptCount val="1"/>
                      </c15:dlblFieldTableCache>
                    </c15:dlblFTEntry>
                  </c15:dlblFieldTable>
                  <c15:showDataLabelsRange val="0"/>
                </c:ext>
                <c:ext xmlns:c16="http://schemas.microsoft.com/office/drawing/2014/chart" uri="{C3380CC4-5D6E-409C-BE32-E72D297353CC}">
                  <c16:uniqueId val="{00000019-7DCC-457F-900D-9CBB4FB40563}"/>
                </c:ext>
              </c:extLst>
            </c:dLbl>
            <c:dLbl>
              <c:idx val="18"/>
              <c:tx>
                <c:strRef>
                  <c:f>'C12A'!$AK$31</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{157FA8DD-56DB-43DB-B4FB-F3BD8DF23D85}</c15:txfldGUID>
                      <c15:f>'C12A'!$AK$31</c15:f>
                      <c15:dlblFieldTableCache>
                        <c:ptCount val="1"/>
                      </c15:dlblFieldTableCache>
                    </c15:dlblFTEntry>
                  </c15:dlblFieldTable>
                  <c15:showDataLabelsRange val="0"/>
                </c:ext>
                <c:ext xmlns:c16="http://schemas.microsoft.com/office/drawing/2014/chart" uri="{C3380CC4-5D6E-409C-BE32-E72D297353CC}">
                  <c16:uniqueId val="{0000001A-7DCC-457F-900D-9CBB4FB40563}"/>
                </c:ext>
              </c:extLst>
            </c:dLbl>
            <c:dLbl>
              <c:idx val="19"/>
              <c:tx>
                <c:strRef>
                  <c:f>'C12A'!$AK$32</c:f>
                  <c:strCache>
                    <c:ptCount val="1"/>
                  </c:strCache>
                </c:strRef>
              </c:tx>
              <c:dLblPos val="outEnd"/>
              <c:showLegendKey val="0"/>
              <c:showVal val="1"/>
              <c:showCatName val="0"/>
              <c:showSerName val="0"/>
              <c:showPercent val="0"/>
              <c:showBubbleSize val="0"/>
              <c:extLst>
                <c:ext xmlns:c15="http://schemas.microsoft.com/office/drawing/2012/chart" uri="{CE6537A1-D6FC-4f65-9D91-7224C49458BB}">
                  <c15:dlblFieldTable>
                    <c15:dlblFTEntry>
                      <c15:txfldGUID>{178187E2-C46C-45CE-BECB-725827D5669B}</c15:txfldGUID>
                      <c15:f>'C12A'!$AK$32</c15:f>
                      <c15:dlblFieldTableCache>
                        <c:ptCount val="1"/>
                      </c15:dlblFieldTableCache>
                    </c15:dlblFTEntry>
                  </c15:dlblFieldTable>
                  <c15:showDataLabelsRange val="0"/>
                </c:ext>
                <c:ext xmlns:c16="http://schemas.microsoft.com/office/drawing/2014/chart" uri="{C3380CC4-5D6E-409C-BE32-E72D297353CC}">
                  <c16:uniqueId val="{0000001B-7DCC-457F-900D-9CBB4FB40563}"/>
                </c:ext>
              </c:extLst>
            </c:dLbl>
            <c:numFmt formatCode="\+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'C12A'!$A$13:$A$32</c:f>
              <c:strCache>
                <c:ptCount val="10"/>
                <c:pt idx="0">
                  <c:v>Premiums earned</c:v>
                </c:pt>
                <c:pt idx="1">
                  <c:v>Investment income</c:v>
                </c:pt>
                <c:pt idx="2">
                  <c:v>Other revenues</c:v>
                </c:pt>
                <c:pt idx="3">
                  <c:v>Total revenues</c:v>
                </c:pt>
                <c:pt idx="4">
                  <c:v>Losses and LAE</c:v>
                </c:pt>
                <c:pt idx="5">
                  <c:v>Acquisition costs</c:v>
                </c:pt>
                <c:pt idx="6">
                  <c:v>Other expenses</c:v>
                </c:pt>
                <c:pt idx="7">
                  <c:v>Pretax income</c:v>
                </c:pt>
                <c:pt idx="8">
                  <c:v>Income taxes</c:v>
                </c:pt>
                <c:pt idx="9">
                  <c:v>Net income</c:v>
                </c:pt>
              </c:strCache>
            </c:strRef>
          </c:cat>
          <c:val>
            <c:numRef>
              <c:f>'C12A'!$AJ$13:$AJ$32</c:f>
              <c:numCache>
                <c:formatCode>0.000000</c:formatCode>
                <c:ptCount val="20"/>
                <c:pt idx="0">
                  <c:v>0.15173324316926692</c:v>
                </c:pt>
                <c:pt idx="1">
                  <c:v>1.0143457469931894E-2</c:v>
                </c:pt>
                <c:pt idx="2">
                  <c:v>3.9350174692878652E-2</c:v>
                </c:pt>
                <c:pt idx="3">
                  <c:v>0.20122687533207748</c:v>
                </c:pt>
                <c:pt idx="4">
                  <c:v>0.12127066930718576</c:v>
                </c:pt>
                <c:pt idx="5">
                  <c:v>1.204334315477628E-2</c:v>
                </c:pt>
                <c:pt idx="6">
                  <c:v>3.799771369688773E-3</c:v>
                </c:pt>
                <c:pt idx="7">
                  <c:v>6.4113091500426669E-2</c:v>
                </c:pt>
                <c:pt idx="8">
                  <c:v>1.2896681640341979E-2</c:v>
                </c:pt>
                <c:pt idx="9">
                  <c:v>5.1216409860084688E-2</c:v>
                </c:pt>
              </c:numCache>
            </c:numRef>
          </c:val>
          <c:extLst>
            <c:ext xmlns:c16="http://schemas.microsoft.com/office/drawing/2014/chart" uri="{C3380CC4-5D6E-409C-BE32-E72D297353CC}">
              <c16:uniqueId val="{00000007-7DCC-457F-900D-9CBB4FB40563}"/>
            </c:ext>
          </c:extLst>
        </c:ser>
        <c:ser>
          <c:idx val="1"/>
          <c:order val="1"/>
          <c:tx>
            <c:v>ΔPY pos good</c:v>
          </c:tx>
          <c:spPr>
            <a:solidFill>
              <a:srgbClr val="8CB400"/>
            </a:solidFill>
            <a:ln>
              <a:noFill/>
            </a:ln>
            <a:effectLst/>
            <a:extLst>
              <a:ext uri="{91240B29-F687-4F45-9708-019B960494DF}">
                <a14:hiddenLine xmlns:a14="http://schemas.microsoft.com/office/drawing/2010/main">
                  <a:noFill/>
                </a14:hiddenLine>
              </a:ext>
            </a:extLst>
          </c:spPr>
          <c:invertIfNegative val="0"/>
          <c:cat>
            <c:strRef>
              <c:f>'C12A'!$A$13:$A$32</c:f>
              <c:strCache>
                <c:ptCount val="10"/>
                <c:pt idx="0">
                  <c:v>Premiums earned</c:v>
                </c:pt>
                <c:pt idx="1">
                  <c:v>Investment income</c:v>
                </c:pt>
                <c:pt idx="2">
                  <c:v>Other revenues</c:v>
                </c:pt>
                <c:pt idx="3">
                  <c:v>Total revenues</c:v>
                </c:pt>
                <c:pt idx="4">
                  <c:v>Losses and LAE</c:v>
                </c:pt>
                <c:pt idx="5">
                  <c:v>Acquisition costs</c:v>
                </c:pt>
                <c:pt idx="6">
                  <c:v>Other expenses</c:v>
                </c:pt>
                <c:pt idx="7">
                  <c:v>Pretax income</c:v>
                </c:pt>
                <c:pt idx="8">
                  <c:v>Income taxes</c:v>
                </c:pt>
                <c:pt idx="9">
                  <c:v>Net income</c:v>
                </c:pt>
              </c:strCache>
            </c:strRef>
          </c:cat>
          <c:val>
            <c:numRef>
              <c:f>'C12A'!$AL$13:$AL$32</c:f>
              <c:numCache>
                <c:formatCode>0.000000</c:formatCode>
                <c:ptCount val="20"/>
                <c:pt idx="0">
                  <c:v>0.15173324316926692</c:v>
                </c:pt>
                <c:pt idx="1">
                  <c:v>1.0143457469931894E-2</c:v>
                </c:pt>
                <c:pt idx="2">
                  <c:v>3.9350174692878652E-2</c:v>
                </c:pt>
                <c:pt idx="3">
                  <c:v>0.20122687533207748</c:v>
                </c:pt>
                <c:pt idx="4">
                  <c:v>#N/A</c:v>
                </c:pt>
                <c:pt idx="5">
                  <c:v>#N/A</c:v>
                </c:pt>
                <c:pt idx="6">
                  <c:v>#N/A</c:v>
                </c:pt>
                <c:pt idx="7">
                  <c:v>6.4113091500426669E-2</c:v>
                </c:pt>
                <c:pt idx="8">
                  <c:v>#N/A</c:v>
                </c:pt>
                <c:pt idx="9">
                  <c:v>5.1216409860084688E-2</c:v>
                </c:pt>
              </c:numCache>
            </c:numRef>
          </c:val>
          <c:extLst>
            <c:ext xmlns:c16="http://schemas.microsoft.com/office/drawing/2014/chart" uri="{C3380CC4-5D6E-409C-BE32-E72D297353CC}">
              <c16:uniqueId val="{0000001C-7DCC-457F-900D-9CBB4FB40563}"/>
            </c:ext>
          </c:extLst>
        </c:ser>
        <c:ser>
          <c:idx val="2"/>
          <c:order val="2"/>
          <c:tx>
            <c:v>ΔPY pos bad</c:v>
          </c:tx>
          <c:spPr>
            <a:solidFill>
              <a:srgbClr val="FF0000"/>
            </a:solidFill>
            <a:ln>
              <a:noFill/>
            </a:ln>
            <a:effectLst/>
            <a:extLst>
              <a:ext uri="{91240B29-F687-4F45-9708-019B960494DF}">
                <a14:hiddenLine xmlns:a14="http://schemas.microsoft.com/office/drawing/2010/main">
                  <a:noFill/>
                </a14:hiddenLine>
              </a:ext>
            </a:extLst>
          </c:spPr>
          <c:invertIfNegative val="0"/>
          <c:cat>
            <c:strRef>
              <c:f>'C12A'!$A$13:$A$32</c:f>
              <c:strCache>
                <c:ptCount val="10"/>
                <c:pt idx="0">
                  <c:v>Premiums earned</c:v>
                </c:pt>
                <c:pt idx="1">
                  <c:v>Investment income</c:v>
                </c:pt>
                <c:pt idx="2">
                  <c:v>Other revenues</c:v>
                </c:pt>
                <c:pt idx="3">
                  <c:v>Total revenues</c:v>
                </c:pt>
                <c:pt idx="4">
                  <c:v>Losses and LAE</c:v>
                </c:pt>
                <c:pt idx="5">
                  <c:v>Acquisition costs</c:v>
                </c:pt>
                <c:pt idx="6">
                  <c:v>Other expenses</c:v>
                </c:pt>
                <c:pt idx="7">
                  <c:v>Pretax income</c:v>
                </c:pt>
                <c:pt idx="8">
                  <c:v>Income taxes</c:v>
                </c:pt>
                <c:pt idx="9">
                  <c:v>Net income</c:v>
                </c:pt>
              </c:strCache>
            </c:strRef>
          </c:cat>
          <c:val>
            <c:numRef>
              <c:f>'C12A'!$AM$13:$AM$32</c:f>
              <c:numCache>
                <c:formatCode>0.000000</c:formatCode>
                <c:ptCount val="20"/>
                <c:pt idx="0">
                  <c:v>#N/A</c:v>
                </c:pt>
                <c:pt idx="1">
                  <c:v>#N/A</c:v>
                </c:pt>
                <c:pt idx="2">
                  <c:v>#N/A</c:v>
                </c:pt>
                <c:pt idx="3">
                  <c:v>#N/A</c:v>
                </c:pt>
                <c:pt idx="4">
                  <c:v>0.12127066930718576</c:v>
                </c:pt>
                <c:pt idx="5">
                  <c:v>1.204334315477628E-2</c:v>
                </c:pt>
                <c:pt idx="6">
                  <c:v>3.799771369688773E-3</c:v>
                </c:pt>
                <c:pt idx="7">
                  <c:v>#N/A</c:v>
                </c:pt>
                <c:pt idx="8">
                  <c:v>1.2896681640341979E-2</c:v>
                </c:pt>
                <c:pt idx="9">
                  <c:v>#N/A</c:v>
                </c:pt>
              </c:numCache>
            </c:numRef>
          </c:val>
          <c:extLst>
            <c:ext xmlns:c16="http://schemas.microsoft.com/office/drawing/2014/chart" uri="{C3380CC4-5D6E-409C-BE32-E72D297353CC}">
              <c16:uniqueId val="{0000001D-7DCC-457F-900D-9CBB4FB40563}"/>
            </c:ext>
          </c:extLst>
        </c:ser>
        <c:ser>
          <c:idx val="3"/>
          <c:order val="3"/>
          <c:tx>
            <c:v>ΔPY neg good</c:v>
          </c:tx>
          <c:spPr>
            <a:solidFill>
              <a:srgbClr val="8CB400"/>
            </a:solidFill>
            <a:ln>
              <a:noFill/>
            </a:ln>
            <a:effectLst/>
            <a:extLst>
              <a:ext uri="{91240B29-F687-4F45-9708-019B960494DF}">
                <a14:hiddenLine xmlns:a14="http://schemas.microsoft.com/office/drawing/2010/main">
                  <a:noFill/>
                </a14:hiddenLine>
              </a:ext>
            </a:extLst>
          </c:spPr>
          <c:invertIfNegative val="0"/>
          <c:cat>
            <c:strRef>
              <c:f>'C12A'!$A$13:$A$32</c:f>
              <c:strCache>
                <c:ptCount val="10"/>
                <c:pt idx="0">
                  <c:v>Premiums earned</c:v>
                </c:pt>
                <c:pt idx="1">
                  <c:v>Investment income</c:v>
                </c:pt>
                <c:pt idx="2">
                  <c:v>Other revenues</c:v>
                </c:pt>
                <c:pt idx="3">
                  <c:v>Total revenues</c:v>
                </c:pt>
                <c:pt idx="4">
                  <c:v>Losses and LAE</c:v>
                </c:pt>
                <c:pt idx="5">
                  <c:v>Acquisition costs</c:v>
                </c:pt>
                <c:pt idx="6">
                  <c:v>Other expenses</c:v>
                </c:pt>
                <c:pt idx="7">
                  <c:v>Pretax income</c:v>
                </c:pt>
                <c:pt idx="8">
                  <c:v>Income taxes</c:v>
                </c:pt>
                <c:pt idx="9">
                  <c:v>Net income</c:v>
                </c:pt>
              </c:strCache>
            </c:strRef>
          </c:cat>
          <c:val>
            <c:numRef>
              <c:f>'C12A'!$AN$13:$AN$32</c:f>
              <c:numCache>
                <c:formatCode>0.000000</c:formatCode>
                <c:ptCount val="2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1E-7DCC-457F-900D-9CBB4FB40563}"/>
            </c:ext>
          </c:extLst>
        </c:ser>
        <c:ser>
          <c:idx val="4"/>
          <c:order val="4"/>
          <c:tx>
            <c:v>ΔPY neg bad</c:v>
          </c:tx>
          <c:spPr>
            <a:solidFill>
              <a:srgbClr val="FF0000"/>
            </a:solidFill>
            <a:ln>
              <a:noFill/>
            </a:ln>
            <a:effectLst/>
            <a:extLst>
              <a:ext uri="{91240B29-F687-4F45-9708-019B960494DF}">
                <a14:hiddenLine xmlns:a14="http://schemas.microsoft.com/office/drawing/2010/main">
                  <a:noFill/>
                </a14:hiddenLine>
              </a:ext>
            </a:extLst>
          </c:spPr>
          <c:invertIfNegative val="0"/>
          <c:cat>
            <c:strRef>
              <c:f>'C12A'!$A$13:$A$32</c:f>
              <c:strCache>
                <c:ptCount val="10"/>
                <c:pt idx="0">
                  <c:v>Premiums earned</c:v>
                </c:pt>
                <c:pt idx="1">
                  <c:v>Investment income</c:v>
                </c:pt>
                <c:pt idx="2">
                  <c:v>Other revenues</c:v>
                </c:pt>
                <c:pt idx="3">
                  <c:v>Total revenues</c:v>
                </c:pt>
                <c:pt idx="4">
                  <c:v>Losses and LAE</c:v>
                </c:pt>
                <c:pt idx="5">
                  <c:v>Acquisition costs</c:v>
                </c:pt>
                <c:pt idx="6">
                  <c:v>Other expenses</c:v>
                </c:pt>
                <c:pt idx="7">
                  <c:v>Pretax income</c:v>
                </c:pt>
                <c:pt idx="8">
                  <c:v>Income taxes</c:v>
                </c:pt>
                <c:pt idx="9">
                  <c:v>Net income</c:v>
                </c:pt>
              </c:strCache>
            </c:strRef>
          </c:cat>
          <c:val>
            <c:numRef>
              <c:f>'C12A'!$AO$13:$AO$32</c:f>
              <c:numCache>
                <c:formatCode>0.000000</c:formatCode>
                <c:ptCount val="2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1F-7DCC-457F-900D-9CBB4FB40563}"/>
            </c:ext>
          </c:extLst>
        </c:ser>
        <c:dLbls>
          <c:showLegendKey val="0"/>
          <c:showVal val="0"/>
          <c:showCatName val="0"/>
          <c:showSerName val="0"/>
          <c:showPercent val="0"/>
          <c:showBubbleSize val="0"/>
        </c:dLbls>
        <c:gapWidth val="30"/>
        <c:overlap val="100"/>
        <c:axId val="1619029360"/>
        <c:axId val="1095974992"/>
      </c:barChart>
      <c:catAx>
        <c:axId val="1619029360"/>
        <c:scaling>
          <c:orientation val="maxMin"/>
        </c:scaling>
        <c:delete val="0"/>
        <c:axPos val="l"/>
        <c:numFmt formatCode="General" sourceLinked="1"/>
        <c:majorTickMark val="none"/>
        <c:minorTickMark val="none"/>
        <c:tickLblPos val="none"/>
        <c:spPr>
          <a:ln w="47625">
            <a:solidFill>
              <a:srgbClr val="808080"/>
            </a:solidFill>
          </a:ln>
        </c:spPr>
        <c:crossAx val="1095974992"/>
        <c:crosses val="autoZero"/>
        <c:auto val="1"/>
        <c:lblAlgn val="ctr"/>
        <c:lblOffset val="100"/>
        <c:noMultiLvlLbl val="0"/>
      </c:catAx>
      <c:valAx>
        <c:axId val="1095974992"/>
        <c:scaling>
          <c:orientation val="minMax"/>
          <c:max val="0.34402857142857146"/>
          <c:min val="-0.16"/>
        </c:scaling>
        <c:delete val="0"/>
        <c:axPos val="b"/>
        <c:numFmt formatCode="0.00000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9029360"/>
        <c:crosses val="max"/>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
          <c:y val="5.9701492537313432E-2"/>
          <c:w val="0.75000000000000011"/>
          <c:h val="0.92039800995024879"/>
        </c:manualLayout>
      </c:layout>
      <c:barChart>
        <c:barDir val="bar"/>
        <c:grouping val="clustered"/>
        <c:varyColors val="0"/>
        <c:ser>
          <c:idx val="0"/>
          <c:order val="0"/>
          <c:tx>
            <c:v>ΔPY%</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dLbls>
            <c:dLbl>
              <c:idx val="0"/>
              <c:tx>
                <c:strRef>
                  <c:f>'C12A'!$AU$13</c:f>
                  <c:strCache>
                    <c:ptCount val="1"/>
                    <c:pt idx="0">
                      <c:v>+19</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{9393898B-C6A3-4B3B-9283-F06CDD7599AB}</c15:txfldGUID>
                      <c15:f>'C12A'!$AU$13</c15:f>
                      <c15:dlblFieldTableCache>
                        <c:ptCount val="1"/>
                        <c:pt idx="0">
                          <c:v>+19</c:v>
                        </c:pt>
                      </c15:dlblFieldTableCache>
                    </c15:dlblFTEntry>
                  </c15:dlblFieldTable>
                  <c15:showDataLabelsRange val="0"/>
                </c:ext>
                <c:ext xmlns:c16="http://schemas.microsoft.com/office/drawing/2014/chart" uri="{C3380CC4-5D6E-409C-BE32-E72D297353CC}">
                  <c16:uniqueId val="{00000008-FF6D-41A8-8A3C-AE41F478988B}"/>
                </c:ext>
              </c:extLst>
            </c:dLbl>
            <c:dLbl>
              <c:idx val="1"/>
              <c:tx>
                <c:strRef>
                  <c:f>'C12A'!$AU$14</c:f>
                  <c:strCache>
                    <c:ptCount val="1"/>
                    <c:pt idx="0">
                      <c:v>+51</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{8A9642D8-6C6B-4EC1-B6A5-142E4CB93BFF}</c15:txfldGUID>
                      <c15:f>'C12A'!$AU$14</c15:f>
                      <c15:dlblFieldTableCache>
                        <c:ptCount val="1"/>
                        <c:pt idx="0">
                          <c:v>+51</c:v>
                        </c:pt>
                      </c15:dlblFieldTableCache>
                    </c15:dlblFTEntry>
                  </c15:dlblFieldTable>
                  <c15:showDataLabelsRange val="0"/>
                </c:ext>
                <c:ext xmlns:c16="http://schemas.microsoft.com/office/drawing/2014/chart" uri="{C3380CC4-5D6E-409C-BE32-E72D297353CC}">
                  <c16:uniqueId val="{00000009-FF6D-41A8-8A3C-AE41F478988B}"/>
                </c:ext>
              </c:extLst>
            </c:dLbl>
            <c:dLbl>
              <c:idx val="2"/>
              <c:tx>
                <c:strRef>
                  <c:f>'C12A'!$AU$15</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{B3B9243D-F278-445E-BF39-C36FCB9BA728}</c15:txfldGUID>
                      <c15:f>'C12A'!$AU$15</c15:f>
                      <c15:dlblFieldTableCache>
                        <c:ptCount val="1"/>
                      </c15:dlblFieldTableCache>
                    </c15:dlblFTEntry>
                  </c15:dlblFieldTable>
                  <c15:showDataLabelsRange val="0"/>
                </c:ext>
                <c:ext xmlns:c16="http://schemas.microsoft.com/office/drawing/2014/chart" uri="{C3380CC4-5D6E-409C-BE32-E72D297353CC}">
                  <c16:uniqueId val="{0000000A-FF6D-41A8-8A3C-AE41F478988B}"/>
                </c:ext>
              </c:extLst>
            </c:dLbl>
            <c:dLbl>
              <c:idx val="3"/>
              <c:tx>
                <c:strRef>
                  <c:f>'C12A'!$AU$16</c:f>
                  <c:strCache>
                    <c:ptCount val="1"/>
                    <c:pt idx="0">
                      <c:v>+25</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{5508BB1E-BD2A-4CE8-8A6C-3FCF1C2425E3}</c15:txfldGUID>
                      <c15:f>'C12A'!$AU$16</c15:f>
                      <c15:dlblFieldTableCache>
                        <c:ptCount val="1"/>
                        <c:pt idx="0">
                          <c:v>+25</c:v>
                        </c:pt>
                      </c15:dlblFieldTableCache>
                    </c15:dlblFTEntry>
                  </c15:dlblFieldTable>
                  <c15:showDataLabelsRange val="0"/>
                </c:ext>
                <c:ext xmlns:c16="http://schemas.microsoft.com/office/drawing/2014/chart" uri="{C3380CC4-5D6E-409C-BE32-E72D297353CC}">
                  <c16:uniqueId val="{0000000B-FF6D-41A8-8A3C-AE41F478988B}"/>
                </c:ext>
              </c:extLst>
            </c:dLbl>
            <c:dLbl>
              <c:idx val="4"/>
              <c:tx>
                <c:strRef>
                  <c:f>'C12A'!$AU$17</c:f>
                  <c:strCache>
                    <c:ptCount val="1"/>
                    <c:pt idx="0">
                      <c:v>+20</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{41A1A512-6831-40FA-BA85-1E3DC899DAE3}</c15:txfldGUID>
                      <c15:f>'C12A'!$AU$17</c15:f>
                      <c15:dlblFieldTableCache>
                        <c:ptCount val="1"/>
                        <c:pt idx="0">
                          <c:v>+20</c:v>
                        </c:pt>
                      </c15:dlblFieldTableCache>
                    </c15:dlblFTEntry>
                  </c15:dlblFieldTable>
                  <c15:showDataLabelsRange val="0"/>
                </c:ext>
                <c:ext xmlns:c16="http://schemas.microsoft.com/office/drawing/2014/chart" uri="{C3380CC4-5D6E-409C-BE32-E72D297353CC}">
                  <c16:uniqueId val="{0000000C-FF6D-41A8-8A3C-AE41F478988B}"/>
                </c:ext>
              </c:extLst>
            </c:dLbl>
            <c:dLbl>
              <c:idx val="5"/>
              <c:tx>
                <c:strRef>
                  <c:f>'C12A'!$AU$18</c:f>
                  <c:strCache>
                    <c:ptCount val="1"/>
                    <c:pt idx="0">
                      <c:v>+19</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{D7FD53C7-1D16-40B4-9322-270FC8F9EE94}</c15:txfldGUID>
                      <c15:f>'C12A'!$AU$18</c15:f>
                      <c15:dlblFieldTableCache>
                        <c:ptCount val="1"/>
                        <c:pt idx="0">
                          <c:v>+19</c:v>
                        </c:pt>
                      </c15:dlblFieldTableCache>
                    </c15:dlblFTEntry>
                  </c15:dlblFieldTable>
                  <c15:showDataLabelsRange val="0"/>
                </c:ext>
                <c:ext xmlns:c16="http://schemas.microsoft.com/office/drawing/2014/chart" uri="{C3380CC4-5D6E-409C-BE32-E72D297353CC}">
                  <c16:uniqueId val="{0000000D-FF6D-41A8-8A3C-AE41F478988B}"/>
                </c:ext>
              </c:extLst>
            </c:dLbl>
            <c:dLbl>
              <c:idx val="6"/>
              <c:tx>
                <c:strRef>
                  <c:f>'C12A'!$AU$19</c:f>
                  <c:strCache>
                    <c:ptCount val="1"/>
                    <c:pt idx="0">
                      <c:v>+4</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{1EE933C2-9DC7-483E-B9CE-DC22B28F1EA3}</c15:txfldGUID>
                      <c15:f>'C12A'!$AU$19</c15:f>
                      <c15:dlblFieldTableCache>
                        <c:ptCount val="1"/>
                        <c:pt idx="0">
                          <c:v>+4</c:v>
                        </c:pt>
                      </c15:dlblFieldTableCache>
                    </c15:dlblFTEntry>
                  </c15:dlblFieldTable>
                  <c15:showDataLabelsRange val="0"/>
                </c:ext>
                <c:ext xmlns:c16="http://schemas.microsoft.com/office/drawing/2014/chart" uri="{C3380CC4-5D6E-409C-BE32-E72D297353CC}">
                  <c16:uniqueId val="{0000000E-FF6D-41A8-8A3C-AE41F478988B}"/>
                </c:ext>
              </c:extLst>
            </c:dLbl>
            <c:dLbl>
              <c:idx val="7"/>
              <c:tx>
                <c:strRef>
                  <c:f>'C12A'!$AU$20</c:f>
                  <c:strCache>
                    <c:ptCount val="1"/>
                    <c:pt idx="0">
                      <c:v>+432►</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{A7F08414-944C-49CA-9CED-51F5F2F586F4}</c15:txfldGUID>
                      <c15:f>'C12A'!$AU$20</c15:f>
                      <c15:dlblFieldTableCache>
                        <c:ptCount val="1"/>
                        <c:pt idx="0">
                          <c:v>+432►</c:v>
                        </c:pt>
                      </c15:dlblFieldTableCache>
                    </c15:dlblFTEntry>
                  </c15:dlblFieldTable>
                  <c15:showDataLabelsRange val="0"/>
                </c:ext>
                <c:ext xmlns:c16="http://schemas.microsoft.com/office/drawing/2014/chart" uri="{C3380CC4-5D6E-409C-BE32-E72D297353CC}">
                  <c16:uniqueId val="{0000000F-FF6D-41A8-8A3C-AE41F478988B}"/>
                </c:ext>
              </c:extLst>
            </c:dLbl>
            <c:dLbl>
              <c:idx val="8"/>
              <c:tx>
                <c:strRef>
                  <c:f>'C12A'!$AU$21</c:f>
                  <c:strCache>
                    <c:ptCount val="1"/>
                    <c:pt idx="0">
                      <c:v>+401►</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{B74FF7FC-969C-4D5C-8441-FDEBB3CDDCA4}</c15:txfldGUID>
                      <c15:f>'C12A'!$AU$21</c15:f>
                      <c15:dlblFieldTableCache>
                        <c:ptCount val="1"/>
                        <c:pt idx="0">
                          <c:v>+401►</c:v>
                        </c:pt>
                      </c15:dlblFieldTableCache>
                    </c15:dlblFTEntry>
                  </c15:dlblFieldTable>
                  <c15:showDataLabelsRange val="0"/>
                </c:ext>
                <c:ext xmlns:c16="http://schemas.microsoft.com/office/drawing/2014/chart" uri="{C3380CC4-5D6E-409C-BE32-E72D297353CC}">
                  <c16:uniqueId val="{00000010-FF6D-41A8-8A3C-AE41F478988B}"/>
                </c:ext>
              </c:extLst>
            </c:dLbl>
            <c:dLbl>
              <c:idx val="9"/>
              <c:tx>
                <c:strRef>
                  <c:f>'C12A'!$AU$22</c:f>
                  <c:strCache>
                    <c:ptCount val="1"/>
                    <c:pt idx="0">
                      <c:v>+441►</c:v>
                    </c:pt>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{151FD634-D62C-4814-A691-52A2AD5925F2}</c15:txfldGUID>
                      <c15:f>'C12A'!$AU$22</c15:f>
                      <c15:dlblFieldTableCache>
                        <c:ptCount val="1"/>
                        <c:pt idx="0">
                          <c:v>+441►</c:v>
                        </c:pt>
                      </c15:dlblFieldTableCache>
                    </c15:dlblFTEntry>
                  </c15:dlblFieldTable>
                  <c15:showDataLabelsRange val="0"/>
                </c:ext>
                <c:ext xmlns:c16="http://schemas.microsoft.com/office/drawing/2014/chart" uri="{C3380CC4-5D6E-409C-BE32-E72D297353CC}">
                  <c16:uniqueId val="{00000011-FF6D-41A8-8A3C-AE41F478988B}"/>
                </c:ext>
              </c:extLst>
            </c:dLbl>
            <c:dLbl>
              <c:idx val="10"/>
              <c:tx>
                <c:strRef>
                  <c:f>'C12A'!$AU$23</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{EAB93E56-22F2-4DA6-8CFF-70ADC8DD8FA9}</c15:txfldGUID>
                      <c15:f>'C12A'!$AU$23</c15:f>
                      <c15:dlblFieldTableCache>
                        <c:ptCount val="1"/>
                      </c15:dlblFieldTableCache>
                    </c15:dlblFTEntry>
                  </c15:dlblFieldTable>
                  <c15:showDataLabelsRange val="0"/>
                </c:ext>
                <c:ext xmlns:c16="http://schemas.microsoft.com/office/drawing/2014/chart" uri="{C3380CC4-5D6E-409C-BE32-E72D297353CC}">
                  <c16:uniqueId val="{00000012-FF6D-41A8-8A3C-AE41F478988B}"/>
                </c:ext>
              </c:extLst>
            </c:dLbl>
            <c:dLbl>
              <c:idx val="11"/>
              <c:tx>
                <c:strRef>
                  <c:f>'C12A'!$AU$24</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{49F20B5A-364B-4ABA-9336-A438EF8FDCF8}</c15:txfldGUID>
                      <c15:f>'C12A'!$AU$24</c15:f>
                      <c15:dlblFieldTableCache>
                        <c:ptCount val="1"/>
                      </c15:dlblFieldTableCache>
                    </c15:dlblFTEntry>
                  </c15:dlblFieldTable>
                  <c15:showDataLabelsRange val="0"/>
                </c:ext>
                <c:ext xmlns:c16="http://schemas.microsoft.com/office/drawing/2014/chart" uri="{C3380CC4-5D6E-409C-BE32-E72D297353CC}">
                  <c16:uniqueId val="{00000013-FF6D-41A8-8A3C-AE41F478988B}"/>
                </c:ext>
              </c:extLst>
            </c:dLbl>
            <c:dLbl>
              <c:idx val="12"/>
              <c:tx>
                <c:strRef>
                  <c:f>'C12A'!$AU$25</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{3D81AEE0-67B0-4CF7-A822-DBBEA1D9CCA1}</c15:txfldGUID>
                      <c15:f>'C12A'!$AU$25</c15:f>
                      <c15:dlblFieldTableCache>
                        <c:ptCount val="1"/>
                      </c15:dlblFieldTableCache>
                    </c15:dlblFTEntry>
                  </c15:dlblFieldTable>
                  <c15:showDataLabelsRange val="0"/>
                </c:ext>
                <c:ext xmlns:c16="http://schemas.microsoft.com/office/drawing/2014/chart" uri="{C3380CC4-5D6E-409C-BE32-E72D297353CC}">
                  <c16:uniqueId val="{00000014-FF6D-41A8-8A3C-AE41F478988B}"/>
                </c:ext>
              </c:extLst>
            </c:dLbl>
            <c:dLbl>
              <c:idx val="13"/>
              <c:tx>
                <c:strRef>
                  <c:f>'C12A'!$AU$26</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{87E1E2D7-AC04-4180-9752-14DE14F2A340}</c15:txfldGUID>
                      <c15:f>'C12A'!$AU$26</c15:f>
                      <c15:dlblFieldTableCache>
                        <c:ptCount val="1"/>
                      </c15:dlblFieldTableCache>
                    </c15:dlblFTEntry>
                  </c15:dlblFieldTable>
                  <c15:showDataLabelsRange val="0"/>
                </c:ext>
                <c:ext xmlns:c16="http://schemas.microsoft.com/office/drawing/2014/chart" uri="{C3380CC4-5D6E-409C-BE32-E72D297353CC}">
                  <c16:uniqueId val="{00000015-FF6D-41A8-8A3C-AE41F478988B}"/>
                </c:ext>
              </c:extLst>
            </c:dLbl>
            <c:dLbl>
              <c:idx val="14"/>
              <c:tx>
                <c:strRef>
                  <c:f>'C12A'!$AU$27</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{7F73B851-0934-428C-BF13-DF4450D3FDB2}</c15:txfldGUID>
                      <c15:f>'C12A'!$AU$27</c15:f>
                      <c15:dlblFieldTableCache>
                        <c:ptCount val="1"/>
                      </c15:dlblFieldTableCache>
                    </c15:dlblFTEntry>
                  </c15:dlblFieldTable>
                  <c15:showDataLabelsRange val="0"/>
                </c:ext>
                <c:ext xmlns:c16="http://schemas.microsoft.com/office/drawing/2014/chart" uri="{C3380CC4-5D6E-409C-BE32-E72D297353CC}">
                  <c16:uniqueId val="{00000016-FF6D-41A8-8A3C-AE41F478988B}"/>
                </c:ext>
              </c:extLst>
            </c:dLbl>
            <c:dLbl>
              <c:idx val="15"/>
              <c:tx>
                <c:strRef>
                  <c:f>'C12A'!$AU$28</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{F04D4BB9-C91B-4A0C-8115-07F146D9973B}</c15:txfldGUID>
                      <c15:f>'C12A'!$AU$28</c15:f>
                      <c15:dlblFieldTableCache>
                        <c:ptCount val="1"/>
                      </c15:dlblFieldTableCache>
                    </c15:dlblFTEntry>
                  </c15:dlblFieldTable>
                  <c15:showDataLabelsRange val="0"/>
                </c:ext>
                <c:ext xmlns:c16="http://schemas.microsoft.com/office/drawing/2014/chart" uri="{C3380CC4-5D6E-409C-BE32-E72D297353CC}">
                  <c16:uniqueId val="{00000017-FF6D-41A8-8A3C-AE41F478988B}"/>
                </c:ext>
              </c:extLst>
            </c:dLbl>
            <c:dLbl>
              <c:idx val="16"/>
              <c:tx>
                <c:strRef>
                  <c:f>'C12A'!$AU$29</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{DE50A916-FEB1-44F0-8A45-07CF3E0154C9}</c15:txfldGUID>
                      <c15:f>'C12A'!$AU$29</c15:f>
                      <c15:dlblFieldTableCache>
                        <c:ptCount val="1"/>
                      </c15:dlblFieldTableCache>
                    </c15:dlblFTEntry>
                  </c15:dlblFieldTable>
                  <c15:showDataLabelsRange val="0"/>
                </c:ext>
                <c:ext xmlns:c16="http://schemas.microsoft.com/office/drawing/2014/chart" uri="{C3380CC4-5D6E-409C-BE32-E72D297353CC}">
                  <c16:uniqueId val="{00000018-FF6D-41A8-8A3C-AE41F478988B}"/>
                </c:ext>
              </c:extLst>
            </c:dLbl>
            <c:dLbl>
              <c:idx val="17"/>
              <c:tx>
                <c:strRef>
                  <c:f>'C12A'!$AU$30</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{2C64B874-9EAD-4BF0-B335-712E1D77C6E0}</c15:txfldGUID>
                      <c15:f>'C12A'!$AU$30</c15:f>
                      <c15:dlblFieldTableCache>
                        <c:ptCount val="1"/>
                      </c15:dlblFieldTableCache>
                    </c15:dlblFTEntry>
                  </c15:dlblFieldTable>
                  <c15:showDataLabelsRange val="0"/>
                </c:ext>
                <c:ext xmlns:c16="http://schemas.microsoft.com/office/drawing/2014/chart" uri="{C3380CC4-5D6E-409C-BE32-E72D297353CC}">
                  <c16:uniqueId val="{00000019-FF6D-41A8-8A3C-AE41F478988B}"/>
                </c:ext>
              </c:extLst>
            </c:dLbl>
            <c:dLbl>
              <c:idx val="18"/>
              <c:tx>
                <c:strRef>
                  <c:f>'C12A'!$AU$31</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{B7C06204-797D-4666-A165-24710B4B73AA}</c15:txfldGUID>
                      <c15:f>'C12A'!$AU$31</c15:f>
                      <c15:dlblFieldTableCache>
                        <c:ptCount val="1"/>
                      </c15:dlblFieldTableCache>
                    </c15:dlblFTEntry>
                  </c15:dlblFieldTable>
                  <c15:showDataLabelsRange val="0"/>
                </c:ext>
                <c:ext xmlns:c16="http://schemas.microsoft.com/office/drawing/2014/chart" uri="{C3380CC4-5D6E-409C-BE32-E72D297353CC}">
                  <c16:uniqueId val="{0000001A-FF6D-41A8-8A3C-AE41F478988B}"/>
                </c:ext>
              </c:extLst>
            </c:dLbl>
            <c:dLbl>
              <c:idx val="19"/>
              <c:tx>
                <c:strRef>
                  <c:f>'C12A'!$AU$32</c:f>
                  <c:strCache>
                    <c:ptCount val="1"/>
                  </c:strCache>
                </c:strRef>
              </c:tx>
              <c:numFmt formatCode="\+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{D99A36F1-EFE7-41D6-ABCA-4FD55C68C926}</c15:txfldGUID>
                      <c15:f>'C12A'!$AU$32</c15:f>
                      <c15:dlblFieldTableCache>
                        <c:ptCount val="1"/>
                      </c15:dlblFieldTableCache>
                    </c15:dlblFTEntry>
                  </c15:dlblFieldTable>
                  <c15:showDataLabelsRange val="0"/>
                </c:ext>
                <c:ext xmlns:c16="http://schemas.microsoft.com/office/drawing/2014/chart" uri="{C3380CC4-5D6E-409C-BE32-E72D297353CC}">
                  <c16:uniqueId val="{0000001B-FF6D-41A8-8A3C-AE41F478988B}"/>
                </c:ext>
              </c:extLst>
            </c:dLbl>
            <c:numFmt formatCode="\+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'C12A'!$A$13:$A$32</c:f>
              <c:strCache>
                <c:ptCount val="10"/>
                <c:pt idx="0">
                  <c:v>Premiums earned</c:v>
                </c:pt>
                <c:pt idx="1">
                  <c:v>Investment income</c:v>
                </c:pt>
                <c:pt idx="2">
                  <c:v>Other revenues</c:v>
                </c:pt>
                <c:pt idx="3">
                  <c:v>Total revenues</c:v>
                </c:pt>
                <c:pt idx="4">
                  <c:v>Losses and LAE</c:v>
                </c:pt>
                <c:pt idx="5">
                  <c:v>Acquisition costs</c:v>
                </c:pt>
                <c:pt idx="6">
                  <c:v>Other expenses</c:v>
                </c:pt>
                <c:pt idx="7">
                  <c:v>Pretax income</c:v>
                </c:pt>
                <c:pt idx="8">
                  <c:v>Income taxes</c:v>
                </c:pt>
                <c:pt idx="9">
                  <c:v>Net income</c:v>
                </c:pt>
              </c:strCache>
            </c:strRef>
          </c:cat>
          <c:val>
            <c:numRef>
              <c:f>'C12A'!$AP$13:$AP$32</c:f>
              <c:numCache>
                <c:formatCode>General</c:formatCode>
                <c:ptCount val="20"/>
                <c:pt idx="0">
                  <c:v>19.138522775735666</c:v>
                </c:pt>
                <c:pt idx="1">
                  <c:v>50.970873786407765</c:v>
                </c:pt>
                <c:pt idx="2">
                  <c:v>#N/A</c:v>
                </c:pt>
                <c:pt idx="3">
                  <c:v>25.19199371107214</c:v>
                </c:pt>
                <c:pt idx="4">
                  <c:v>19.757102011908824</c:v>
                </c:pt>
                <c:pt idx="5">
                  <c:v>19.096247127904007</c:v>
                </c:pt>
                <c:pt idx="6">
                  <c:v>3.5494059257031134</c:v>
                </c:pt>
                <c:pt idx="7">
                  <c:v>238.5</c:v>
                </c:pt>
                <c:pt idx="8">
                  <c:v>238.5</c:v>
                </c:pt>
                <c:pt idx="9">
                  <c:v>238.5</c:v>
                </c:pt>
              </c:numCache>
            </c:numRef>
          </c:val>
          <c:extLst>
            <c:ext xmlns:c16="http://schemas.microsoft.com/office/drawing/2014/chart" uri="{C3380CC4-5D6E-409C-BE32-E72D297353CC}">
              <c16:uniqueId val="{00000007-FF6D-41A8-8A3C-AE41F478988B}"/>
            </c:ext>
          </c:extLst>
        </c:ser>
        <c:ser>
          <c:idx val="1"/>
          <c:order val="1"/>
          <c:tx>
            <c:v>ΔPY% pos good</c:v>
          </c:tx>
          <c:spPr>
            <a:solidFill>
              <a:srgbClr val="8CB400"/>
            </a:solidFill>
            <a:ln>
              <a:noFill/>
            </a:ln>
            <a:effectLst/>
            <a:extLst>
              <a:ext uri="{91240B29-F687-4F45-9708-019B960494DF}">
                <a14:hiddenLine xmlns:a14="http://schemas.microsoft.com/office/drawing/2010/main">
                  <a:noFill/>
                </a14:hiddenLine>
              </a:ext>
            </a:extLst>
          </c:spPr>
          <c:invertIfNegative val="0"/>
          <c:cat>
            <c:strRef>
              <c:f>'C12A'!$A$13:$A$32</c:f>
              <c:strCache>
                <c:ptCount val="10"/>
                <c:pt idx="0">
                  <c:v>Premiums earned</c:v>
                </c:pt>
                <c:pt idx="1">
                  <c:v>Investment income</c:v>
                </c:pt>
                <c:pt idx="2">
                  <c:v>Other revenues</c:v>
                </c:pt>
                <c:pt idx="3">
                  <c:v>Total revenues</c:v>
                </c:pt>
                <c:pt idx="4">
                  <c:v>Losses and LAE</c:v>
                </c:pt>
                <c:pt idx="5">
                  <c:v>Acquisition costs</c:v>
                </c:pt>
                <c:pt idx="6">
                  <c:v>Other expenses</c:v>
                </c:pt>
                <c:pt idx="7">
                  <c:v>Pretax income</c:v>
                </c:pt>
                <c:pt idx="8">
                  <c:v>Income taxes</c:v>
                </c:pt>
                <c:pt idx="9">
                  <c:v>Net income</c:v>
                </c:pt>
              </c:strCache>
            </c:strRef>
          </c:cat>
          <c:val>
            <c:numRef>
              <c:f>'C12A'!$AQ$13:$AQ$32</c:f>
              <c:numCache>
                <c:formatCode>General</c:formatCode>
                <c:ptCount val="20"/>
                <c:pt idx="0">
                  <c:v>19.138522775735666</c:v>
                </c:pt>
                <c:pt idx="1">
                  <c:v>50.970873786407765</c:v>
                </c:pt>
                <c:pt idx="2">
                  <c:v>#N/A</c:v>
                </c:pt>
                <c:pt idx="3">
                  <c:v>25.19199371107214</c:v>
                </c:pt>
                <c:pt idx="4">
                  <c:v>#N/A</c:v>
                </c:pt>
                <c:pt idx="5">
                  <c:v>#N/A</c:v>
                </c:pt>
                <c:pt idx="6">
                  <c:v>#N/A</c:v>
                </c:pt>
                <c:pt idx="7">
                  <c:v>238.5</c:v>
                </c:pt>
                <c:pt idx="8">
                  <c:v>#N/A</c:v>
                </c:pt>
                <c:pt idx="9">
                  <c:v>238.5</c:v>
                </c:pt>
              </c:numCache>
            </c:numRef>
          </c:val>
          <c:extLst>
            <c:ext xmlns:c16="http://schemas.microsoft.com/office/drawing/2014/chart" uri="{C3380CC4-5D6E-409C-BE32-E72D297353CC}">
              <c16:uniqueId val="{0000001C-FF6D-41A8-8A3C-AE41F478988B}"/>
            </c:ext>
          </c:extLst>
        </c:ser>
        <c:ser>
          <c:idx val="2"/>
          <c:order val="2"/>
          <c:tx>
            <c:v>ΔPY% pos bad</c:v>
          </c:tx>
          <c:spPr>
            <a:solidFill>
              <a:srgbClr val="FF0000"/>
            </a:solidFill>
            <a:ln>
              <a:noFill/>
            </a:ln>
            <a:effectLst/>
            <a:extLst>
              <a:ext uri="{91240B29-F687-4F45-9708-019B960494DF}">
                <a14:hiddenLine xmlns:a14="http://schemas.microsoft.com/office/drawing/2010/main">
                  <a:noFill/>
                </a14:hiddenLine>
              </a:ext>
            </a:extLst>
          </c:spPr>
          <c:invertIfNegative val="0"/>
          <c:cat>
            <c:strRef>
              <c:f>'C12A'!$A$13:$A$32</c:f>
              <c:strCache>
                <c:ptCount val="10"/>
                <c:pt idx="0">
                  <c:v>Premiums earned</c:v>
                </c:pt>
                <c:pt idx="1">
                  <c:v>Investment income</c:v>
                </c:pt>
                <c:pt idx="2">
                  <c:v>Other revenues</c:v>
                </c:pt>
                <c:pt idx="3">
                  <c:v>Total revenues</c:v>
                </c:pt>
                <c:pt idx="4">
                  <c:v>Losses and LAE</c:v>
                </c:pt>
                <c:pt idx="5">
                  <c:v>Acquisition costs</c:v>
                </c:pt>
                <c:pt idx="6">
                  <c:v>Other expenses</c:v>
                </c:pt>
                <c:pt idx="7">
                  <c:v>Pretax income</c:v>
                </c:pt>
                <c:pt idx="8">
                  <c:v>Income taxes</c:v>
                </c:pt>
                <c:pt idx="9">
                  <c:v>Net income</c:v>
                </c:pt>
              </c:strCache>
            </c:strRef>
          </c:cat>
          <c:val>
            <c:numRef>
              <c:f>'C12A'!$AR$13:$AR$32</c:f>
              <c:numCache>
                <c:formatCode>General</c:formatCode>
                <c:ptCount val="20"/>
                <c:pt idx="0">
                  <c:v>#N/A</c:v>
                </c:pt>
                <c:pt idx="1">
                  <c:v>#N/A</c:v>
                </c:pt>
                <c:pt idx="2">
                  <c:v>#N/A</c:v>
                </c:pt>
                <c:pt idx="3">
                  <c:v>#N/A</c:v>
                </c:pt>
                <c:pt idx="4">
                  <c:v>19.757102011908824</c:v>
                </c:pt>
                <c:pt idx="5">
                  <c:v>19.096247127904007</c:v>
                </c:pt>
                <c:pt idx="6">
                  <c:v>3.5494059257031134</c:v>
                </c:pt>
                <c:pt idx="7">
                  <c:v>#N/A</c:v>
                </c:pt>
                <c:pt idx="8">
                  <c:v>238.5</c:v>
                </c:pt>
                <c:pt idx="9">
                  <c:v>#N/A</c:v>
                </c:pt>
              </c:numCache>
            </c:numRef>
          </c:val>
          <c:extLst>
            <c:ext xmlns:c16="http://schemas.microsoft.com/office/drawing/2014/chart" uri="{C3380CC4-5D6E-409C-BE32-E72D297353CC}">
              <c16:uniqueId val="{0000001D-FF6D-41A8-8A3C-AE41F478988B}"/>
            </c:ext>
          </c:extLst>
        </c:ser>
        <c:ser>
          <c:idx val="3"/>
          <c:order val="3"/>
          <c:tx>
            <c:v>ΔPY% neg good</c:v>
          </c:tx>
          <c:spPr>
            <a:solidFill>
              <a:srgbClr val="8CB400"/>
            </a:solidFill>
            <a:ln>
              <a:noFill/>
            </a:ln>
            <a:effectLst/>
            <a:extLst>
              <a:ext uri="{91240B29-F687-4F45-9708-019B960494DF}">
                <a14:hiddenLine xmlns:a14="http://schemas.microsoft.com/office/drawing/2010/main">
                  <a:noFill/>
                </a14:hiddenLine>
              </a:ext>
            </a:extLst>
          </c:spPr>
          <c:invertIfNegative val="0"/>
          <c:cat>
            <c:strRef>
              <c:f>'C12A'!$A$13:$A$32</c:f>
              <c:strCache>
                <c:ptCount val="10"/>
                <c:pt idx="0">
                  <c:v>Premiums earned</c:v>
                </c:pt>
                <c:pt idx="1">
                  <c:v>Investment income</c:v>
                </c:pt>
                <c:pt idx="2">
                  <c:v>Other revenues</c:v>
                </c:pt>
                <c:pt idx="3">
                  <c:v>Total revenues</c:v>
                </c:pt>
                <c:pt idx="4">
                  <c:v>Losses and LAE</c:v>
                </c:pt>
                <c:pt idx="5">
                  <c:v>Acquisition costs</c:v>
                </c:pt>
                <c:pt idx="6">
                  <c:v>Other expenses</c:v>
                </c:pt>
                <c:pt idx="7">
                  <c:v>Pretax income</c:v>
                </c:pt>
                <c:pt idx="8">
                  <c:v>Income taxes</c:v>
                </c:pt>
                <c:pt idx="9">
                  <c:v>Net income</c:v>
                </c:pt>
              </c:strCache>
            </c:strRef>
          </c:cat>
          <c:val>
            <c:numRef>
              <c:f>'C12A'!$AS$13:$AS$32</c:f>
              <c:numCache>
                <c:formatCode>General</c:formatCode>
                <c:ptCount val="2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1E-FF6D-41A8-8A3C-AE41F478988B}"/>
            </c:ext>
          </c:extLst>
        </c:ser>
        <c:ser>
          <c:idx val="4"/>
          <c:order val="4"/>
          <c:tx>
            <c:v>ΔPY% neg bad</c:v>
          </c:tx>
          <c:spPr>
            <a:solidFill>
              <a:srgbClr val="FF0000"/>
            </a:solidFill>
            <a:ln>
              <a:noFill/>
            </a:ln>
            <a:effectLst/>
            <a:extLst>
              <a:ext uri="{91240B29-F687-4F45-9708-019B960494DF}">
                <a14:hiddenLine xmlns:a14="http://schemas.microsoft.com/office/drawing/2010/main">
                  <a:noFill/>
                </a14:hiddenLine>
              </a:ext>
            </a:extLst>
          </c:spPr>
          <c:invertIfNegative val="0"/>
          <c:cat>
            <c:strRef>
              <c:f>'C12A'!$A$13:$A$32</c:f>
              <c:strCache>
                <c:ptCount val="10"/>
                <c:pt idx="0">
                  <c:v>Premiums earned</c:v>
                </c:pt>
                <c:pt idx="1">
                  <c:v>Investment income</c:v>
                </c:pt>
                <c:pt idx="2">
                  <c:v>Other revenues</c:v>
                </c:pt>
                <c:pt idx="3">
                  <c:v>Total revenues</c:v>
                </c:pt>
                <c:pt idx="4">
                  <c:v>Losses and LAE</c:v>
                </c:pt>
                <c:pt idx="5">
                  <c:v>Acquisition costs</c:v>
                </c:pt>
                <c:pt idx="6">
                  <c:v>Other expenses</c:v>
                </c:pt>
                <c:pt idx="7">
                  <c:v>Pretax income</c:v>
                </c:pt>
                <c:pt idx="8">
                  <c:v>Income taxes</c:v>
                </c:pt>
                <c:pt idx="9">
                  <c:v>Net income</c:v>
                </c:pt>
              </c:strCache>
            </c:strRef>
          </c:cat>
          <c:val>
            <c:numRef>
              <c:f>'C12A'!$AT$13:$AT$32</c:f>
              <c:numCache>
                <c:formatCode>General</c:formatCode>
                <c:ptCount val="2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1F-FF6D-41A8-8A3C-AE41F478988B}"/>
            </c:ext>
          </c:extLst>
        </c:ser>
        <c:dLbls>
          <c:showLegendKey val="0"/>
          <c:showVal val="0"/>
          <c:showCatName val="0"/>
          <c:showSerName val="0"/>
          <c:showPercent val="0"/>
          <c:showBubbleSize val="0"/>
        </c:dLbls>
        <c:gapWidth val="500"/>
        <c:overlap val="100"/>
        <c:axId val="1619041424"/>
        <c:axId val="1096027792"/>
      </c:barChart>
      <c:catAx>
        <c:axId val="1619041424"/>
        <c:scaling>
          <c:orientation val="maxMin"/>
        </c:scaling>
        <c:delete val="0"/>
        <c:axPos val="l"/>
        <c:numFmt formatCode="General" sourceLinked="1"/>
        <c:majorTickMark val="none"/>
        <c:minorTickMark val="none"/>
        <c:tickLblPos val="none"/>
        <c:spPr>
          <a:ln w="47625">
            <a:solidFill>
              <a:srgbClr val="808080"/>
            </a:solidFill>
          </a:ln>
        </c:spPr>
        <c:crossAx val="1096027792"/>
        <c:crosses val="autoZero"/>
        <c:auto val="1"/>
        <c:lblAlgn val="ctr"/>
        <c:lblOffset val="100"/>
        <c:noMultiLvlLbl val="0"/>
      </c:catAx>
      <c:valAx>
        <c:axId val="1096027792"/>
        <c:scaling>
          <c:orientation val="minMax"/>
          <c:max val="265"/>
          <c:min val="-35"/>
        </c:scaling>
        <c:delete val="0"/>
        <c:axPos val="b"/>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9041424"/>
        <c:crosses val="max"/>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ΔØ %</c:v>
          </c:tx>
          <c:spPr>
            <a:ln w="38100" cap="rnd" cmpd="sng" algn="ctr">
              <a:noFill/>
              <a:prstDash val="solid"/>
              <a:round/>
            </a:ln>
            <a:effectLst/>
            <a:extLst>
              <a:ext uri="{91240B29-F687-4F45-9708-019B960494DF}">
                <a14:hiddenLine xmlns:a14="http://schemas.microsoft.com/office/drawing/2010/main" w="38100" cap="rnd" cmpd="sng" algn="ctr">
                  <a:solidFill>
                    <a:srgbClr val="156082"/>
                  </a:solidFill>
                  <a:prstDash val="solid"/>
                  <a:round/>
                </a14:hiddenLine>
              </a:ext>
            </a:extLst>
          </c:spPr>
          <c:marker>
            <c:symbol val="square"/>
            <c:size val="4"/>
            <c:spPr>
              <a:solidFill>
                <a:srgbClr val="404040"/>
              </a:solidFill>
              <a:ln w="12700">
                <a:solidFill>
                  <a:srgbClr val="404040"/>
                </a:solidFill>
                <a:prstDash val="solid"/>
              </a:ln>
              <a:effectLst/>
              <a:extLst>
                <a:ext uri="{91240B29-F687-4F45-9708-019B960494DF}">
                  <a14:hiddenLine xmlns:a14="http://schemas.microsoft.com/office/drawing/2010/main" w="12700" cap="flat" cmpd="sng" algn="ctr">
                    <a:solidFill>
                      <a:srgbClr val="156082"/>
                    </a:solidFill>
                    <a:prstDash val="solid"/>
                    <a:round/>
                  </a14:hiddenLine>
                </a:ext>
              </a:extLst>
            </c:spPr>
          </c:marker>
          <c:dLbls>
            <c:dLbl>
              <c:idx val="3"/>
              <c:tx>
                <c:strRef>
                  <c:f>'C13D'!$AR$56</c:f>
                  <c:strCache>
                    <c:ptCount val="1"/>
                    <c:pt idx="0">
                      <c:v>+68</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{CB849AED-6B56-48B8-8FA7-F0BC8A520680}</c15:txfldGUID>
                      <c15:f>'C13D'!$AR$56</c15:f>
                      <c15:dlblFieldTableCache>
                        <c:ptCount val="1"/>
                        <c:pt idx="0">
                          <c:v>+68</c:v>
                        </c:pt>
                      </c15:dlblFieldTableCache>
                    </c15:dlblFTEntry>
                  </c15:dlblFieldTable>
                  <c15:showDataLabelsRange val="0"/>
                </c:ext>
                <c:ext xmlns:c16="http://schemas.microsoft.com/office/drawing/2014/chart" uri="{C3380CC4-5D6E-409C-BE32-E72D297353CC}">
                  <c16:uniqueId val="{00000008-F840-4D5C-B8F5-CBE0E3B9B154}"/>
                </c:ext>
              </c:extLst>
            </c:dLbl>
            <c:dLbl>
              <c:idx val="4"/>
              <c:tx>
                <c:strRef>
                  <c:f>'C13D'!$AR$57</c:f>
                  <c:strCache>
                    <c:ptCount val="1"/>
                    <c:pt idx="0">
                      <c:v>+91</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{F760EFA6-F89F-47CF-9089-35CA096FC727}</c15:txfldGUID>
                      <c15:f>'C13D'!$AR$57</c15:f>
                      <c15:dlblFieldTableCache>
                        <c:ptCount val="1"/>
                        <c:pt idx="0">
                          <c:v>+91</c:v>
                        </c:pt>
                      </c15:dlblFieldTableCache>
                    </c15:dlblFTEntry>
                  </c15:dlblFieldTable>
                  <c15:showDataLabelsRange val="0"/>
                </c:ext>
                <c:ext xmlns:c16="http://schemas.microsoft.com/office/drawing/2014/chart" uri="{C3380CC4-5D6E-409C-BE32-E72D297353CC}">
                  <c16:uniqueId val="{00000009-F840-4D5C-B8F5-CBE0E3B9B154}"/>
                </c:ext>
              </c:extLst>
            </c:dLbl>
            <c:dLbl>
              <c:idx val="5"/>
              <c:tx>
                <c:strRef>
                  <c:f>'C13D'!$AR$58</c:f>
                  <c:strCache>
                    <c:ptCount val="1"/>
                    <c:pt idx="0">
                      <c:v>+46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{7B4638E7-928C-438A-9AF2-D1DD8A291794}</c15:txfldGUID>
                      <c15:f>'C13D'!$AR$58</c15:f>
                      <c15:dlblFieldTableCache>
                        <c:ptCount val="1"/>
                        <c:pt idx="0">
                          <c:v>+46</c:v>
                        </c:pt>
                      </c15:dlblFieldTableCache>
                    </c15:dlblFTEntry>
                  </c15:dlblFieldTable>
                  <c15:showDataLabelsRange val="0"/>
                </c:ext>
                <c:ext xmlns:c16="http://schemas.microsoft.com/office/drawing/2014/chart" uri="{C3380CC4-5D6E-409C-BE32-E72D297353CC}">
                  <c16:uniqueId val="{0000000A-F840-4D5C-B8F5-CBE0E3B9B154}"/>
                </c:ext>
              </c:extLst>
            </c:dLbl>
            <c:dLbl>
              <c:idx val="6"/>
              <c:tx>
                <c:strRef>
                  <c:f>'C13D'!$AR$59</c:f>
                  <c:strCache>
                    <c:ptCount val="1"/>
                    <c:pt idx="0">
                      <c:v>+72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{29D85050-B231-4741-A531-AAF517EB9CD9}</c15:txfldGUID>
                      <c15:f>'C13D'!$AR$59</c15:f>
                      <c15:dlblFieldTableCache>
                        <c:ptCount val="1"/>
                        <c:pt idx="0">
                          <c:v>+72</c:v>
                        </c:pt>
                      </c15:dlblFieldTableCache>
                    </c15:dlblFTEntry>
                  </c15:dlblFieldTable>
                  <c15:showDataLabelsRange val="0"/>
                </c:ext>
                <c:ext xmlns:c16="http://schemas.microsoft.com/office/drawing/2014/chart" uri="{C3380CC4-5D6E-409C-BE32-E72D297353CC}">
                  <c16:uniqueId val="{0000000B-F840-4D5C-B8F5-CBE0E3B9B154}"/>
                </c:ext>
              </c:extLst>
            </c:dLbl>
            <c:dLbl>
              <c:idx val="7"/>
              <c:tx>
                <c:strRef>
                  <c:f>'C13D'!$AR$60</c:f>
                  <c:strCache>
                    <c:ptCount val="1"/>
                    <c:pt idx="0">
                      <c:v>+52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{21C07F5A-C752-48B5-8E91-E15ADB3C5CF0}</c15:txfldGUID>
                      <c15:f>'C13D'!$AR$60</c15:f>
                      <c15:dlblFieldTableCache>
                        <c:ptCount val="1"/>
                        <c:pt idx="0">
                          <c:v>+52</c:v>
                        </c:pt>
                      </c15:dlblFieldTableCache>
                    </c15:dlblFTEntry>
                  </c15:dlblFieldTable>
                  <c15:showDataLabelsRange val="0"/>
                </c:ext>
                <c:ext xmlns:c16="http://schemas.microsoft.com/office/drawing/2014/chart" uri="{C3380CC4-5D6E-409C-BE32-E72D297353CC}">
                  <c16:uniqueId val="{0000000C-F840-4D5C-B8F5-CBE0E3B9B154}"/>
                </c:ext>
              </c:extLst>
            </c:dLbl>
            <c:dLbl>
              <c:idx val="8"/>
              <c:tx>
                <c:strRef>
                  <c:f>'C13D'!$AR$61</c:f>
                  <c:strCache>
                    <c:ptCount val="1"/>
                    <c:pt idx="0">
                      <c:v>+50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{BC5DA828-E9D0-4C82-B8E0-669B71AA23F1}</c15:txfldGUID>
                      <c15:f>'C13D'!$AR$61</c15:f>
                      <c15:dlblFieldTableCache>
                        <c:ptCount val="1"/>
                        <c:pt idx="0">
                          <c:v>+50</c:v>
                        </c:pt>
                      </c15:dlblFieldTableCache>
                    </c15:dlblFTEntry>
                  </c15:dlblFieldTable>
                  <c15:showDataLabelsRange val="0"/>
                </c:ext>
                <c:ext xmlns:c16="http://schemas.microsoft.com/office/drawing/2014/chart" uri="{C3380CC4-5D6E-409C-BE32-E72D297353CC}">
                  <c16:uniqueId val="{0000000D-F840-4D5C-B8F5-CBE0E3B9B154}"/>
                </c:ext>
              </c:extLst>
            </c:dLbl>
            <c:dLbl>
              <c:idx val="9"/>
              <c:tx>
                <c:strRef>
                  <c:f>'C13D'!$AR$62</c:f>
                  <c:strCache>
                    <c:ptCount val="1"/>
                    <c:pt idx="0">
                      <c:v>+66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{99C1E8D7-9AB0-44A4-B013-3244C360029B}</c15:txfldGUID>
                      <c15:f>'C13D'!$AR$62</c15:f>
                      <c15:dlblFieldTableCache>
                        <c:ptCount val="1"/>
                        <c:pt idx="0">
                          <c:v>+66</c:v>
                        </c:pt>
                      </c15:dlblFieldTableCache>
                    </c15:dlblFTEntry>
                  </c15:dlblFieldTable>
                  <c15:showDataLabelsRange val="0"/>
                </c:ext>
                <c:ext xmlns:c16="http://schemas.microsoft.com/office/drawing/2014/chart" uri="{C3380CC4-5D6E-409C-BE32-E72D297353CC}">
                  <c16:uniqueId val="{0000000E-F840-4D5C-B8F5-CBE0E3B9B154}"/>
                </c:ext>
              </c:extLst>
            </c:dLbl>
            <c:dLbl>
              <c:idx val="10"/>
              <c:tx>
                <c:strRef>
                  <c:f>'C13D'!$AR$63</c:f>
                  <c:strCache>
                    <c:ptCount val="1"/>
                    <c:pt idx="0">
                      <c:v>+53</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{9856DD3D-8826-4532-AA6B-316C572F4ED5}</c15:txfldGUID>
                      <c15:f>'C13D'!$AR$63</c15:f>
                      <c15:dlblFieldTableCache>
                        <c:ptCount val="1"/>
                        <c:pt idx="0">
                          <c:v>+53</c:v>
                        </c:pt>
                      </c15:dlblFieldTableCache>
                    </c15:dlblFTEntry>
                  </c15:dlblFieldTable>
                  <c15:showDataLabelsRange val="0"/>
                </c:ext>
                <c:ext xmlns:c16="http://schemas.microsoft.com/office/drawing/2014/chart" uri="{C3380CC4-5D6E-409C-BE32-E72D297353CC}">
                  <c16:uniqueId val="{0000000F-F840-4D5C-B8F5-CBE0E3B9B154}"/>
                </c:ext>
              </c:extLst>
            </c:dLbl>
            <c:dLbl>
              <c:idx val="11"/>
              <c:tx>
                <c:strRef>
                  <c:f>'C13D'!$AR$64</c:f>
                  <c:strCache>
                    <c:ptCount val="1"/>
                    <c:pt idx="0">
                      <c:v>+57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{B5DE0F46-BA81-47CD-A541-80272F5DCBC4}</c15:txfldGUID>
                      <c15:f>'C13D'!$AR$64</c15:f>
                      <c15:dlblFieldTableCache>
                        <c:ptCount val="1"/>
                        <c:pt idx="0">
                          <c:v>+57</c:v>
                        </c:pt>
                      </c15:dlblFieldTableCache>
                    </c15:dlblFTEntry>
                  </c15:dlblFieldTable>
                  <c15:showDataLabelsRange val="0"/>
                </c:ext>
                <c:ext xmlns:c16="http://schemas.microsoft.com/office/drawing/2014/chart" uri="{C3380CC4-5D6E-409C-BE32-E72D297353CC}">
                  <c16:uniqueId val="{00000010-F840-4D5C-B8F5-CBE0E3B9B154}"/>
                </c:ext>
              </c:extLst>
            </c:dLbl>
            <c:dLbl>
              <c:idx val="12"/>
              <c:tx>
                <c:strRef>
                  <c:f>'C13D'!$AR$65</c:f>
                  <c:strCache>
                    <c:ptCount val="1"/>
                    <c:pt idx="0">
                      <c:v>+57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{68AD002C-9D13-4FBE-ACA6-0DDB12D01520}</c15:txfldGUID>
                      <c15:f>'C13D'!$AR$65</c15:f>
                      <c15:dlblFieldTableCache>
                        <c:ptCount val="1"/>
                        <c:pt idx="0">
                          <c:v>+57</c:v>
                        </c:pt>
                      </c15:dlblFieldTableCache>
                    </c15:dlblFTEntry>
                  </c15:dlblFieldTable>
                  <c15:showDataLabelsRange val="0"/>
                </c:ext>
                <c:ext xmlns:c16="http://schemas.microsoft.com/office/drawing/2014/chart" uri="{C3380CC4-5D6E-409C-BE32-E72D297353CC}">
                  <c16:uniqueId val="{00000011-F840-4D5C-B8F5-CBE0E3B9B154}"/>
                </c:ext>
              </c:extLst>
            </c:dLbl>
            <c:dLbl>
              <c:idx val="13"/>
              <c:tx>
                <c:strRef>
                  <c:f>'C13D'!$AR$66</c:f>
                  <c:strCache>
                    <c:ptCount val="1"/>
                    <c:pt idx="0">
                      <c:v>+72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{B4026F4C-4BFD-4417-BA1A-F1920DD5C6B0}</c15:txfldGUID>
                      <c15:f>'C13D'!$AR$66</c15:f>
                      <c15:dlblFieldTableCache>
                        <c:ptCount val="1"/>
                        <c:pt idx="0">
                          <c:v>+72</c:v>
                        </c:pt>
                      </c15:dlblFieldTableCache>
                    </c15:dlblFTEntry>
                  </c15:dlblFieldTable>
                  <c15:showDataLabelsRange val="0"/>
                </c:ext>
                <c:ext xmlns:c16="http://schemas.microsoft.com/office/drawing/2014/chart" uri="{C3380CC4-5D6E-409C-BE32-E72D297353CC}">
                  <c16:uniqueId val="{00000012-F840-4D5C-B8F5-CBE0E3B9B154}"/>
                </c:ext>
              </c:extLst>
            </c:dLbl>
            <c:dLbl>
              <c:idx val="14"/>
              <c:tx>
                <c:strRef>
                  <c:f>'C13D'!$AR$67</c:f>
                  <c:strCache>
                    <c:ptCount val="1"/>
                    <c:pt idx="0">
                      <c:v>+73</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{16D5E5B7-B350-4F9D-9B5A-D5F8C8AB143D}</c15:txfldGUID>
                      <c15:f>'C13D'!$AR$67</c15:f>
                      <c15:dlblFieldTableCache>
                        <c:ptCount val="1"/>
                        <c:pt idx="0">
                          <c:v>+73</c:v>
                        </c:pt>
                      </c15:dlblFieldTableCache>
                    </c15:dlblFTEntry>
                  </c15:dlblFieldTable>
                  <c15:showDataLabelsRange val="0"/>
                </c:ext>
                <c:ext xmlns:c16="http://schemas.microsoft.com/office/drawing/2014/chart" uri="{C3380CC4-5D6E-409C-BE32-E72D297353CC}">
                  <c16:uniqueId val="{00000013-F840-4D5C-B8F5-CBE0E3B9B154}"/>
                </c:ext>
              </c:extLst>
            </c:dLbl>
            <c:dLbl>
              <c:idx val="16"/>
              <c:tx>
                <c:strRef>
                  <c:f>'C13D'!$AR$69</c:f>
                  <c:strCache>
                    <c:ptCount val="1"/>
                    <c:pt idx="0">
                      <c:v>+74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{56CCC7EE-7005-462A-9CD0-71621D1B9997}</c15:txfldGUID>
                      <c15:f>'C13D'!$AR$69</c15:f>
                      <c15:dlblFieldTableCache>
                        <c:ptCount val="1"/>
                        <c:pt idx="0">
                          <c:v>+74</c:v>
                        </c:pt>
                      </c15:dlblFieldTableCache>
                    </c15:dlblFTEntry>
                  </c15:dlblFieldTable>
                  <c15:showDataLabelsRange val="0"/>
                </c:ext>
                <c:ext xmlns:c16="http://schemas.microsoft.com/office/drawing/2014/chart" uri="{C3380CC4-5D6E-409C-BE32-E72D297353CC}">
                  <c16:uniqueId val="{00000014-F840-4D5C-B8F5-CBE0E3B9B154}"/>
                </c:ext>
              </c:extLst>
            </c:dLbl>
            <c:dLbl>
              <c:idx val="17"/>
              <c:tx>
                <c:strRef>
                  <c:f>'C13D'!$AR$70</c:f>
                  <c:strCache>
                    <c:ptCount val="1"/>
                    <c:pt idx="0">
                      <c:v>+80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{2CA65CD0-CEBF-473D-AE6C-40ACF356F860}</c15:txfldGUID>
                      <c15:f>'C13D'!$AR$70</c15:f>
                      <c15:dlblFieldTableCache>
                        <c:ptCount val="1"/>
                        <c:pt idx="0">
                          <c:v>+80</c:v>
                        </c:pt>
                      </c15:dlblFieldTableCache>
                    </c15:dlblFTEntry>
                  </c15:dlblFieldTable>
                  <c15:showDataLabelsRange val="0"/>
                </c:ext>
                <c:ext xmlns:c16="http://schemas.microsoft.com/office/drawing/2014/chart" uri="{C3380CC4-5D6E-409C-BE32-E72D297353CC}">
                  <c16:uniqueId val="{00000015-F840-4D5C-B8F5-CBE0E3B9B154}"/>
                </c:ext>
              </c:extLst>
            </c:dLbl>
            <c:dLbl>
              <c:idx val="18"/>
              <c:tx>
                <c:strRef>
                  <c:f>'C13D'!$AR$71</c:f>
                  <c:strCache>
                    <c:ptCount val="1"/>
                    <c:pt idx="0">
                      <c:v>+139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{9F8DBAA6-98B3-4970-9928-EAAAB7B6FD04}</c15:txfldGUID>
                      <c15:f>'C13D'!$AR$71</c15:f>
                      <c15:dlblFieldTableCache>
                        <c:ptCount val="1"/>
                        <c:pt idx="0">
                          <c:v>+139</c:v>
                        </c:pt>
                      </c15:dlblFieldTableCache>
                    </c15:dlblFTEntry>
                  </c15:dlblFieldTable>
                  <c15:showDataLabelsRange val="0"/>
                </c:ext>
                <c:ext xmlns:c16="http://schemas.microsoft.com/office/drawing/2014/chart" uri="{C3380CC4-5D6E-409C-BE32-E72D297353CC}">
                  <c16:uniqueId val="{00000016-F840-4D5C-B8F5-CBE0E3B9B154}"/>
                </c:ext>
              </c:extLst>
            </c:dLbl>
            <c:dLbl>
              <c:idx val="19"/>
              <c:tx>
                <c:strRef>
                  <c:f>'C13D'!$AR$72</c:f>
                  <c:strCache>
                    <c:ptCount val="1"/>
                    <c:pt idx="0">
                      <c:v>+75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{97B0890A-D0B7-4D83-BA53-18D509E002B2}</c15:txfldGUID>
                      <c15:f>'C13D'!$AR$72</c15:f>
                      <c15:dlblFieldTableCache>
                        <c:ptCount val="1"/>
                        <c:pt idx="0">
                          <c:v>+75</c:v>
                        </c:pt>
                      </c15:dlblFieldTableCache>
                    </c15:dlblFTEntry>
                  </c15:dlblFieldTable>
                  <c15:showDataLabelsRange val="0"/>
                </c:ext>
                <c:ext xmlns:c16="http://schemas.microsoft.com/office/drawing/2014/chart" uri="{C3380CC4-5D6E-409C-BE32-E72D297353CC}">
                  <c16:uniqueId val="{00000017-F840-4D5C-B8F5-CBE0E3B9B154}"/>
                </c:ext>
              </c:extLst>
            </c:dLbl>
            <c:dLbl>
              <c:idx val="20"/>
              <c:tx>
                <c:strRef>
                  <c:f>'C13D'!$AR$73</c:f>
                  <c:strCache>
                    <c:ptCount val="1"/>
                    <c:pt idx="0">
                      <c:v>+110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{03034BA9-80A4-4B70-A112-8D8B9B648350}</c15:txfldGUID>
                      <c15:f>'C13D'!$AR$73</c15:f>
                      <c15:dlblFieldTableCache>
                        <c:ptCount val="1"/>
                        <c:pt idx="0">
                          <c:v>+110</c:v>
                        </c:pt>
                      </c15:dlblFieldTableCache>
                    </c15:dlblFTEntry>
                  </c15:dlblFieldTable>
                  <c15:showDataLabelsRange val="0"/>
                </c:ext>
                <c:ext xmlns:c16="http://schemas.microsoft.com/office/drawing/2014/chart" uri="{C3380CC4-5D6E-409C-BE32-E72D297353CC}">
                  <c16:uniqueId val="{00000018-F840-4D5C-B8F5-CBE0E3B9B154}"/>
                </c:ext>
              </c:extLst>
            </c:dLbl>
            <c:dLbl>
              <c:idx val="21"/>
              <c:tx>
                <c:strRef>
                  <c:f>'C13D'!$AR$74</c:f>
                  <c:strCache>
                    <c:ptCount val="1"/>
                    <c:pt idx="0">
                      <c:v>+99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{3AB616AC-2B76-4400-A230-9F011FD6385A}</c15:txfldGUID>
                      <c15:f>'C13D'!$AR$74</c15:f>
                      <c15:dlblFieldTableCache>
                        <c:ptCount val="1"/>
                        <c:pt idx="0">
                          <c:v>+99</c:v>
                        </c:pt>
                      </c15:dlblFieldTableCache>
                    </c15:dlblFTEntry>
                  </c15:dlblFieldTable>
                  <c15:showDataLabelsRange val="0"/>
                </c:ext>
                <c:ext xmlns:c16="http://schemas.microsoft.com/office/drawing/2014/chart" uri="{C3380CC4-5D6E-409C-BE32-E72D297353CC}">
                  <c16:uniqueId val="{00000019-F840-4D5C-B8F5-CBE0E3B9B154}"/>
                </c:ext>
              </c:extLst>
            </c:dLbl>
            <c:dLbl>
              <c:idx val="22"/>
              <c:tx>
                <c:strRef>
                  <c:f>'C13D'!$AR$75</c:f>
                  <c:strCache>
                    <c:ptCount val="1"/>
                    <c:pt idx="0">
                      <c:v>+78</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{166DCC6F-6158-4FE9-BCB2-4E0AAB0A2214}</c15:txfldGUID>
                      <c15:f>'C13D'!$AR$75</c15:f>
                      <c15:dlblFieldTableCache>
                        <c:ptCount val="1"/>
                        <c:pt idx="0">
                          <c:v>+78</c:v>
                        </c:pt>
                      </c15:dlblFieldTableCache>
                    </c15:dlblFTEntry>
                  </c15:dlblFieldTable>
                  <c15:showDataLabelsRange val="0"/>
                </c:ext>
                <c:ext xmlns:c16="http://schemas.microsoft.com/office/drawing/2014/chart" uri="{C3380CC4-5D6E-409C-BE32-E72D297353CC}">
                  <c16:uniqueId val="{0000001A-F840-4D5C-B8F5-CBE0E3B9B154}"/>
                </c:ext>
              </c:extLst>
            </c:dLbl>
            <c:dLbl>
              <c:idx val="23"/>
              <c:tx>
                <c:strRef>
                  <c:f>'C13D'!$AR$76</c:f>
                  <c:strCache>
                    <c:ptCount val="1"/>
                    <c:pt idx="0">
                      <c:v>+110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{91289953-DA37-4D84-89D8-7F6D89BFADDF}</c15:txfldGUID>
                      <c15:f>'C13D'!$AR$76</c15:f>
                      <c15:dlblFieldTableCache>
                        <c:ptCount val="1"/>
                        <c:pt idx="0">
                          <c:v>+110</c:v>
                        </c:pt>
                      </c15:dlblFieldTableCache>
                    </c15:dlblFTEntry>
                  </c15:dlblFieldTable>
                  <c15:showDataLabelsRange val="0"/>
                </c:ext>
                <c:ext xmlns:c16="http://schemas.microsoft.com/office/drawing/2014/chart" uri="{C3380CC4-5D6E-409C-BE32-E72D297353CC}">
                  <c16:uniqueId val="{0000001B-F840-4D5C-B8F5-CBE0E3B9B154}"/>
                </c:ext>
              </c:extLst>
            </c:dLbl>
            <c:dLbl>
              <c:idx val="24"/>
              <c:tx>
                <c:strRef>
                  <c:f>'C13D'!$AR$77</c:f>
                  <c:strCache>
                    <c:ptCount val="1"/>
                    <c:pt idx="0">
                      <c:v>+110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{2FCBBFC4-E8A6-4EF4-AF07-B1302B632FA4}</c15:txfldGUID>
                      <c15:f>'C13D'!$AR$77</c15:f>
                      <c15:dlblFieldTableCache>
                        <c:ptCount val="1"/>
                        <c:pt idx="0">
                          <c:v>+110</c:v>
                        </c:pt>
                      </c15:dlblFieldTableCache>
                    </c15:dlblFTEntry>
                  </c15:dlblFieldTable>
                  <c15:showDataLabelsRange val="0"/>
                </c:ext>
                <c:ext xmlns:c16="http://schemas.microsoft.com/office/drawing/2014/chart" uri="{C3380CC4-5D6E-409C-BE32-E72D297353CC}">
                  <c16:uniqueId val="{0000001C-F840-4D5C-B8F5-CBE0E3B9B154}"/>
                </c:ext>
              </c:extLst>
            </c:dLbl>
            <c:dLbl>
              <c:idx val="25"/>
              <c:tx>
                <c:strRef>
                  <c:f>'C13D'!$AR$78</c:f>
                  <c:strCache>
                    <c:ptCount val="1"/>
                    <c:pt idx="0">
                      <c:v>+87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{8CA7E0CF-73D7-4F8E-A292-A058DB2A7E70}</c15:txfldGUID>
                      <c15:f>'C13D'!$AR$78</c15:f>
                      <c15:dlblFieldTableCache>
                        <c:ptCount val="1"/>
                        <c:pt idx="0">
                          <c:v>+87</c:v>
                        </c:pt>
                      </c15:dlblFieldTableCache>
                    </c15:dlblFTEntry>
                  </c15:dlblFieldTable>
                  <c15:showDataLabelsRange val="0"/>
                </c:ext>
                <c:ext xmlns:c16="http://schemas.microsoft.com/office/drawing/2014/chart" uri="{C3380CC4-5D6E-409C-BE32-E72D297353CC}">
                  <c16:uniqueId val="{0000001D-F840-4D5C-B8F5-CBE0E3B9B154}"/>
                </c:ext>
              </c:extLst>
            </c:dLbl>
            <c:dLbl>
              <c:idx val="26"/>
              <c:tx>
                <c:strRef>
                  <c:f>'C13D'!$AR$79</c:f>
                  <c:strCache>
                    <c:ptCount val="1"/>
                    <c:pt idx="0">
                      <c:v>+102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{9DE37DF5-BD0E-4959-9609-FA3552532CA2}</c15:txfldGUID>
                      <c15:f>'C13D'!$AR$79</c15:f>
                      <c15:dlblFieldTableCache>
                        <c:ptCount val="1"/>
                        <c:pt idx="0">
                          <c:v>+102</c:v>
                        </c:pt>
                      </c15:dlblFieldTableCache>
                    </c15:dlblFTEntry>
                  </c15:dlblFieldTable>
                  <c15:showDataLabelsRange val="0"/>
                </c:ext>
                <c:ext xmlns:c16="http://schemas.microsoft.com/office/drawing/2014/chart" uri="{C3380CC4-5D6E-409C-BE32-E72D297353CC}">
                  <c16:uniqueId val="{0000001E-F840-4D5C-B8F5-CBE0E3B9B154}"/>
                </c:ext>
              </c:extLst>
            </c:dLbl>
            <c:dLbl>
              <c:idx val="27"/>
              <c:tx>
                <c:strRef>
                  <c:f>'C13D'!$AR$80</c:f>
                  <c:strCache>
                    <c:ptCount val="1"/>
                    <c:pt idx="0">
                      <c:v>+112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{2BE3CCA8-B9C0-47A8-965C-78FCE6F5457B}</c15:txfldGUID>
                      <c15:f>'C13D'!$AR$80</c15:f>
                      <c15:dlblFieldTableCache>
                        <c:ptCount val="1"/>
                        <c:pt idx="0">
                          <c:v>+112</c:v>
                        </c:pt>
                      </c15:dlblFieldTableCache>
                    </c15:dlblFTEntry>
                  </c15:dlblFieldTable>
                  <c15:showDataLabelsRange val="0"/>
                </c:ext>
                <c:ext xmlns:c16="http://schemas.microsoft.com/office/drawing/2014/chart" uri="{C3380CC4-5D6E-409C-BE32-E72D297353CC}">
                  <c16:uniqueId val="{0000001F-F840-4D5C-B8F5-CBE0E3B9B154}"/>
                </c:ext>
              </c:extLst>
            </c:dLbl>
            <c:dLbl>
              <c:idx val="29"/>
              <c:tx>
                <c:strRef>
                  <c:f>'C13D'!$AR$82</c:f>
                  <c:strCache>
                    <c:ptCount val="1"/>
                    <c:pt idx="0">
                      <c:v>+105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{DFEAF1CD-6214-47BD-B924-EE089AB5CD1C}</c15:txfldGUID>
                      <c15:f>'C13D'!$AR$82</c15:f>
                      <c15:dlblFieldTableCache>
                        <c:ptCount val="1"/>
                        <c:pt idx="0">
                          <c:v>+105</c:v>
                        </c:pt>
                      </c15:dlblFieldTableCache>
                    </c15:dlblFTEntry>
                  </c15:dlblFieldTable>
                  <c15:showDataLabelsRange val="0"/>
                </c:ext>
                <c:ext xmlns:c16="http://schemas.microsoft.com/office/drawing/2014/chart" uri="{C3380CC4-5D6E-409C-BE32-E72D297353CC}">
                  <c16:uniqueId val="{00000020-F840-4D5C-B8F5-CBE0E3B9B154}"/>
                </c:ext>
              </c:extLst>
            </c:dLbl>
            <c:dLbl>
              <c:idx val="30"/>
              <c:tx>
                <c:strRef>
                  <c:f>'C13D'!$AR$83</c:f>
                  <c:strCache>
                    <c:ptCount val="1"/>
                    <c:pt idx="0">
                      <c:v>+110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{43515E22-FE9E-49D3-9306-A278782C030F}</c15:txfldGUID>
                      <c15:f>'C13D'!$AR$83</c15:f>
                      <c15:dlblFieldTableCache>
                        <c:ptCount val="1"/>
                        <c:pt idx="0">
                          <c:v>+110</c:v>
                        </c:pt>
                      </c15:dlblFieldTableCache>
                    </c15:dlblFTEntry>
                  </c15:dlblFieldTable>
                  <c15:showDataLabelsRange val="0"/>
                </c:ext>
                <c:ext xmlns:c16="http://schemas.microsoft.com/office/drawing/2014/chart" uri="{C3380CC4-5D6E-409C-BE32-E72D297353CC}">
                  <c16:uniqueId val="{00000021-F840-4D5C-B8F5-CBE0E3B9B154}"/>
                </c:ext>
              </c:extLst>
            </c:dLbl>
            <c:dLbl>
              <c:idx val="31"/>
              <c:tx>
                <c:strRef>
                  <c:f>'C13D'!$AR$84</c:f>
                  <c:strCache>
                    <c:ptCount val="1"/>
                    <c:pt idx="0">
                      <c:v>+179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{D11CF8C1-1B97-4A81-A398-0CC05C59217D}</c15:txfldGUID>
                      <c15:f>'C13D'!$AR$84</c15:f>
                      <c15:dlblFieldTableCache>
                        <c:ptCount val="1"/>
                        <c:pt idx="0">
                          <c:v>+179</c:v>
                        </c:pt>
                      </c15:dlblFieldTableCache>
                    </c15:dlblFTEntry>
                  </c15:dlblFieldTable>
                  <c15:showDataLabelsRange val="0"/>
                </c:ext>
                <c:ext xmlns:c16="http://schemas.microsoft.com/office/drawing/2014/chart" uri="{C3380CC4-5D6E-409C-BE32-E72D297353CC}">
                  <c16:uniqueId val="{00000022-F840-4D5C-B8F5-CBE0E3B9B154}"/>
                </c:ext>
              </c:extLst>
            </c:dLbl>
            <c:dLbl>
              <c:idx val="32"/>
              <c:tx>
                <c:strRef>
                  <c:f>'C13D'!$AR$85</c:f>
                  <c:strCache>
                    <c:ptCount val="1"/>
                    <c:pt idx="0">
                      <c:v>+94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{506287AF-14F2-471A-AA46-5E062317203A}</c15:txfldGUID>
                      <c15:f>'C13D'!$AR$85</c15:f>
                      <c15:dlblFieldTableCache>
                        <c:ptCount val="1"/>
                        <c:pt idx="0">
                          <c:v>+94</c:v>
                        </c:pt>
                      </c15:dlblFieldTableCache>
                    </c15:dlblFTEntry>
                  </c15:dlblFieldTable>
                  <c15:showDataLabelsRange val="0"/>
                </c:ext>
                <c:ext xmlns:c16="http://schemas.microsoft.com/office/drawing/2014/chart" uri="{C3380CC4-5D6E-409C-BE32-E72D297353CC}">
                  <c16:uniqueId val="{00000023-F840-4D5C-B8F5-CBE0E3B9B154}"/>
                </c:ext>
              </c:extLst>
            </c:dLbl>
            <c:dLbl>
              <c:idx val="33"/>
              <c:tx>
                <c:strRef>
                  <c:f>'C13D'!$AR$86</c:f>
                  <c:strCache>
                    <c:ptCount val="1"/>
                    <c:pt idx="0">
                      <c:v>+133</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{37FFA68E-5846-4269-90C6-D1591432FBCA}</c15:txfldGUID>
                      <c15:f>'C13D'!$AR$86</c15:f>
                      <c15:dlblFieldTableCache>
                        <c:ptCount val="1"/>
                        <c:pt idx="0">
                          <c:v>+133</c:v>
                        </c:pt>
                      </c15:dlblFieldTableCache>
                    </c15:dlblFTEntry>
                  </c15:dlblFieldTable>
                  <c15:showDataLabelsRange val="0"/>
                </c:ext>
                <c:ext xmlns:c16="http://schemas.microsoft.com/office/drawing/2014/chart" uri="{C3380CC4-5D6E-409C-BE32-E72D297353CC}">
                  <c16:uniqueId val="{00000024-F840-4D5C-B8F5-CBE0E3B9B154}"/>
                </c:ext>
              </c:extLst>
            </c:dLbl>
            <c:dLbl>
              <c:idx val="34"/>
              <c:tx>
                <c:strRef>
                  <c:f>'C13D'!$AR$87</c:f>
                  <c:strCache>
                    <c:ptCount val="1"/>
                    <c:pt idx="0">
                      <c:v>+129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{55124E3D-766B-479C-B8B8-13DB8F967642}</c15:txfldGUID>
                      <c15:f>'C13D'!$AR$87</c15:f>
                      <c15:dlblFieldTableCache>
                        <c:ptCount val="1"/>
                        <c:pt idx="0">
                          <c:v>+129</c:v>
                        </c:pt>
                      </c15:dlblFieldTableCache>
                    </c15:dlblFTEntry>
                  </c15:dlblFieldTable>
                  <c15:showDataLabelsRange val="0"/>
                </c:ext>
                <c:ext xmlns:c16="http://schemas.microsoft.com/office/drawing/2014/chart" uri="{C3380CC4-5D6E-409C-BE32-E72D297353CC}">
                  <c16:uniqueId val="{00000025-F840-4D5C-B8F5-CBE0E3B9B154}"/>
                </c:ext>
              </c:extLst>
            </c:dLbl>
            <c:dLbl>
              <c:idx val="35"/>
              <c:tx>
                <c:strRef>
                  <c:f>'C13D'!$AR$88</c:f>
                  <c:strCache>
                    <c:ptCount val="1"/>
                    <c:pt idx="0">
                      <c:v>+97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{0832997A-0305-49C4-9F29-5D8B728C5FBB}</c15:txfldGUID>
                      <c15:f>'C13D'!$AR$88</c15:f>
                      <c15:dlblFieldTableCache>
                        <c:ptCount val="1"/>
                        <c:pt idx="0">
                          <c:v>+97</c:v>
                        </c:pt>
                      </c15:dlblFieldTableCache>
                    </c15:dlblFTEntry>
                  </c15:dlblFieldTable>
                  <c15:showDataLabelsRange val="0"/>
                </c:ext>
                <c:ext xmlns:c16="http://schemas.microsoft.com/office/drawing/2014/chart" uri="{C3380CC4-5D6E-409C-BE32-E72D297353CC}">
                  <c16:uniqueId val="{00000026-F840-4D5C-B8F5-CBE0E3B9B154}"/>
                </c:ext>
              </c:extLst>
            </c:dLbl>
            <c:dLbl>
              <c:idx val="36"/>
              <c:tx>
                <c:strRef>
                  <c:f>'C13D'!$AR$89</c:f>
                  <c:strCache>
                    <c:ptCount val="1"/>
                    <c:pt idx="0">
                      <c:v>+132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{2AEA66C4-E8C8-4584-9C0C-80508F5994A1}</c15:txfldGUID>
                      <c15:f>'C13D'!$AR$89</c15:f>
                      <c15:dlblFieldTableCache>
                        <c:ptCount val="1"/>
                        <c:pt idx="0">
                          <c:v>+132</c:v>
                        </c:pt>
                      </c15:dlblFieldTableCache>
                    </c15:dlblFTEntry>
                  </c15:dlblFieldTable>
                  <c15:showDataLabelsRange val="0"/>
                </c:ext>
                <c:ext xmlns:c16="http://schemas.microsoft.com/office/drawing/2014/chart" uri="{C3380CC4-5D6E-409C-BE32-E72D297353CC}">
                  <c16:uniqueId val="{00000027-F840-4D5C-B8F5-CBE0E3B9B154}"/>
                </c:ext>
              </c:extLst>
            </c:dLbl>
            <c:dLbl>
              <c:idx val="37"/>
              <c:tx>
                <c:strRef>
                  <c:f>'C13D'!$AR$90</c:f>
                  <c:strCache>
                    <c:ptCount val="1"/>
                    <c:pt idx="0">
                      <c:v>+128</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{C84FF806-BA64-4F7A-B625-62F7819F2580}</c15:txfldGUID>
                      <c15:f>'C13D'!$AR$90</c15:f>
                      <c15:dlblFieldTableCache>
                        <c:ptCount val="1"/>
                        <c:pt idx="0">
                          <c:v>+128</c:v>
                        </c:pt>
                      </c15:dlblFieldTableCache>
                    </c15:dlblFTEntry>
                  </c15:dlblFieldTable>
                  <c15:showDataLabelsRange val="0"/>
                </c:ext>
                <c:ext xmlns:c16="http://schemas.microsoft.com/office/drawing/2014/chart" uri="{C3380CC4-5D6E-409C-BE32-E72D297353CC}">
                  <c16:uniqueId val="{00000028-F840-4D5C-B8F5-CBE0E3B9B154}"/>
                </c:ext>
              </c:extLst>
            </c:dLbl>
            <c:dLbl>
              <c:idx val="38"/>
              <c:tx>
                <c:strRef>
                  <c:f>'C13D'!$AR$91</c:f>
                  <c:strCache>
                    <c:ptCount val="1"/>
                    <c:pt idx="0">
                      <c:v>+99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{BEAD9F9E-5649-4B9F-B553-4AC5A17D40FC}</c15:txfldGUID>
                      <c15:f>'C13D'!$AR$91</c15:f>
                      <c15:dlblFieldTableCache>
                        <c:ptCount val="1"/>
                        <c:pt idx="0">
                          <c:v>+99</c:v>
                        </c:pt>
                      </c15:dlblFieldTableCache>
                    </c15:dlblFTEntry>
                  </c15:dlblFieldTable>
                  <c15:showDataLabelsRange val="0"/>
                </c:ext>
                <c:ext xmlns:c16="http://schemas.microsoft.com/office/drawing/2014/chart" uri="{C3380CC4-5D6E-409C-BE32-E72D297353CC}">
                  <c16:uniqueId val="{00000029-F840-4D5C-B8F5-CBE0E3B9B154}"/>
                </c:ext>
              </c:extLst>
            </c:dLbl>
            <c:dLbl>
              <c:idx val="39"/>
              <c:tx>
                <c:strRef>
                  <c:f>'C13D'!$AR$92</c:f>
                  <c:strCache>
                    <c:ptCount val="1"/>
                    <c:pt idx="0">
                      <c:v>+125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{410B008B-0542-4124-83CB-1674812FEAF1}</c15:txfldGUID>
                      <c15:f>'C13D'!$AR$92</c15:f>
                      <c15:dlblFieldTableCache>
                        <c:ptCount val="1"/>
                        <c:pt idx="0">
                          <c:v>+125</c:v>
                        </c:pt>
                      </c15:dlblFieldTableCache>
                    </c15:dlblFTEntry>
                  </c15:dlblFieldTable>
                  <c15:showDataLabelsRange val="0"/>
                </c:ext>
                <c:ext xmlns:c16="http://schemas.microsoft.com/office/drawing/2014/chart" uri="{C3380CC4-5D6E-409C-BE32-E72D297353CC}">
                  <c16:uniqueId val="{0000002A-F840-4D5C-B8F5-CBE0E3B9B154}"/>
                </c:ext>
              </c:extLst>
            </c:dLbl>
            <c:dLbl>
              <c:idx val="40"/>
              <c:tx>
                <c:strRef>
                  <c:f>'C13D'!$AR$93</c:f>
                  <c:strCache>
                    <c:ptCount val="1"/>
                    <c:pt idx="0">
                      <c:v>+124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{77D58DE9-D400-47C1-AED3-62627E78E1DD}</c15:txfldGUID>
                      <c15:f>'C13D'!$AR$93</c15:f>
                      <c15:dlblFieldTableCache>
                        <c:ptCount val="1"/>
                        <c:pt idx="0">
                          <c:v>+124</c:v>
                        </c:pt>
                      </c15:dlblFieldTableCache>
                    </c15:dlblFTEntry>
                  </c15:dlblFieldTable>
                  <c15:showDataLabelsRange val="0"/>
                </c:ext>
                <c:ext xmlns:c16="http://schemas.microsoft.com/office/drawing/2014/chart" uri="{C3380CC4-5D6E-409C-BE32-E72D297353CC}">
                  <c16:uniqueId val="{0000002B-F840-4D5C-B8F5-CBE0E3B9B15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errBars>
            <c:errDir val="y"/>
            <c:errBarType val="minus"/>
            <c:errValType val="cust"/>
            <c:noEndCap val="1"/>
            <c:minus>
              <c:numRef>
                <c:f>'C13D'!$AI$53:$AI$106</c:f>
                <c:numCache>
                  <c:formatCode>General</c:formatCode>
                  <c:ptCount val="54"/>
                  <c:pt idx="0">
                    <c:v>0</c:v>
                  </c:pt>
                  <c:pt idx="1">
                    <c:v>0</c:v>
                  </c:pt>
                  <c:pt idx="2">
                    <c:v>0</c:v>
                  </c:pt>
                  <c:pt idx="3">
                    <c:v>0.16022860655809198</c:v>
                  </c:pt>
                  <c:pt idx="4">
                    <c:v>0.2121372552074034</c:v>
                  </c:pt>
                  <c:pt idx="5">
                    <c:v>0.1066415631076343</c:v>
                  </c:pt>
                  <c:pt idx="6">
                    <c:v>0.1686593969041229</c:v>
                  </c:pt>
                  <c:pt idx="7">
                    <c:v>0.12174504115707335</c:v>
                  </c:pt>
                  <c:pt idx="8">
                    <c:v>0.11695260745584185</c:v>
                  </c:pt>
                  <c:pt idx="9">
                    <c:v>0.15571130443400832</c:v>
                  </c:pt>
                  <c:pt idx="10">
                    <c:v>0.12398379739498365</c:v>
                  </c:pt>
                  <c:pt idx="11">
                    <c:v>0.13292164377251295</c:v>
                  </c:pt>
                  <c:pt idx="12">
                    <c:v>0.13411914607994257</c:v>
                  </c:pt>
                  <c:pt idx="13">
                    <c:v>0.1682399609655148</c:v>
                  </c:pt>
                  <c:pt idx="14">
                    <c:v>0.17161221289523965</c:v>
                  </c:pt>
                  <c:pt idx="15">
                    <c:v>0</c:v>
                  </c:pt>
                  <c:pt idx="16">
                    <c:v>0.17233313252160479</c:v>
                  </c:pt>
                  <c:pt idx="17">
                    <c:v>0.18728029928115481</c:v>
                  </c:pt>
                  <c:pt idx="18">
                    <c:v>0.32523432696367727</c:v>
                  </c:pt>
                  <c:pt idx="19">
                    <c:v>0.17546424405954925</c:v>
                  </c:pt>
                  <c:pt idx="20">
                    <c:v>0.25798979060765376</c:v>
                  </c:pt>
                  <c:pt idx="21">
                    <c:v>0.23308621982028674</c:v>
                  </c:pt>
                  <c:pt idx="22">
                    <c:v>0.18376251425033321</c:v>
                  </c:pt>
                  <c:pt idx="23">
                    <c:v>0.25715480585794048</c:v>
                  </c:pt>
                  <c:pt idx="24">
                    <c:v>0.25812215232160335</c:v>
                  </c:pt>
                  <c:pt idx="25">
                    <c:v>0.20401798462059767</c:v>
                  </c:pt>
                  <c:pt idx="26">
                    <c:v>0.23964522667324165</c:v>
                  </c:pt>
                  <c:pt idx="27">
                    <c:v>0.26219190783680862</c:v>
                  </c:pt>
                  <c:pt idx="28">
                    <c:v>0</c:v>
                  </c:pt>
                  <c:pt idx="29">
                    <c:v>0.24523404591921596</c:v>
                  </c:pt>
                  <c:pt idx="30">
                    <c:v>0.25828438180395497</c:v>
                  </c:pt>
                  <c:pt idx="31">
                    <c:v>0.41877660083638074</c:v>
                  </c:pt>
                  <c:pt idx="32">
                    <c:v>0.21917179060366204</c:v>
                  </c:pt>
                  <c:pt idx="33">
                    <c:v>0.31227512979431837</c:v>
                  </c:pt>
                  <c:pt idx="34">
                    <c:v>0.30272248346502706</c:v>
                  </c:pt>
                  <c:pt idx="35">
                    <c:v>0.22823154663439035</c:v>
                  </c:pt>
                  <c:pt idx="36">
                    <c:v>0.30940968066966834</c:v>
                  </c:pt>
                  <c:pt idx="37">
                    <c:v>0.29994309441701938</c:v>
                  </c:pt>
                  <c:pt idx="38">
                    <c:v>0.23228403543942122</c:v>
                  </c:pt>
                  <c:pt idx="39">
                    <c:v>0.29328862421100776</c:v>
                  </c:pt>
                  <c:pt idx="40">
                    <c:v>0.29124467277992738</c:v>
                  </c:pt>
                  <c:pt idx="41">
                    <c:v>0</c:v>
                  </c:pt>
                  <c:pt idx="42">
                    <c:v>0</c:v>
                  </c:pt>
                  <c:pt idx="43">
                    <c:v>0</c:v>
                  </c:pt>
                  <c:pt idx="44">
                    <c:v>0</c:v>
                  </c:pt>
                  <c:pt idx="45">
                    <c:v>0</c:v>
                  </c:pt>
                  <c:pt idx="46">
                    <c:v>0</c:v>
                  </c:pt>
                  <c:pt idx="47">
                    <c:v>0</c:v>
                  </c:pt>
                  <c:pt idx="48">
                    <c:v>0</c:v>
                  </c:pt>
                  <c:pt idx="49">
                    <c:v>0</c:v>
                  </c:pt>
                  <c:pt idx="50">
                    <c:v>0</c:v>
                  </c:pt>
                  <c:pt idx="51">
                    <c:v>0</c:v>
                  </c:pt>
                  <c:pt idx="52">
                    <c:v>0</c:v>
                  </c:pt>
                  <c:pt idx="53">
                    <c:v>0</c:v>
                  </c:pt>
                </c:numCache>
              </c:numRef>
            </c:minus>
            <c:spPr>
              <a:ln w="15875">
                <a:solidFill>
                  <a:srgbClr val="8CB400"/>
                </a:solidFill>
              </a:ln>
            </c:spPr>
          </c:errBars>
          <c:cat>
            <c:strRef>
              <c:f>'C13D'!$Y$53:$Y$106</c:f>
              <c:strCache>
                <c:ptCount val="52"/>
                <c:pt idx="3">
                  <c:v>Jan</c:v>
                </c:pt>
                <c:pt idx="6">
                  <c:v>Apr</c:v>
                </c:pt>
                <c:pt idx="9">
                  <c:v>Jul</c:v>
                </c:pt>
                <c:pt idx="12">
                  <c:v>Oct</c:v>
                </c:pt>
                <c:pt idx="16">
                  <c:v>Jan</c:v>
                </c:pt>
                <c:pt idx="19">
                  <c:v>Apr</c:v>
                </c:pt>
                <c:pt idx="22">
                  <c:v>Jul</c:v>
                </c:pt>
                <c:pt idx="25">
                  <c:v>Oct</c:v>
                </c:pt>
                <c:pt idx="29">
                  <c:v>Jan</c:v>
                </c:pt>
                <c:pt idx="32">
                  <c:v>Apr</c:v>
                </c:pt>
                <c:pt idx="35">
                  <c:v>Jul</c:v>
                </c:pt>
                <c:pt idx="38">
                  <c:v>Oct</c:v>
                </c:pt>
                <c:pt idx="42">
                  <c:v>Jan</c:v>
                </c:pt>
                <c:pt idx="45">
                  <c:v>Apr</c:v>
                </c:pt>
                <c:pt idx="48">
                  <c:v>Jul</c:v>
                </c:pt>
                <c:pt idx="51">
                  <c:v>Oct</c:v>
                </c:pt>
              </c:strCache>
            </c:strRef>
          </c:cat>
          <c:val>
            <c:numRef>
              <c:f>'C13D'!$Z$53:$Z$106</c:f>
              <c:numCache>
                <c:formatCode>General</c:formatCode>
                <c:ptCount val="54"/>
                <c:pt idx="0">
                  <c:v>#N/A</c:v>
                </c:pt>
                <c:pt idx="1">
                  <c:v>#N/A</c:v>
                </c:pt>
                <c:pt idx="2">
                  <c:v>#N/A</c:v>
                </c:pt>
                <c:pt idx="3">
                  <c:v>0.39451432084380628</c:v>
                </c:pt>
                <c:pt idx="4">
                  <c:v>0.44642296949311766</c:v>
                </c:pt>
                <c:pt idx="5">
                  <c:v>0.34092727739334855</c:v>
                </c:pt>
                <c:pt idx="6">
                  <c:v>0.40294511118983711</c:v>
                </c:pt>
                <c:pt idx="7">
                  <c:v>0.35603075544278762</c:v>
                </c:pt>
                <c:pt idx="8">
                  <c:v>0.35123832174155611</c:v>
                </c:pt>
                <c:pt idx="9">
                  <c:v>0.38999701871972264</c:v>
                </c:pt>
                <c:pt idx="10">
                  <c:v>0.35826951168069793</c:v>
                </c:pt>
                <c:pt idx="11">
                  <c:v>0.36720735805822724</c:v>
                </c:pt>
                <c:pt idx="12">
                  <c:v>0.36840486036565684</c:v>
                </c:pt>
                <c:pt idx="13">
                  <c:v>0.40252567525122906</c:v>
                </c:pt>
                <c:pt idx="14">
                  <c:v>0.40589792718095385</c:v>
                </c:pt>
                <c:pt idx="15">
                  <c:v>#N/A</c:v>
                </c:pt>
                <c:pt idx="16">
                  <c:v>0.40661884680731908</c:v>
                </c:pt>
                <c:pt idx="17">
                  <c:v>0.42156601356686901</c:v>
                </c:pt>
                <c:pt idx="18">
                  <c:v>0.55952004124939148</c:v>
                </c:pt>
                <c:pt idx="19">
                  <c:v>0.40974995834526351</c:v>
                </c:pt>
                <c:pt idx="20">
                  <c:v>0.49227550489336802</c:v>
                </c:pt>
                <c:pt idx="21">
                  <c:v>0.46737193410600103</c:v>
                </c:pt>
                <c:pt idx="22">
                  <c:v>0.41804822853604745</c:v>
                </c:pt>
                <c:pt idx="23">
                  <c:v>0.4914405201436548</c:v>
                </c:pt>
                <c:pt idx="24">
                  <c:v>0.49240786660731767</c:v>
                </c:pt>
                <c:pt idx="25">
                  <c:v>0.43830369890631193</c:v>
                </c:pt>
                <c:pt idx="26">
                  <c:v>0.47393094095895588</c:v>
                </c:pt>
                <c:pt idx="27">
                  <c:v>0.49647762212252289</c:v>
                </c:pt>
                <c:pt idx="28">
                  <c:v>#N/A</c:v>
                </c:pt>
                <c:pt idx="29">
                  <c:v>0.47951976020493026</c:v>
                </c:pt>
                <c:pt idx="30">
                  <c:v>0.49257009608966923</c:v>
                </c:pt>
                <c:pt idx="31">
                  <c:v>0.65306231512209501</c:v>
                </c:pt>
                <c:pt idx="32">
                  <c:v>0.45345750488937631</c:v>
                </c:pt>
                <c:pt idx="33">
                  <c:v>0.54656084408003269</c:v>
                </c:pt>
                <c:pt idx="34">
                  <c:v>0.53700819775074138</c:v>
                </c:pt>
                <c:pt idx="35">
                  <c:v>0.46251726092010459</c:v>
                </c:pt>
                <c:pt idx="36">
                  <c:v>0.54369539495538266</c:v>
                </c:pt>
                <c:pt idx="37">
                  <c:v>0.53422880870273359</c:v>
                </c:pt>
                <c:pt idx="38">
                  <c:v>0.46656974972513543</c:v>
                </c:pt>
                <c:pt idx="39">
                  <c:v>0.52757433849672197</c:v>
                </c:pt>
                <c:pt idx="40">
                  <c:v>0.5255303870656417</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numCache>
            </c:numRef>
          </c:val>
          <c:smooth val="0"/>
          <c:extLst>
            <c:ext xmlns:c16="http://schemas.microsoft.com/office/drawing/2014/chart" uri="{C3380CC4-5D6E-409C-BE32-E72D297353CC}">
              <c16:uniqueId val="{00000007-F840-4D5C-B8F5-CBE0E3B9B154}"/>
            </c:ext>
          </c:extLst>
        </c:ser>
        <c:ser>
          <c:idx val="1"/>
          <c:order val="1"/>
          <c:tx>
            <c:v> </c:v>
          </c:tx>
          <c:spPr>
            <a:ln w="38100">
              <a:noFill/>
            </a:ln>
          </c:spPr>
          <c:marker>
            <c:symbol val="square"/>
            <c:size val="4"/>
            <c:spPr>
              <a:solidFill>
                <a:srgbClr val="404040"/>
              </a:solidFill>
              <a:ln>
                <a:solidFill>
                  <a:srgbClr val="404040"/>
                </a:solidFill>
                <a:prstDash val="solid"/>
              </a:ln>
            </c:spPr>
          </c:marker>
          <c:errBars>
            <c:errDir val="y"/>
            <c:errBarType val="plus"/>
            <c:errValType val="cust"/>
            <c:noEndCap val="1"/>
            <c:plus>
              <c:numRef>
                <c:f>'C13D'!$AJ$53:$AJ$106</c:f>
                <c:numCache>
                  <c:formatCode>General</c:formatCode>
                  <c:ptCount val="5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numCache>
              </c:numRef>
            </c:plus>
            <c:spPr>
              <a:ln w="15875">
                <a:solidFill>
                  <a:srgbClr val="FF0000"/>
                </a:solidFill>
              </a:ln>
            </c:spPr>
          </c:errBars>
          <c:cat>
            <c:strRef>
              <c:f>'C13D'!$Y$53:$Y$106</c:f>
              <c:strCache>
                <c:ptCount val="52"/>
                <c:pt idx="3">
                  <c:v>Jan</c:v>
                </c:pt>
                <c:pt idx="6">
                  <c:v>Apr</c:v>
                </c:pt>
                <c:pt idx="9">
                  <c:v>Jul</c:v>
                </c:pt>
                <c:pt idx="12">
                  <c:v>Oct</c:v>
                </c:pt>
                <c:pt idx="16">
                  <c:v>Jan</c:v>
                </c:pt>
                <c:pt idx="19">
                  <c:v>Apr</c:v>
                </c:pt>
                <c:pt idx="22">
                  <c:v>Jul</c:v>
                </c:pt>
                <c:pt idx="25">
                  <c:v>Oct</c:v>
                </c:pt>
                <c:pt idx="29">
                  <c:v>Jan</c:v>
                </c:pt>
                <c:pt idx="32">
                  <c:v>Apr</c:v>
                </c:pt>
                <c:pt idx="35">
                  <c:v>Jul</c:v>
                </c:pt>
                <c:pt idx="38">
                  <c:v>Oct</c:v>
                </c:pt>
                <c:pt idx="42">
                  <c:v>Jan</c:v>
                </c:pt>
                <c:pt idx="45">
                  <c:v>Apr</c:v>
                </c:pt>
                <c:pt idx="48">
                  <c:v>Jul</c:v>
                </c:pt>
                <c:pt idx="51">
                  <c:v>Oct</c:v>
                </c:pt>
              </c:strCache>
            </c:strRef>
          </c:cat>
          <c:val>
            <c:numRef>
              <c:f>'C13D'!$AA$53:$AA$106</c:f>
              <c:numCache>
                <c:formatCode>General</c:formatCode>
                <c:ptCount val="5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numCache>
            </c:numRef>
          </c:val>
          <c:smooth val="0"/>
          <c:extLst>
            <c:ext xmlns:c16="http://schemas.microsoft.com/office/drawing/2014/chart" uri="{C3380CC4-5D6E-409C-BE32-E72D297353CC}">
              <c16:uniqueId val="{0000002C-F840-4D5C-B8F5-CBE0E3B9B154}"/>
            </c:ext>
          </c:extLst>
        </c:ser>
        <c:ser>
          <c:idx val="2"/>
          <c:order val="2"/>
          <c:tx>
            <c:v>ΔØ %</c:v>
          </c:tx>
          <c:spPr>
            <a:ln w="38100">
              <a:noFill/>
            </a:ln>
          </c:spPr>
          <c:marker>
            <c:symbol val="square"/>
            <c:size val="4"/>
            <c:spPr>
              <a:solidFill>
                <a:srgbClr val="404040"/>
              </a:solidFill>
              <a:ln>
                <a:solidFill>
                  <a:srgbClr val="404040"/>
                </a:solidFill>
                <a:prstDash val="solid"/>
              </a:ln>
            </c:spPr>
          </c:marker>
          <c:dLbls>
            <c:dLbl>
              <c:idx val="3"/>
              <c:tx>
                <c:strRef>
                  <c:f>'C13D'!$AT$56</c:f>
                  <c:strCache>
                    <c:ptCount val="1"/>
                    <c:pt idx="0">
                      <c:v>+0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{07E02604-D6F5-47EF-9E2B-80CC480085BC}</c15:txfldGUID>
                      <c15:f>'C13D'!$AT$56</c15:f>
                      <c15:dlblFieldTableCache>
                        <c:ptCount val="1"/>
                        <c:pt idx="0">
                          <c:v>+0</c:v>
                        </c:pt>
                      </c15:dlblFieldTableCache>
                    </c15:dlblFTEntry>
                  </c15:dlblFieldTable>
                  <c15:showDataLabelsRange val="0"/>
                </c:ext>
                <c:ext xmlns:c16="http://schemas.microsoft.com/office/drawing/2014/chart" uri="{C3380CC4-5D6E-409C-BE32-E72D297353CC}">
                  <c16:uniqueId val="{0000002E-F840-4D5C-B8F5-CBE0E3B9B154}"/>
                </c:ext>
              </c:extLst>
            </c:dLbl>
            <c:dLbl>
              <c:idx val="6"/>
              <c:tx>
                <c:strRef>
                  <c:f>'C13D'!$AT$59</c:f>
                  <c:strCache>
                    <c:ptCount val="1"/>
                    <c:pt idx="0">
                      <c:v>+4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{DFBCDC16-720E-4670-AF28-9ADFDA2C713A}</c15:txfldGUID>
                      <c15:f>'C13D'!$AT$59</c15:f>
                      <c15:dlblFieldTableCache>
                        <c:ptCount val="1"/>
                        <c:pt idx="0">
                          <c:v>+4</c:v>
                        </c:pt>
                      </c15:dlblFieldTableCache>
                    </c15:dlblFTEntry>
                  </c15:dlblFieldTable>
                  <c15:showDataLabelsRange val="0"/>
                </c:ext>
                <c:ext xmlns:c16="http://schemas.microsoft.com/office/drawing/2014/chart" uri="{C3380CC4-5D6E-409C-BE32-E72D297353CC}">
                  <c16:uniqueId val="{0000002F-F840-4D5C-B8F5-CBE0E3B9B154}"/>
                </c:ext>
              </c:extLst>
            </c:dLbl>
            <c:dLbl>
              <c:idx val="9"/>
              <c:tx>
                <c:strRef>
                  <c:f>'C13D'!$AT$62</c:f>
                  <c:strCache>
                    <c:ptCount val="1"/>
                    <c:pt idx="0">
                      <c:v>+3</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{C3A0EAA0-40C2-4615-954D-7A17495E7FD8}</c15:txfldGUID>
                      <c15:f>'C13D'!$AT$62</c15:f>
                      <c15:dlblFieldTableCache>
                        <c:ptCount val="1"/>
                        <c:pt idx="0">
                          <c:v>+3</c:v>
                        </c:pt>
                      </c15:dlblFieldTableCache>
                    </c15:dlblFTEntry>
                  </c15:dlblFieldTable>
                  <c15:showDataLabelsRange val="0"/>
                </c:ext>
                <c:ext xmlns:c16="http://schemas.microsoft.com/office/drawing/2014/chart" uri="{C3380CC4-5D6E-409C-BE32-E72D297353CC}">
                  <c16:uniqueId val="{00000030-F840-4D5C-B8F5-CBE0E3B9B154}"/>
                </c:ext>
              </c:extLst>
            </c:dLbl>
            <c:dLbl>
              <c:idx val="12"/>
              <c:tx>
                <c:strRef>
                  <c:f>'C13D'!$AT$65</c:f>
                  <c:strCache>
                    <c:ptCount val="1"/>
                    <c:pt idx="0">
                      <c:v>+4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{9F1AFB18-5392-448B-8E79-A48563AEE971}</c15:txfldGUID>
                      <c15:f>'C13D'!$AT$65</c15:f>
                      <c15:dlblFieldTableCache>
                        <c:ptCount val="1"/>
                        <c:pt idx="0">
                          <c:v>+4</c:v>
                        </c:pt>
                      </c15:dlblFieldTableCache>
                    </c15:dlblFTEntry>
                  </c15:dlblFieldTable>
                  <c15:showDataLabelsRange val="0"/>
                </c:ext>
                <c:ext xmlns:c16="http://schemas.microsoft.com/office/drawing/2014/chart" uri="{C3380CC4-5D6E-409C-BE32-E72D297353CC}">
                  <c16:uniqueId val="{00000031-F840-4D5C-B8F5-CBE0E3B9B154}"/>
                </c:ext>
              </c:extLst>
            </c:dLbl>
            <c:dLbl>
              <c:idx val="14"/>
              <c:tx>
                <c:strRef>
                  <c:f>'C13D'!$AT$67</c:f>
                  <c:strCache>
                    <c:ptCount val="1"/>
                    <c:pt idx="0">
                      <c:v>+19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{EE8CE767-D2A4-4BC6-8A29-8A73139F6049}</c15:txfldGUID>
                      <c15:f>'C13D'!$AT$67</c15:f>
                      <c15:dlblFieldTableCache>
                        <c:ptCount val="1"/>
                        <c:pt idx="0">
                          <c:v>+19</c:v>
                        </c:pt>
                      </c15:dlblFieldTableCache>
                    </c15:dlblFTEntry>
                  </c15:dlblFieldTable>
                  <c15:showDataLabelsRange val="0"/>
                </c:ext>
                <c:ext xmlns:c16="http://schemas.microsoft.com/office/drawing/2014/chart" uri="{C3380CC4-5D6E-409C-BE32-E72D297353CC}">
                  <c16:uniqueId val="{00000032-F840-4D5C-B8F5-CBE0E3B9B154}"/>
                </c:ext>
              </c:extLst>
            </c:dLbl>
            <c:dLbl>
              <c:idx val="16"/>
              <c:tx>
                <c:strRef>
                  <c:f>'C13D'!$AT$69</c:f>
                  <c:strCache>
                    <c:ptCount val="1"/>
                    <c:pt idx="0">
                      <c:v>+14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{DCD165E1-55AC-4F4E-BF70-450DBDADE8F5}</c15:txfldGUID>
                      <c15:f>'C13D'!$AT$69</c15:f>
                      <c15:dlblFieldTableCache>
                        <c:ptCount val="1"/>
                        <c:pt idx="0">
                          <c:v>+14</c:v>
                        </c:pt>
                      </c15:dlblFieldTableCache>
                    </c15:dlblFTEntry>
                  </c15:dlblFieldTable>
                  <c15:showDataLabelsRange val="0"/>
                </c:ext>
                <c:ext xmlns:c16="http://schemas.microsoft.com/office/drawing/2014/chart" uri="{C3380CC4-5D6E-409C-BE32-E72D297353CC}">
                  <c16:uniqueId val="{00000033-F840-4D5C-B8F5-CBE0E3B9B154}"/>
                </c:ext>
              </c:extLst>
            </c:dLbl>
            <c:dLbl>
              <c:idx val="17"/>
              <c:tx>
                <c:strRef>
                  <c:f>'C13D'!$AT$70</c:f>
                  <c:strCache>
                    <c:ptCount val="1"/>
                    <c:pt idx="0">
                      <c:v>+7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{5216821B-7ABB-45A4-967E-131A8B39DDCB}</c15:txfldGUID>
                      <c15:f>'C13D'!$AT$70</c15:f>
                      <c15:dlblFieldTableCache>
                        <c:ptCount val="1"/>
                        <c:pt idx="0">
                          <c:v>+7</c:v>
                        </c:pt>
                      </c15:dlblFieldTableCache>
                    </c15:dlblFTEntry>
                  </c15:dlblFieldTable>
                  <c15:showDataLabelsRange val="0"/>
                </c:ext>
                <c:ext xmlns:c16="http://schemas.microsoft.com/office/drawing/2014/chart" uri="{C3380CC4-5D6E-409C-BE32-E72D297353CC}">
                  <c16:uniqueId val="{00000034-F840-4D5C-B8F5-CBE0E3B9B154}"/>
                </c:ext>
              </c:extLst>
            </c:dLbl>
            <c:dLbl>
              <c:idx val="19"/>
              <c:tx>
                <c:strRef>
                  <c:f>'C13D'!$AT$72</c:f>
                  <c:strCache>
                    <c:ptCount val="1"/>
                    <c:pt idx="0">
                      <c:v>+7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{E9E95E6B-C2FF-4D87-A209-7C5C3B5F1227}</c15:txfldGUID>
                      <c15:f>'C13D'!$AT$72</c15:f>
                      <c15:dlblFieldTableCache>
                        <c:ptCount val="1"/>
                        <c:pt idx="0">
                          <c:v>+7</c:v>
                        </c:pt>
                      </c15:dlblFieldTableCache>
                    </c15:dlblFTEntry>
                  </c15:dlblFieldTable>
                  <c15:showDataLabelsRange val="0"/>
                </c:ext>
                <c:ext xmlns:c16="http://schemas.microsoft.com/office/drawing/2014/chart" uri="{C3380CC4-5D6E-409C-BE32-E72D297353CC}">
                  <c16:uniqueId val="{00000035-F840-4D5C-B8F5-CBE0E3B9B154}"/>
                </c:ext>
              </c:extLst>
            </c:dLbl>
            <c:dLbl>
              <c:idx val="20"/>
              <c:tx>
                <c:strRef>
                  <c:f>'C13D'!$AT$73</c:f>
                  <c:strCache>
                    <c:ptCount val="1"/>
                    <c:pt idx="0">
                      <c:v>+12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{50630410-FD02-44DE-939F-1F7AB3D29C7C}</c15:txfldGUID>
                      <c15:f>'C13D'!$AT$73</c15:f>
                      <c15:dlblFieldTableCache>
                        <c:ptCount val="1"/>
                        <c:pt idx="0">
                          <c:v>+12</c:v>
                        </c:pt>
                      </c15:dlblFieldTableCache>
                    </c15:dlblFTEntry>
                  </c15:dlblFieldTable>
                  <c15:showDataLabelsRange val="0"/>
                </c:ext>
                <c:ext xmlns:c16="http://schemas.microsoft.com/office/drawing/2014/chart" uri="{C3380CC4-5D6E-409C-BE32-E72D297353CC}">
                  <c16:uniqueId val="{00000036-F840-4D5C-B8F5-CBE0E3B9B154}"/>
                </c:ext>
              </c:extLst>
            </c:dLbl>
            <c:dLbl>
              <c:idx val="21"/>
              <c:tx>
                <c:strRef>
                  <c:f>'C13D'!$AT$74</c:f>
                  <c:strCache>
                    <c:ptCount val="1"/>
                    <c:pt idx="0">
                      <c:v>+11</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{EBBF24CF-DEDA-4213-BF2D-454F2D14CC0D}</c15:txfldGUID>
                      <c15:f>'C13D'!$AT$74</c15:f>
                      <c15:dlblFieldTableCache>
                        <c:ptCount val="1"/>
                        <c:pt idx="0">
                          <c:v>+11</c:v>
                        </c:pt>
                      </c15:dlblFieldTableCache>
                    </c15:dlblFTEntry>
                  </c15:dlblFieldTable>
                  <c15:showDataLabelsRange val="0"/>
                </c:ext>
                <c:ext xmlns:c16="http://schemas.microsoft.com/office/drawing/2014/chart" uri="{C3380CC4-5D6E-409C-BE32-E72D297353CC}">
                  <c16:uniqueId val="{00000037-F840-4D5C-B8F5-CBE0E3B9B154}"/>
                </c:ext>
              </c:extLst>
            </c:dLbl>
            <c:dLbl>
              <c:idx val="22"/>
              <c:tx>
                <c:strRef>
                  <c:f>'C13D'!$AT$75</c:f>
                  <c:strCache>
                    <c:ptCount val="1"/>
                    <c:pt idx="0">
                      <c:v>+15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{364D2809-0262-48D8-9F2A-AC0193AEC015}</c15:txfldGUID>
                      <c15:f>'C13D'!$AT$75</c15:f>
                      <c15:dlblFieldTableCache>
                        <c:ptCount val="1"/>
                        <c:pt idx="0">
                          <c:v>+15</c:v>
                        </c:pt>
                      </c15:dlblFieldTableCache>
                    </c15:dlblFTEntry>
                  </c15:dlblFieldTable>
                  <c15:showDataLabelsRange val="0"/>
                </c:ext>
                <c:ext xmlns:c16="http://schemas.microsoft.com/office/drawing/2014/chart" uri="{C3380CC4-5D6E-409C-BE32-E72D297353CC}">
                  <c16:uniqueId val="{00000038-F840-4D5C-B8F5-CBE0E3B9B154}"/>
                </c:ext>
              </c:extLst>
            </c:dLbl>
            <c:dLbl>
              <c:idx val="23"/>
              <c:tx>
                <c:strRef>
                  <c:f>'C13D'!$AT$76</c:f>
                  <c:strCache>
                    <c:ptCount val="1"/>
                    <c:pt idx="0">
                      <c:v>+11</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{80CA0840-849E-48B4-A38A-5D5F108BB9FC}</c15:txfldGUID>
                      <c15:f>'C13D'!$AT$76</c15:f>
                      <c15:dlblFieldTableCache>
                        <c:ptCount val="1"/>
                        <c:pt idx="0">
                          <c:v>+11</c:v>
                        </c:pt>
                      </c15:dlblFieldTableCache>
                    </c15:dlblFTEntry>
                  </c15:dlblFieldTable>
                  <c15:showDataLabelsRange val="0"/>
                </c:ext>
                <c:ext xmlns:c16="http://schemas.microsoft.com/office/drawing/2014/chart" uri="{C3380CC4-5D6E-409C-BE32-E72D297353CC}">
                  <c16:uniqueId val="{00000039-F840-4D5C-B8F5-CBE0E3B9B154}"/>
                </c:ext>
              </c:extLst>
            </c:dLbl>
            <c:dLbl>
              <c:idx val="24"/>
              <c:tx>
                <c:strRef>
                  <c:f>'C13D'!$AT$77</c:f>
                  <c:strCache>
                    <c:ptCount val="1"/>
                    <c:pt idx="0">
                      <c:v>+11</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{DAF32A5A-9BF3-459D-A7C8-388D6884BBB4}</c15:txfldGUID>
                      <c15:f>'C13D'!$AT$77</c15:f>
                      <c15:dlblFieldTableCache>
                        <c:ptCount val="1"/>
                        <c:pt idx="0">
                          <c:v>+11</c:v>
                        </c:pt>
                      </c15:dlblFieldTableCache>
                    </c15:dlblFTEntry>
                  </c15:dlblFieldTable>
                  <c15:showDataLabelsRange val="0"/>
                </c:ext>
                <c:ext xmlns:c16="http://schemas.microsoft.com/office/drawing/2014/chart" uri="{C3380CC4-5D6E-409C-BE32-E72D297353CC}">
                  <c16:uniqueId val="{0000003A-F840-4D5C-B8F5-CBE0E3B9B154}"/>
                </c:ext>
              </c:extLst>
            </c:dLbl>
            <c:dLbl>
              <c:idx val="25"/>
              <c:tx>
                <c:strRef>
                  <c:f>'C13D'!$AT$78</c:f>
                  <c:strCache>
                    <c:ptCount val="1"/>
                    <c:pt idx="0">
                      <c:v>+8</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{45A48AE8-44B5-4D26-BCF7-DAE2BADBC629}</c15:txfldGUID>
                      <c15:f>'C13D'!$AT$78</c15:f>
                      <c15:dlblFieldTableCache>
                        <c:ptCount val="1"/>
                        <c:pt idx="0">
                          <c:v>+8</c:v>
                        </c:pt>
                      </c15:dlblFieldTableCache>
                    </c15:dlblFTEntry>
                  </c15:dlblFieldTable>
                  <c15:showDataLabelsRange val="0"/>
                </c:ext>
                <c:ext xmlns:c16="http://schemas.microsoft.com/office/drawing/2014/chart" uri="{C3380CC4-5D6E-409C-BE32-E72D297353CC}">
                  <c16:uniqueId val="{0000003B-F840-4D5C-B8F5-CBE0E3B9B154}"/>
                </c:ext>
              </c:extLst>
            </c:dLbl>
            <c:dLbl>
              <c:idx val="26"/>
              <c:tx>
                <c:strRef>
                  <c:f>'C13D'!$AT$79</c:f>
                  <c:strCache>
                    <c:ptCount val="1"/>
                    <c:pt idx="0">
                      <c:v>+8</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{824C2F46-BB45-4145-B23F-AFCFB296767B}</c15:txfldGUID>
                      <c15:f>'C13D'!$AT$79</c15:f>
                      <c15:dlblFieldTableCache>
                        <c:ptCount val="1"/>
                        <c:pt idx="0">
                          <c:v>+8</c:v>
                        </c:pt>
                      </c15:dlblFieldTableCache>
                    </c15:dlblFTEntry>
                  </c15:dlblFieldTable>
                  <c15:showDataLabelsRange val="0"/>
                </c:ext>
                <c:ext xmlns:c16="http://schemas.microsoft.com/office/drawing/2014/chart" uri="{C3380CC4-5D6E-409C-BE32-E72D297353CC}">
                  <c16:uniqueId val="{0000003C-F840-4D5C-B8F5-CBE0E3B9B154}"/>
                </c:ext>
              </c:extLst>
            </c:dLbl>
            <c:dLbl>
              <c:idx val="29"/>
              <c:tx>
                <c:strRef>
                  <c:f>'C13D'!$AT$82</c:f>
                  <c:strCache>
                    <c:ptCount val="1"/>
                    <c:pt idx="0">
                      <c:v>+30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{13DF25AA-9CAB-4763-960A-EFEF948C2386}</c15:txfldGUID>
                      <c15:f>'C13D'!$AT$82</c15:f>
                      <c15:dlblFieldTableCache>
                        <c:ptCount val="1"/>
                        <c:pt idx="0">
                          <c:v>+30</c:v>
                        </c:pt>
                      </c15:dlblFieldTableCache>
                    </c15:dlblFTEntry>
                  </c15:dlblFieldTable>
                  <c15:showDataLabelsRange val="0"/>
                </c:ext>
                <c:ext xmlns:c16="http://schemas.microsoft.com/office/drawing/2014/chart" uri="{C3380CC4-5D6E-409C-BE32-E72D297353CC}">
                  <c16:uniqueId val="{0000003D-F840-4D5C-B8F5-CBE0E3B9B154}"/>
                </c:ext>
              </c:extLst>
            </c:dLbl>
            <c:dLbl>
              <c:idx val="30"/>
              <c:tx>
                <c:strRef>
                  <c:f>'C13D'!$AT$83</c:f>
                  <c:strCache>
                    <c:ptCount val="1"/>
                    <c:pt idx="0">
                      <c:v>+21</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{FBD81708-C160-4D0A-B1F7-A699EA3394EF}</c15:txfldGUID>
                      <c15:f>'C13D'!$AT$83</c15:f>
                      <c15:dlblFieldTableCache>
                        <c:ptCount val="1"/>
                        <c:pt idx="0">
                          <c:v>+21</c:v>
                        </c:pt>
                      </c15:dlblFieldTableCache>
                    </c15:dlblFTEntry>
                  </c15:dlblFieldTable>
                  <c15:showDataLabelsRange val="0"/>
                </c:ext>
                <c:ext xmlns:c16="http://schemas.microsoft.com/office/drawing/2014/chart" uri="{C3380CC4-5D6E-409C-BE32-E72D297353CC}">
                  <c16:uniqueId val="{0000003E-F840-4D5C-B8F5-CBE0E3B9B154}"/>
                </c:ext>
              </c:extLst>
            </c:dLbl>
            <c:dLbl>
              <c:idx val="31"/>
              <c:tx>
                <c:strRef>
                  <c:f>'C13D'!$AT$84</c:f>
                  <c:strCache>
                    <c:ptCount val="1"/>
                    <c:pt idx="0">
                      <c:v>+16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{5486BB63-3234-4D9A-A674-F26F79043462}</c15:txfldGUID>
                      <c15:f>'C13D'!$AT$84</c15:f>
                      <c15:dlblFieldTableCache>
                        <c:ptCount val="1"/>
                        <c:pt idx="0">
                          <c:v>+16</c:v>
                        </c:pt>
                      </c15:dlblFieldTableCache>
                    </c15:dlblFTEntry>
                  </c15:dlblFieldTable>
                  <c15:showDataLabelsRange val="0"/>
                </c:ext>
                <c:ext xmlns:c16="http://schemas.microsoft.com/office/drawing/2014/chart" uri="{C3380CC4-5D6E-409C-BE32-E72D297353CC}">
                  <c16:uniqueId val="{0000003F-F840-4D5C-B8F5-CBE0E3B9B154}"/>
                </c:ext>
              </c:extLst>
            </c:dLbl>
            <c:dLbl>
              <c:idx val="32"/>
              <c:tx>
                <c:strRef>
                  <c:f>'C13D'!$AT$85</c:f>
                  <c:strCache>
                    <c:ptCount val="1"/>
                    <c:pt idx="0">
                      <c:v>+26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{90C9FC5F-2721-44D0-970F-2D123647019F}</c15:txfldGUID>
                      <c15:f>'C13D'!$AT$85</c15:f>
                      <c15:dlblFieldTableCache>
                        <c:ptCount val="1"/>
                        <c:pt idx="0">
                          <c:v>+26</c:v>
                        </c:pt>
                      </c15:dlblFieldTableCache>
                    </c15:dlblFTEntry>
                  </c15:dlblFieldTable>
                  <c15:showDataLabelsRange val="0"/>
                </c:ext>
                <c:ext xmlns:c16="http://schemas.microsoft.com/office/drawing/2014/chart" uri="{C3380CC4-5D6E-409C-BE32-E72D297353CC}">
                  <c16:uniqueId val="{00000040-F840-4D5C-B8F5-CBE0E3B9B154}"/>
                </c:ext>
              </c:extLst>
            </c:dLbl>
            <c:dLbl>
              <c:idx val="33"/>
              <c:tx>
                <c:strRef>
                  <c:f>'C13D'!$AT$86</c:f>
                  <c:strCache>
                    <c:ptCount val="1"/>
                    <c:pt idx="0">
                      <c:v>+20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{B12DDB83-ADDD-419F-9C61-EDD1FB1DCB64}</c15:txfldGUID>
                      <c15:f>'C13D'!$AT$86</c15:f>
                      <c15:dlblFieldTableCache>
                        <c:ptCount val="1"/>
                        <c:pt idx="0">
                          <c:v>+20</c:v>
                        </c:pt>
                      </c15:dlblFieldTableCache>
                    </c15:dlblFTEntry>
                  </c15:dlblFieldTable>
                  <c15:showDataLabelsRange val="0"/>
                </c:ext>
                <c:ext xmlns:c16="http://schemas.microsoft.com/office/drawing/2014/chart" uri="{C3380CC4-5D6E-409C-BE32-E72D297353CC}">
                  <c16:uniqueId val="{00000041-F840-4D5C-B8F5-CBE0E3B9B154}"/>
                </c:ext>
              </c:extLst>
            </c:dLbl>
            <c:dLbl>
              <c:idx val="34"/>
              <c:tx>
                <c:strRef>
                  <c:f>'C13D'!$AT$87</c:f>
                  <c:strCache>
                    <c:ptCount val="1"/>
                    <c:pt idx="0">
                      <c:v>+26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{4992AF36-AD5E-4660-A742-5AF829FB7223}</c15:txfldGUID>
                      <c15:f>'C13D'!$AT$87</c15:f>
                      <c15:dlblFieldTableCache>
                        <c:ptCount val="1"/>
                        <c:pt idx="0">
                          <c:v>+26</c:v>
                        </c:pt>
                      </c15:dlblFieldTableCache>
                    </c15:dlblFTEntry>
                  </c15:dlblFieldTable>
                  <c15:showDataLabelsRange val="0"/>
                </c:ext>
                <c:ext xmlns:c16="http://schemas.microsoft.com/office/drawing/2014/chart" uri="{C3380CC4-5D6E-409C-BE32-E72D297353CC}">
                  <c16:uniqueId val="{00000042-F840-4D5C-B8F5-CBE0E3B9B154}"/>
                </c:ext>
              </c:extLst>
            </c:dLbl>
            <c:dLbl>
              <c:idx val="35"/>
              <c:tx>
                <c:strRef>
                  <c:f>'C13D'!$AT$88</c:f>
                  <c:strCache>
                    <c:ptCount val="1"/>
                    <c:pt idx="0">
                      <c:v>+27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{8F458AD5-C87D-4209-A79B-6F10EE0C74FC}</c15:txfldGUID>
                      <c15:f>'C13D'!$AT$88</c15:f>
                      <c15:dlblFieldTableCache>
                        <c:ptCount val="1"/>
                        <c:pt idx="0">
                          <c:v>+27</c:v>
                        </c:pt>
                      </c15:dlblFieldTableCache>
                    </c15:dlblFTEntry>
                  </c15:dlblFieldTable>
                  <c15:showDataLabelsRange val="0"/>
                </c:ext>
                <c:ext xmlns:c16="http://schemas.microsoft.com/office/drawing/2014/chart" uri="{C3380CC4-5D6E-409C-BE32-E72D297353CC}">
                  <c16:uniqueId val="{00000043-F840-4D5C-B8F5-CBE0E3B9B154}"/>
                </c:ext>
              </c:extLst>
            </c:dLbl>
            <c:dLbl>
              <c:idx val="36"/>
              <c:tx>
                <c:strRef>
                  <c:f>'C13D'!$AT$89</c:f>
                  <c:strCache>
                    <c:ptCount val="1"/>
                    <c:pt idx="0">
                      <c:v>+25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{5F0C1BE3-3888-4036-8756-98F9692DCB21}</c15:txfldGUID>
                      <c15:f>'C13D'!$AT$89</c15:f>
                      <c15:dlblFieldTableCache>
                        <c:ptCount val="1"/>
                        <c:pt idx="0">
                          <c:v>+25</c:v>
                        </c:pt>
                      </c15:dlblFieldTableCache>
                    </c15:dlblFTEntry>
                  </c15:dlblFieldTable>
                  <c15:showDataLabelsRange val="0"/>
                </c:ext>
                <c:ext xmlns:c16="http://schemas.microsoft.com/office/drawing/2014/chart" uri="{C3380CC4-5D6E-409C-BE32-E72D297353CC}">
                  <c16:uniqueId val="{00000044-F840-4D5C-B8F5-CBE0E3B9B154}"/>
                </c:ext>
              </c:extLst>
            </c:dLbl>
            <c:dLbl>
              <c:idx val="37"/>
              <c:tx>
                <c:strRef>
                  <c:f>'C13D'!$AT$90</c:f>
                  <c:strCache>
                    <c:ptCount val="1"/>
                    <c:pt idx="0">
                      <c:v>+28</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{0E1138DE-8608-4157-87EE-41A7A8841BAC}</c15:txfldGUID>
                      <c15:f>'C13D'!$AT$90</c15:f>
                      <c15:dlblFieldTableCache>
                        <c:ptCount val="1"/>
                        <c:pt idx="0">
                          <c:v>+28</c:v>
                        </c:pt>
                      </c15:dlblFieldTableCache>
                    </c15:dlblFTEntry>
                  </c15:dlblFieldTable>
                  <c15:showDataLabelsRange val="0"/>
                </c:ext>
                <c:ext xmlns:c16="http://schemas.microsoft.com/office/drawing/2014/chart" uri="{C3380CC4-5D6E-409C-BE32-E72D297353CC}">
                  <c16:uniqueId val="{00000045-F840-4D5C-B8F5-CBE0E3B9B154}"/>
                </c:ext>
              </c:extLst>
            </c:dLbl>
            <c:dLbl>
              <c:idx val="38"/>
              <c:tx>
                <c:strRef>
                  <c:f>'C13D'!$AT$91</c:f>
                  <c:strCache>
                    <c:ptCount val="1"/>
                    <c:pt idx="0">
                      <c:v>+24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{EC18E021-E41F-4CD1-80CD-F25CC379896F}</c15:txfldGUID>
                      <c15:f>'C13D'!$AT$91</c15:f>
                      <c15:dlblFieldTableCache>
                        <c:ptCount val="1"/>
                        <c:pt idx="0">
                          <c:v>+24</c:v>
                        </c:pt>
                      </c15:dlblFieldTableCache>
                    </c15:dlblFTEntry>
                  </c15:dlblFieldTable>
                  <c15:showDataLabelsRange val="0"/>
                </c:ext>
                <c:ext xmlns:c16="http://schemas.microsoft.com/office/drawing/2014/chart" uri="{C3380CC4-5D6E-409C-BE32-E72D297353CC}">
                  <c16:uniqueId val="{00000046-F840-4D5C-B8F5-CBE0E3B9B154}"/>
                </c:ext>
              </c:extLst>
            </c:dLbl>
            <c:dLbl>
              <c:idx val="39"/>
              <c:tx>
                <c:strRef>
                  <c:f>'C13D'!$AT$92</c:f>
                  <c:strCache>
                    <c:ptCount val="1"/>
                    <c:pt idx="0">
                      <c:v>+20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{68F6A1C2-9EF4-4BEE-BCFE-4DB5F0182B3E}</c15:txfldGUID>
                      <c15:f>'C13D'!$AT$92</c15:f>
                      <c15:dlblFieldTableCache>
                        <c:ptCount val="1"/>
                        <c:pt idx="0">
                          <c:v>+20</c:v>
                        </c:pt>
                      </c15:dlblFieldTableCache>
                    </c15:dlblFTEntry>
                  </c15:dlblFieldTable>
                  <c15:showDataLabelsRange val="0"/>
                </c:ext>
                <c:ext xmlns:c16="http://schemas.microsoft.com/office/drawing/2014/chart" uri="{C3380CC4-5D6E-409C-BE32-E72D297353CC}">
                  <c16:uniqueId val="{00000047-F840-4D5C-B8F5-CBE0E3B9B154}"/>
                </c:ext>
              </c:extLst>
            </c:dLbl>
            <c:dLbl>
              <c:idx val="40"/>
              <c:tx>
                <c:strRef>
                  <c:f>'C13D'!$AT$93</c:f>
                  <c:strCache>
                    <c:ptCount val="1"/>
                    <c:pt idx="0">
                      <c:v>+11</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{4B6D681C-FDA4-4929-8C5B-1995E57BF371}</c15:txfldGUID>
                      <c15:f>'C13D'!$AT$93</c15:f>
                      <c15:dlblFieldTableCache>
                        <c:ptCount val="1"/>
                        <c:pt idx="0">
                          <c:v>+11</c:v>
                        </c:pt>
                      </c15:dlblFieldTableCache>
                    </c15:dlblFTEntry>
                  </c15:dlblFieldTable>
                  <c15:showDataLabelsRange val="0"/>
                </c:ext>
                <c:ext xmlns:c16="http://schemas.microsoft.com/office/drawing/2014/chart" uri="{C3380CC4-5D6E-409C-BE32-E72D297353CC}">
                  <c16:uniqueId val="{00000048-F840-4D5C-B8F5-CBE0E3B9B154}"/>
                </c:ext>
              </c:extLst>
            </c:dLbl>
            <c:dLbl>
              <c:idx val="42"/>
              <c:tx>
                <c:strRef>
                  <c:f>'C13D'!$AT$95</c:f>
                  <c:strCache>
                    <c:ptCount val="1"/>
                    <c:pt idx="0">
                      <c:v>+45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{113925B7-988F-411A-B05B-8AB1B3D3F271}</c15:txfldGUID>
                      <c15:f>'C13D'!$AT$95</c15:f>
                      <c15:dlblFieldTableCache>
                        <c:ptCount val="1"/>
                        <c:pt idx="0">
                          <c:v>+45</c:v>
                        </c:pt>
                      </c15:dlblFieldTableCache>
                    </c15:dlblFTEntry>
                  </c15:dlblFieldTable>
                  <c15:showDataLabelsRange val="0"/>
                </c:ext>
                <c:ext xmlns:c16="http://schemas.microsoft.com/office/drawing/2014/chart" uri="{C3380CC4-5D6E-409C-BE32-E72D297353CC}">
                  <c16:uniqueId val="{00000049-F840-4D5C-B8F5-CBE0E3B9B154}"/>
                </c:ext>
              </c:extLst>
            </c:dLbl>
            <c:dLbl>
              <c:idx val="43"/>
              <c:tx>
                <c:strRef>
                  <c:f>'C13D'!$AT$96</c:f>
                  <c:strCache>
                    <c:ptCount val="1"/>
                    <c:pt idx="0">
                      <c:v>+46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{A5DDA7D7-5425-419F-B621-DC5D622617BC}</c15:txfldGUID>
                      <c15:f>'C13D'!$AT$96</c15:f>
                      <c15:dlblFieldTableCache>
                        <c:ptCount val="1"/>
                        <c:pt idx="0">
                          <c:v>+46</c:v>
                        </c:pt>
                      </c15:dlblFieldTableCache>
                    </c15:dlblFTEntry>
                  </c15:dlblFieldTable>
                  <c15:showDataLabelsRange val="0"/>
                </c:ext>
                <c:ext xmlns:c16="http://schemas.microsoft.com/office/drawing/2014/chart" uri="{C3380CC4-5D6E-409C-BE32-E72D297353CC}">
                  <c16:uniqueId val="{0000004A-F840-4D5C-B8F5-CBE0E3B9B154}"/>
                </c:ext>
              </c:extLst>
            </c:dLbl>
            <c:dLbl>
              <c:idx val="44"/>
              <c:tx>
                <c:strRef>
                  <c:f>'C13D'!$AT$97</c:f>
                  <c:strCache>
                    <c:ptCount val="1"/>
                    <c:pt idx="0">
                      <c:v>+22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{FF087A24-4C84-476E-A29B-DF54E99B051E}</c15:txfldGUID>
                      <c15:f>'C13D'!$AT$97</c15:f>
                      <c15:dlblFieldTableCache>
                        <c:ptCount val="1"/>
                        <c:pt idx="0">
                          <c:v>+22</c:v>
                        </c:pt>
                      </c15:dlblFieldTableCache>
                    </c15:dlblFTEntry>
                  </c15:dlblFieldTable>
                  <c15:showDataLabelsRange val="0"/>
                </c:ext>
                <c:ext xmlns:c16="http://schemas.microsoft.com/office/drawing/2014/chart" uri="{C3380CC4-5D6E-409C-BE32-E72D297353CC}">
                  <c16:uniqueId val="{0000004B-F840-4D5C-B8F5-CBE0E3B9B154}"/>
                </c:ext>
              </c:extLst>
            </c:dLbl>
            <c:dLbl>
              <c:idx val="45"/>
              <c:tx>
                <c:strRef>
                  <c:f>'C13D'!$AT$98</c:f>
                  <c:strCache>
                    <c:ptCount val="1"/>
                    <c:pt idx="0">
                      <c:v>+36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{A0E47052-C8FD-43A5-B224-EAE23EEE3935}</c15:txfldGUID>
                      <c15:f>'C13D'!$AT$98</c15:f>
                      <c15:dlblFieldTableCache>
                        <c:ptCount val="1"/>
                        <c:pt idx="0">
                          <c:v>+36</c:v>
                        </c:pt>
                      </c15:dlblFieldTableCache>
                    </c15:dlblFTEntry>
                  </c15:dlblFieldTable>
                  <c15:showDataLabelsRange val="0"/>
                </c:ext>
                <c:ext xmlns:c16="http://schemas.microsoft.com/office/drawing/2014/chart" uri="{C3380CC4-5D6E-409C-BE32-E72D297353CC}">
                  <c16:uniqueId val="{0000004C-F840-4D5C-B8F5-CBE0E3B9B154}"/>
                </c:ext>
              </c:extLst>
            </c:dLbl>
            <c:dLbl>
              <c:idx val="46"/>
              <c:tx>
                <c:strRef>
                  <c:f>'C13D'!$AT$99</c:f>
                  <c:strCache>
                    <c:ptCount val="1"/>
                    <c:pt idx="0">
                      <c:v>+31</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{FCAACD06-4126-4B69-B4B0-6B6B3E54F95D}</c15:txfldGUID>
                      <c15:f>'C13D'!$AT$99</c15:f>
                      <c15:dlblFieldTableCache>
                        <c:ptCount val="1"/>
                        <c:pt idx="0">
                          <c:v>+31</c:v>
                        </c:pt>
                      </c15:dlblFieldTableCache>
                    </c15:dlblFTEntry>
                  </c15:dlblFieldTable>
                  <c15:showDataLabelsRange val="0"/>
                </c:ext>
                <c:ext xmlns:c16="http://schemas.microsoft.com/office/drawing/2014/chart" uri="{C3380CC4-5D6E-409C-BE32-E72D297353CC}">
                  <c16:uniqueId val="{0000004D-F840-4D5C-B8F5-CBE0E3B9B154}"/>
                </c:ext>
              </c:extLst>
            </c:dLbl>
            <c:dLbl>
              <c:idx val="47"/>
              <c:tx>
                <c:strRef>
                  <c:f>'C13D'!$AT$100</c:f>
                  <c:strCache>
                    <c:ptCount val="1"/>
                    <c:pt idx="0">
                      <c:v>+35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{B8E85FCC-E6FB-40E8-B0F4-5668B2851723}</c15:txfldGUID>
                      <c15:f>'C13D'!$AT$100</c15:f>
                      <c15:dlblFieldTableCache>
                        <c:ptCount val="1"/>
                        <c:pt idx="0">
                          <c:v>+35</c:v>
                        </c:pt>
                      </c15:dlblFieldTableCache>
                    </c15:dlblFTEntry>
                  </c15:dlblFieldTable>
                  <c15:showDataLabelsRange val="0"/>
                </c:ext>
                <c:ext xmlns:c16="http://schemas.microsoft.com/office/drawing/2014/chart" uri="{C3380CC4-5D6E-409C-BE32-E72D297353CC}">
                  <c16:uniqueId val="{0000004E-F840-4D5C-B8F5-CBE0E3B9B154}"/>
                </c:ext>
              </c:extLst>
            </c:dLbl>
            <c:dLbl>
              <c:idx val="48"/>
              <c:tx>
                <c:strRef>
                  <c:f>'C13D'!$AT$101</c:f>
                  <c:strCache>
                    <c:ptCount val="1"/>
                    <c:pt idx="0">
                      <c:v>+38</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{2FB9051C-E66A-4E7E-A7FA-4698C839C2D7}</c15:txfldGUID>
                      <c15:f>'C13D'!$AT$101</c15:f>
                      <c15:dlblFieldTableCache>
                        <c:ptCount val="1"/>
                        <c:pt idx="0">
                          <c:v>+38</c:v>
                        </c:pt>
                      </c15:dlblFieldTableCache>
                    </c15:dlblFTEntry>
                  </c15:dlblFieldTable>
                  <c15:showDataLabelsRange val="0"/>
                </c:ext>
                <c:ext xmlns:c16="http://schemas.microsoft.com/office/drawing/2014/chart" uri="{C3380CC4-5D6E-409C-BE32-E72D297353CC}">
                  <c16:uniqueId val="{0000004F-F840-4D5C-B8F5-CBE0E3B9B154}"/>
                </c:ext>
              </c:extLst>
            </c:dLbl>
            <c:dLbl>
              <c:idx val="49"/>
              <c:tx>
                <c:strRef>
                  <c:f>'C13D'!$AT$102</c:f>
                  <c:strCache>
                    <c:ptCount val="1"/>
                    <c:pt idx="0">
                      <c:v>+32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{3B2CC096-5DDD-41B8-85A4-2F2053A9A15E}</c15:txfldGUID>
                      <c15:f>'C13D'!$AT$102</c15:f>
                      <c15:dlblFieldTableCache>
                        <c:ptCount val="1"/>
                        <c:pt idx="0">
                          <c:v>+32</c:v>
                        </c:pt>
                      </c15:dlblFieldTableCache>
                    </c15:dlblFTEntry>
                  </c15:dlblFieldTable>
                  <c15:showDataLabelsRange val="0"/>
                </c:ext>
                <c:ext xmlns:c16="http://schemas.microsoft.com/office/drawing/2014/chart" uri="{C3380CC4-5D6E-409C-BE32-E72D297353CC}">
                  <c16:uniqueId val="{00000050-F840-4D5C-B8F5-CBE0E3B9B154}"/>
                </c:ext>
              </c:extLst>
            </c:dLbl>
            <c:dLbl>
              <c:idx val="50"/>
              <c:tx>
                <c:strRef>
                  <c:f>'C13D'!$AT$103</c:f>
                  <c:strCache>
                    <c:ptCount val="1"/>
                    <c:pt idx="0">
                      <c:v>+28</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{593E5DEE-3719-4813-B1E9-73BE4BCA64F0}</c15:txfldGUID>
                      <c15:f>'C13D'!$AT$103</c15:f>
                      <c15:dlblFieldTableCache>
                        <c:ptCount val="1"/>
                        <c:pt idx="0">
                          <c:v>+28</c:v>
                        </c:pt>
                      </c15:dlblFieldTableCache>
                    </c15:dlblFTEntry>
                  </c15:dlblFieldTable>
                  <c15:showDataLabelsRange val="0"/>
                </c:ext>
                <c:ext xmlns:c16="http://schemas.microsoft.com/office/drawing/2014/chart" uri="{C3380CC4-5D6E-409C-BE32-E72D297353CC}">
                  <c16:uniqueId val="{00000051-F840-4D5C-B8F5-CBE0E3B9B154}"/>
                </c:ext>
              </c:extLst>
            </c:dLbl>
            <c:dLbl>
              <c:idx val="51"/>
              <c:tx>
                <c:strRef>
                  <c:f>'C13D'!$AT$104</c:f>
                  <c:strCache>
                    <c:ptCount val="1"/>
                    <c:pt idx="0">
                      <c:v>+48</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{AC9D1581-A521-4A85-8CF4-69BF7255969B}</c15:txfldGUID>
                      <c15:f>'C13D'!$AT$104</c15:f>
                      <c15:dlblFieldTableCache>
                        <c:ptCount val="1"/>
                        <c:pt idx="0">
                          <c:v>+48</c:v>
                        </c:pt>
                      </c15:dlblFieldTableCache>
                    </c15:dlblFTEntry>
                  </c15:dlblFieldTable>
                  <c15:showDataLabelsRange val="0"/>
                </c:ext>
                <c:ext xmlns:c16="http://schemas.microsoft.com/office/drawing/2014/chart" uri="{C3380CC4-5D6E-409C-BE32-E72D297353CC}">
                  <c16:uniqueId val="{00000052-F840-4D5C-B8F5-CBE0E3B9B154}"/>
                </c:ext>
              </c:extLst>
            </c:dLbl>
            <c:dLbl>
              <c:idx val="52"/>
              <c:tx>
                <c:strRef>
                  <c:f>'C13D'!$AT$105</c:f>
                  <c:strCache>
                    <c:ptCount val="1"/>
                    <c:pt idx="0">
                      <c:v>+35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{E38BBBE8-35FB-48F8-899B-44F5AABE5BE8}</c15:txfldGUID>
                      <c15:f>'C13D'!$AT$105</c15:f>
                      <c15:dlblFieldTableCache>
                        <c:ptCount val="1"/>
                        <c:pt idx="0">
                          <c:v>+35</c:v>
                        </c:pt>
                      </c15:dlblFieldTableCache>
                    </c15:dlblFTEntry>
                  </c15:dlblFieldTable>
                  <c15:showDataLabelsRange val="0"/>
                </c:ext>
                <c:ext xmlns:c16="http://schemas.microsoft.com/office/drawing/2014/chart" uri="{C3380CC4-5D6E-409C-BE32-E72D297353CC}">
                  <c16:uniqueId val="{00000053-F840-4D5C-B8F5-CBE0E3B9B154}"/>
                </c:ext>
              </c:extLst>
            </c:dLbl>
            <c:dLbl>
              <c:idx val="53"/>
              <c:tx>
                <c:strRef>
                  <c:f>'C13D'!$AT$106</c:f>
                  <c:strCache>
                    <c:ptCount val="1"/>
                    <c:pt idx="0">
                      <c:v>+27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t"/>
              <c:showLegendKey val="0"/>
              <c:showVal val="1"/>
              <c:showCatName val="0"/>
              <c:showSerName val="0"/>
              <c:showPercent val="0"/>
              <c:showBubbleSize val="0"/>
              <c:extLst>
                <c:ext xmlns:c15="http://schemas.microsoft.com/office/drawing/2012/chart" uri="{CE6537A1-D6FC-4f65-9D91-7224C49458BB}">
                  <c15:dlblFieldTable>
                    <c15:dlblFTEntry>
                      <c15:txfldGUID>{A3934402-219E-4B2B-9F65-FB6B5BC76720}</c15:txfldGUID>
                      <c15:f>'C13D'!$AT$106</c15:f>
                      <c15:dlblFieldTableCache>
                        <c:ptCount val="1"/>
                        <c:pt idx="0">
                          <c:v>+27</c:v>
                        </c:pt>
                      </c15:dlblFieldTableCache>
                    </c15:dlblFTEntry>
                  </c15:dlblFieldTable>
                  <c15:showDataLabelsRange val="0"/>
                </c:ext>
                <c:ext xmlns:c16="http://schemas.microsoft.com/office/drawing/2014/chart" uri="{C3380CC4-5D6E-409C-BE32-E72D297353CC}">
                  <c16:uniqueId val="{00000054-F840-4D5C-B8F5-CBE0E3B9B15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errBars>
            <c:errDir val="y"/>
            <c:errBarType val="minus"/>
            <c:errValType val="cust"/>
            <c:noEndCap val="1"/>
            <c:minus>
              <c:numRef>
                <c:f>'C13D'!$AK$53:$AK$106</c:f>
                <c:numCache>
                  <c:formatCode>General</c:formatCode>
                  <c:ptCount val="54"/>
                  <c:pt idx="0">
                    <c:v>0</c:v>
                  </c:pt>
                  <c:pt idx="1">
                    <c:v>0</c:v>
                  </c:pt>
                  <c:pt idx="2">
                    <c:v>0</c:v>
                  </c:pt>
                  <c:pt idx="3">
                    <c:v>4.9473673762848603E-4</c:v>
                  </c:pt>
                  <c:pt idx="4">
                    <c:v>0</c:v>
                  </c:pt>
                  <c:pt idx="5">
                    <c:v>0</c:v>
                  </c:pt>
                  <c:pt idx="6">
                    <c:v>9.1102710065240292E-3</c:v>
                  </c:pt>
                  <c:pt idx="7">
                    <c:v>0</c:v>
                  </c:pt>
                  <c:pt idx="8">
                    <c:v>0</c:v>
                  </c:pt>
                  <c:pt idx="9">
                    <c:v>6.6138810434534312E-3</c:v>
                  </c:pt>
                  <c:pt idx="10">
                    <c:v>0</c:v>
                  </c:pt>
                  <c:pt idx="11">
                    <c:v>0</c:v>
                  </c:pt>
                  <c:pt idx="12">
                    <c:v>9.3074068325630453E-3</c:v>
                  </c:pt>
                  <c:pt idx="13">
                    <c:v>0</c:v>
                  </c:pt>
                  <c:pt idx="14">
                    <c:v>4.3630204804836134E-2</c:v>
                  </c:pt>
                  <c:pt idx="15">
                    <c:v>0</c:v>
                  </c:pt>
                  <c:pt idx="16">
                    <c:v>3.2539175581133416E-2</c:v>
                  </c:pt>
                  <c:pt idx="17">
                    <c:v>1.6583094976471834E-2</c:v>
                  </c:pt>
                  <c:pt idx="18">
                    <c:v>0</c:v>
                  </c:pt>
                  <c:pt idx="19">
                    <c:v>1.5371260981887049E-2</c:v>
                  </c:pt>
                  <c:pt idx="20">
                    <c:v>2.72297260638244E-2</c:v>
                  </c:pt>
                  <c:pt idx="21">
                    <c:v>2.6014883128180288E-2</c:v>
                  </c:pt>
                  <c:pt idx="22">
                    <c:v>3.5038670055930331E-2</c:v>
                  </c:pt>
                  <c:pt idx="23">
                    <c:v>2.5342242269101513E-2</c:v>
                  </c:pt>
                  <c:pt idx="24">
                    <c:v>2.5641184067533553E-2</c:v>
                  </c:pt>
                  <c:pt idx="25">
                    <c:v>1.8609482962472938E-2</c:v>
                  </c:pt>
                  <c:pt idx="26">
                    <c:v>1.7694285042471454E-2</c:v>
                  </c:pt>
                  <c:pt idx="27">
                    <c:v>0</c:v>
                  </c:pt>
                  <c:pt idx="28">
                    <c:v>0</c:v>
                  </c:pt>
                  <c:pt idx="29">
                    <c:v>6.9378072141237493E-2</c:v>
                  </c:pt>
                  <c:pt idx="30">
                    <c:v>4.9612705549091501E-2</c:v>
                  </c:pt>
                  <c:pt idx="31">
                    <c:v>3.8214848019130734E-2</c:v>
                  </c:pt>
                  <c:pt idx="32">
                    <c:v>6.0896086395967511E-2</c:v>
                  </c:pt>
                  <c:pt idx="33">
                    <c:v>4.6030628177038693E-2</c:v>
                  </c:pt>
                  <c:pt idx="34">
                    <c:v>6.0625691573674728E-2</c:v>
                  </c:pt>
                  <c:pt idx="35">
                    <c:v>6.4027104873127766E-2</c:v>
                  </c:pt>
                  <c:pt idx="36">
                    <c:v>5.9569600651346213E-2</c:v>
                  </c:pt>
                  <c:pt idx="37">
                    <c:v>6.5805777022611422E-2</c:v>
                  </c:pt>
                  <c:pt idx="38">
                    <c:v>5.5344687621637072E-2</c:v>
                  </c:pt>
                  <c:pt idx="39">
                    <c:v>4.5934377600466508E-2</c:v>
                  </c:pt>
                  <c:pt idx="40">
                    <c:v>2.4883263070766371E-2</c:v>
                  </c:pt>
                  <c:pt idx="41">
                    <c:v>0</c:v>
                  </c:pt>
                  <c:pt idx="42">
                    <c:v>0.10496656229068534</c:v>
                  </c:pt>
                  <c:pt idx="43">
                    <c:v>0.10660020634294864</c:v>
                  </c:pt>
                  <c:pt idx="44">
                    <c:v>5.2488171044031286E-2</c:v>
                  </c:pt>
                  <c:pt idx="45">
                    <c:v>8.5442615949800751E-2</c:v>
                  </c:pt>
                  <c:pt idx="46">
                    <c:v>7.255126967679186E-2</c:v>
                  </c:pt>
                  <c:pt idx="47">
                    <c:v>8.0935252178994194E-2</c:v>
                  </c:pt>
                  <c:pt idx="48">
                    <c:v>8.8788196154921062E-2</c:v>
                  </c:pt>
                  <c:pt idx="49">
                    <c:v>7.3934215753515067E-2</c:v>
                  </c:pt>
                  <c:pt idx="50">
                    <c:v>6.6053105174788629E-2</c:v>
                  </c:pt>
                  <c:pt idx="51">
                    <c:v>0.11135038237227636</c:v>
                  </c:pt>
                  <c:pt idx="52">
                    <c:v>8.0836235582398844E-2</c:v>
                  </c:pt>
                  <c:pt idx="53">
                    <c:v>6.3234577710579623E-2</c:v>
                  </c:pt>
                </c:numCache>
              </c:numRef>
            </c:minus>
            <c:spPr>
              <a:ln w="15875">
                <a:solidFill>
                  <a:srgbClr val="8CB400"/>
                </a:solidFill>
              </a:ln>
            </c:spPr>
          </c:errBars>
          <c:cat>
            <c:strRef>
              <c:f>'C13D'!$Y$53:$Y$106</c:f>
              <c:strCache>
                <c:ptCount val="52"/>
                <c:pt idx="3">
                  <c:v>Jan</c:v>
                </c:pt>
                <c:pt idx="6">
                  <c:v>Apr</c:v>
                </c:pt>
                <c:pt idx="9">
                  <c:v>Jul</c:v>
                </c:pt>
                <c:pt idx="12">
                  <c:v>Oct</c:v>
                </c:pt>
                <c:pt idx="16">
                  <c:v>Jan</c:v>
                </c:pt>
                <c:pt idx="19">
                  <c:v>Apr</c:v>
                </c:pt>
                <c:pt idx="22">
                  <c:v>Jul</c:v>
                </c:pt>
                <c:pt idx="25">
                  <c:v>Oct</c:v>
                </c:pt>
                <c:pt idx="29">
                  <c:v>Jan</c:v>
                </c:pt>
                <c:pt idx="32">
                  <c:v>Apr</c:v>
                </c:pt>
                <c:pt idx="35">
                  <c:v>Jul</c:v>
                </c:pt>
                <c:pt idx="38">
                  <c:v>Oct</c:v>
                </c:pt>
                <c:pt idx="42">
                  <c:v>Jan</c:v>
                </c:pt>
                <c:pt idx="45">
                  <c:v>Apr</c:v>
                </c:pt>
                <c:pt idx="48">
                  <c:v>Jul</c:v>
                </c:pt>
                <c:pt idx="51">
                  <c:v>Oct</c:v>
                </c:pt>
              </c:strCache>
            </c:strRef>
          </c:cat>
          <c:val>
            <c:numRef>
              <c:f>'C13D'!$AB$53:$AB$106</c:f>
              <c:numCache>
                <c:formatCode>General</c:formatCode>
                <c:ptCount val="54"/>
                <c:pt idx="0">
                  <c:v>#N/A</c:v>
                </c:pt>
                <c:pt idx="1">
                  <c:v>#N/A</c:v>
                </c:pt>
                <c:pt idx="2">
                  <c:v>#N/A</c:v>
                </c:pt>
                <c:pt idx="3">
                  <c:v>1.2347804510233429</c:v>
                </c:pt>
                <c:pt idx="4">
                  <c:v>#N/A</c:v>
                </c:pt>
                <c:pt idx="5">
                  <c:v>#N/A</c:v>
                </c:pt>
                <c:pt idx="6">
                  <c:v>1.2433959852922383</c:v>
                </c:pt>
                <c:pt idx="7">
                  <c:v>#N/A</c:v>
                </c:pt>
                <c:pt idx="8">
                  <c:v>#N/A</c:v>
                </c:pt>
                <c:pt idx="9">
                  <c:v>1.2408995953291677</c:v>
                </c:pt>
                <c:pt idx="10">
                  <c:v>#N/A</c:v>
                </c:pt>
                <c:pt idx="11">
                  <c:v>#N/A</c:v>
                </c:pt>
                <c:pt idx="12">
                  <c:v>1.2435931211182774</c:v>
                </c:pt>
                <c:pt idx="13">
                  <c:v>#N/A</c:v>
                </c:pt>
                <c:pt idx="14">
                  <c:v>1.2779159190905505</c:v>
                </c:pt>
                <c:pt idx="15">
                  <c:v>#N/A</c:v>
                </c:pt>
                <c:pt idx="16">
                  <c:v>1.2668248898668477</c:v>
                </c:pt>
                <c:pt idx="17">
                  <c:v>1.2508688092621862</c:v>
                </c:pt>
                <c:pt idx="18">
                  <c:v>#N/A</c:v>
                </c:pt>
                <c:pt idx="19">
                  <c:v>1.2496569752676012</c:v>
                </c:pt>
                <c:pt idx="20">
                  <c:v>1.2615154403495388</c:v>
                </c:pt>
                <c:pt idx="21">
                  <c:v>1.2603005974138946</c:v>
                </c:pt>
                <c:pt idx="22">
                  <c:v>1.2693243843416446</c:v>
                </c:pt>
                <c:pt idx="23">
                  <c:v>1.2596279565548159</c:v>
                </c:pt>
                <c:pt idx="24">
                  <c:v>1.2599268983532479</c:v>
                </c:pt>
                <c:pt idx="25">
                  <c:v>1.2528951972481872</c:v>
                </c:pt>
                <c:pt idx="26">
                  <c:v>1.2519799993281857</c:v>
                </c:pt>
                <c:pt idx="27">
                  <c:v>#N/A</c:v>
                </c:pt>
                <c:pt idx="28">
                  <c:v>#N/A</c:v>
                </c:pt>
                <c:pt idx="29">
                  <c:v>1.3036637864269518</c:v>
                </c:pt>
                <c:pt idx="30">
                  <c:v>1.2838984198348058</c:v>
                </c:pt>
                <c:pt idx="31">
                  <c:v>1.2725005623048449</c:v>
                </c:pt>
                <c:pt idx="32">
                  <c:v>1.2951818006816818</c:v>
                </c:pt>
                <c:pt idx="33">
                  <c:v>1.2803163424627528</c:v>
                </c:pt>
                <c:pt idx="34">
                  <c:v>1.2949114058593891</c:v>
                </c:pt>
                <c:pt idx="35">
                  <c:v>1.298312819158842</c:v>
                </c:pt>
                <c:pt idx="36">
                  <c:v>1.2938553149370604</c:v>
                </c:pt>
                <c:pt idx="37">
                  <c:v>1.3000914913083257</c:v>
                </c:pt>
                <c:pt idx="38">
                  <c:v>1.2896304019073515</c:v>
                </c:pt>
                <c:pt idx="39">
                  <c:v>1.2802200918861808</c:v>
                </c:pt>
                <c:pt idx="40">
                  <c:v>1.2591689773564807</c:v>
                </c:pt>
                <c:pt idx="41">
                  <c:v>#N/A</c:v>
                </c:pt>
                <c:pt idx="42">
                  <c:v>1.3392522765763997</c:v>
                </c:pt>
                <c:pt idx="43">
                  <c:v>1.340885920628663</c:v>
                </c:pt>
                <c:pt idx="44">
                  <c:v>1.2867738853297457</c:v>
                </c:pt>
                <c:pt idx="45">
                  <c:v>1.3197283302355149</c:v>
                </c:pt>
                <c:pt idx="46">
                  <c:v>1.3068369839625062</c:v>
                </c:pt>
                <c:pt idx="47">
                  <c:v>1.3152209664647085</c:v>
                </c:pt>
                <c:pt idx="48">
                  <c:v>1.3230739104406353</c:v>
                </c:pt>
                <c:pt idx="49">
                  <c:v>1.3082199300392294</c:v>
                </c:pt>
                <c:pt idx="50">
                  <c:v>1.300338819460503</c:v>
                </c:pt>
                <c:pt idx="51">
                  <c:v>1.3456360966579906</c:v>
                </c:pt>
                <c:pt idx="52">
                  <c:v>1.315121949868113</c:v>
                </c:pt>
                <c:pt idx="53">
                  <c:v>1.2975202919962938</c:v>
                </c:pt>
              </c:numCache>
            </c:numRef>
          </c:val>
          <c:smooth val="0"/>
          <c:extLst>
            <c:ext xmlns:c16="http://schemas.microsoft.com/office/drawing/2014/chart" uri="{C3380CC4-5D6E-409C-BE32-E72D297353CC}">
              <c16:uniqueId val="{0000002D-F840-4D5C-B8F5-CBE0E3B9B154}"/>
            </c:ext>
          </c:extLst>
        </c:ser>
        <c:ser>
          <c:idx val="3"/>
          <c:order val="3"/>
          <c:tx>
            <c:v> </c:v>
          </c:tx>
          <c:spPr>
            <a:ln w="38100">
              <a:noFill/>
            </a:ln>
          </c:spPr>
          <c:marker>
            <c:symbol val="square"/>
            <c:size val="4"/>
            <c:spPr>
              <a:solidFill>
                <a:srgbClr val="404040"/>
              </a:solidFill>
              <a:ln>
                <a:solidFill>
                  <a:srgbClr val="404040"/>
                </a:solidFill>
                <a:prstDash val="solid"/>
              </a:ln>
            </c:spPr>
          </c:marker>
          <c:dLbls>
            <c:dLbl>
              <c:idx val="4"/>
              <c:tx>
                <c:strRef>
                  <c:f>'C13D'!$AU$57</c:f>
                  <c:strCache>
                    <c:ptCount val="1"/>
                    <c:pt idx="0">
                      <c:v>-2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{AFB37CD9-7411-4F99-ACA2-27F6EBF01F26}</c15:txfldGUID>
                      <c15:f>'C13D'!$AU$57</c15:f>
                      <c15:dlblFieldTableCache>
                        <c:ptCount val="1"/>
                        <c:pt idx="0">
                          <c:v>-2</c:v>
                        </c:pt>
                      </c15:dlblFieldTableCache>
                    </c15:dlblFTEntry>
                  </c15:dlblFieldTable>
                  <c15:showDataLabelsRange val="0"/>
                </c:ext>
                <c:ext xmlns:c16="http://schemas.microsoft.com/office/drawing/2014/chart" uri="{C3380CC4-5D6E-409C-BE32-E72D297353CC}">
                  <c16:uniqueId val="{00000056-F840-4D5C-B8F5-CBE0E3B9B154}"/>
                </c:ext>
              </c:extLst>
            </c:dLbl>
            <c:dLbl>
              <c:idx val="5"/>
              <c:tx>
                <c:strRef>
                  <c:f>'C13D'!$AU$58</c:f>
                  <c:strCache>
                    <c:ptCount val="1"/>
                    <c:pt idx="0">
                      <c:v>-9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{53BF3F17-F94F-4A20-8535-28B2A27834B8}</c15:txfldGUID>
                      <c15:f>'C13D'!$AU$58</c15:f>
                      <c15:dlblFieldTableCache>
                        <c:ptCount val="1"/>
                        <c:pt idx="0">
                          <c:v>-9</c:v>
                        </c:pt>
                      </c15:dlblFieldTableCache>
                    </c15:dlblFTEntry>
                  </c15:dlblFieldTable>
                  <c15:showDataLabelsRange val="0"/>
                </c:ext>
                <c:ext xmlns:c16="http://schemas.microsoft.com/office/drawing/2014/chart" uri="{C3380CC4-5D6E-409C-BE32-E72D297353CC}">
                  <c16:uniqueId val="{00000057-F840-4D5C-B8F5-CBE0E3B9B154}"/>
                </c:ext>
              </c:extLst>
            </c:dLbl>
            <c:dLbl>
              <c:idx val="7"/>
              <c:tx>
                <c:strRef>
                  <c:f>'C13D'!$AU$60</c:f>
                  <c:strCache>
                    <c:ptCount val="1"/>
                    <c:pt idx="0">
                      <c:v>-6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{0B195A69-6D68-4186-A30D-748D7FADADE3}</c15:txfldGUID>
                      <c15:f>'C13D'!$AU$60</c15:f>
                      <c15:dlblFieldTableCache>
                        <c:ptCount val="1"/>
                        <c:pt idx="0">
                          <c:v>-6</c:v>
                        </c:pt>
                      </c15:dlblFieldTableCache>
                    </c15:dlblFTEntry>
                  </c15:dlblFieldTable>
                  <c15:showDataLabelsRange val="0"/>
                </c:ext>
                <c:ext xmlns:c16="http://schemas.microsoft.com/office/drawing/2014/chart" uri="{C3380CC4-5D6E-409C-BE32-E72D297353CC}">
                  <c16:uniqueId val="{00000058-F840-4D5C-B8F5-CBE0E3B9B154}"/>
                </c:ext>
              </c:extLst>
            </c:dLbl>
            <c:dLbl>
              <c:idx val="8"/>
              <c:tx>
                <c:strRef>
                  <c:f>'C13D'!$AU$61</c:f>
                  <c:strCache>
                    <c:ptCount val="1"/>
                    <c:pt idx="0">
                      <c:v>-3</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{A47F0BD4-B78C-4102-BE21-FAD4DB82CBB4}</c15:txfldGUID>
                      <c15:f>'C13D'!$AU$61</c15:f>
                      <c15:dlblFieldTableCache>
                        <c:ptCount val="1"/>
                        <c:pt idx="0">
                          <c:v>-3</c:v>
                        </c:pt>
                      </c15:dlblFieldTableCache>
                    </c15:dlblFTEntry>
                  </c15:dlblFieldTable>
                  <c15:showDataLabelsRange val="0"/>
                </c:ext>
                <c:ext xmlns:c16="http://schemas.microsoft.com/office/drawing/2014/chart" uri="{C3380CC4-5D6E-409C-BE32-E72D297353CC}">
                  <c16:uniqueId val="{00000059-F840-4D5C-B8F5-CBE0E3B9B154}"/>
                </c:ext>
              </c:extLst>
            </c:dLbl>
            <c:dLbl>
              <c:idx val="10"/>
              <c:tx>
                <c:strRef>
                  <c:f>'C13D'!$AU$63</c:f>
                  <c:strCache>
                    <c:ptCount val="1"/>
                    <c:pt idx="0">
                      <c:v>-6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{A463091F-6486-4FDB-90D6-EA5B0963B731}</c15:txfldGUID>
                      <c15:f>'C13D'!$AU$63</c15:f>
                      <c15:dlblFieldTableCache>
                        <c:ptCount val="1"/>
                        <c:pt idx="0">
                          <c:v>-6</c:v>
                        </c:pt>
                      </c15:dlblFieldTableCache>
                    </c15:dlblFTEntry>
                  </c15:dlblFieldTable>
                  <c15:showDataLabelsRange val="0"/>
                </c:ext>
                <c:ext xmlns:c16="http://schemas.microsoft.com/office/drawing/2014/chart" uri="{C3380CC4-5D6E-409C-BE32-E72D297353CC}">
                  <c16:uniqueId val="{0000005A-F840-4D5C-B8F5-CBE0E3B9B154}"/>
                </c:ext>
              </c:extLst>
            </c:dLbl>
            <c:dLbl>
              <c:idx val="11"/>
              <c:tx>
                <c:strRef>
                  <c:f>'C13D'!$AU$64</c:f>
                  <c:strCache>
                    <c:ptCount val="1"/>
                    <c:pt idx="0">
                      <c:v>-3</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{A6C9B88A-B3B1-4FB1-8390-6B5C552FB063}</c15:txfldGUID>
                      <c15:f>'C13D'!$AU$64</c15:f>
                      <c15:dlblFieldTableCache>
                        <c:ptCount val="1"/>
                        <c:pt idx="0">
                          <c:v>-3</c:v>
                        </c:pt>
                      </c15:dlblFieldTableCache>
                    </c15:dlblFTEntry>
                  </c15:dlblFieldTable>
                  <c15:showDataLabelsRange val="0"/>
                </c:ext>
                <c:ext xmlns:c16="http://schemas.microsoft.com/office/drawing/2014/chart" uri="{C3380CC4-5D6E-409C-BE32-E72D297353CC}">
                  <c16:uniqueId val="{0000005B-F840-4D5C-B8F5-CBE0E3B9B154}"/>
                </c:ext>
              </c:extLst>
            </c:dLbl>
            <c:dLbl>
              <c:idx val="13"/>
              <c:tx>
                <c:strRef>
                  <c:f>'C13D'!$AU$66</c:f>
                  <c:strCache>
                    <c:ptCount val="1"/>
                    <c:pt idx="0">
                      <c:v>-6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{87283650-415B-4887-BECA-0AA96BB56A1D}</c15:txfldGUID>
                      <c15:f>'C13D'!$AU$66</c15:f>
                      <c15:dlblFieldTableCache>
                        <c:ptCount val="1"/>
                        <c:pt idx="0">
                          <c:v>-6</c:v>
                        </c:pt>
                      </c15:dlblFieldTableCache>
                    </c15:dlblFTEntry>
                  </c15:dlblFieldTable>
                  <c15:showDataLabelsRange val="0"/>
                </c:ext>
                <c:ext xmlns:c16="http://schemas.microsoft.com/office/drawing/2014/chart" uri="{C3380CC4-5D6E-409C-BE32-E72D297353CC}">
                  <c16:uniqueId val="{0000005C-F840-4D5C-B8F5-CBE0E3B9B154}"/>
                </c:ext>
              </c:extLst>
            </c:dLbl>
            <c:dLbl>
              <c:idx val="18"/>
              <c:tx>
                <c:strRef>
                  <c:f>'C13D'!$AU$71</c:f>
                  <c:strCache>
                    <c:ptCount val="1"/>
                    <c:pt idx="0">
                      <c:v>-12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{CDCFD5B4-9115-47FC-BDFB-DAD90EDE4028}</c15:txfldGUID>
                      <c15:f>'C13D'!$AU$71</c15:f>
                      <c15:dlblFieldTableCache>
                        <c:ptCount val="1"/>
                        <c:pt idx="0">
                          <c:v>-12</c:v>
                        </c:pt>
                      </c15:dlblFieldTableCache>
                    </c15:dlblFTEntry>
                  </c15:dlblFieldTable>
                  <c15:showDataLabelsRange val="0"/>
                </c:ext>
                <c:ext xmlns:c16="http://schemas.microsoft.com/office/drawing/2014/chart" uri="{C3380CC4-5D6E-409C-BE32-E72D297353CC}">
                  <c16:uniqueId val="{0000005D-F840-4D5C-B8F5-CBE0E3B9B154}"/>
                </c:ext>
              </c:extLst>
            </c:dLbl>
            <c:dLbl>
              <c:idx val="27"/>
              <c:tx>
                <c:strRef>
                  <c:f>'C13D'!$AU$80</c:f>
                  <c:strCache>
                    <c:ptCount val="1"/>
                    <c:pt idx="0">
                      <c:v>-1</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{9F729A65-2C56-4B6E-872B-4CDE2FA3638F}</c15:txfldGUID>
                      <c15:f>'C13D'!$AU$80</c15:f>
                      <c15:dlblFieldTableCache>
                        <c:ptCount val="1"/>
                        <c:pt idx="0">
                          <c:v>-1</c:v>
                        </c:pt>
                      </c15:dlblFieldTableCache>
                    </c15:dlblFTEntry>
                  </c15:dlblFieldTable>
                  <c15:showDataLabelsRange val="0"/>
                </c:ext>
                <c:ext xmlns:c16="http://schemas.microsoft.com/office/drawing/2014/chart" uri="{C3380CC4-5D6E-409C-BE32-E72D297353CC}">
                  <c16:uniqueId val="{0000005E-F840-4D5C-B8F5-CBE0E3B9B15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errBars>
            <c:errDir val="y"/>
            <c:errBarType val="plus"/>
            <c:errValType val="cust"/>
            <c:noEndCap val="1"/>
            <c:plus>
              <c:numRef>
                <c:f>'C13D'!$AL$53:$AL$106</c:f>
                <c:numCache>
                  <c:formatCode>General</c:formatCode>
                  <c:ptCount val="54"/>
                  <c:pt idx="0">
                    <c:v>0</c:v>
                  </c:pt>
                  <c:pt idx="1">
                    <c:v>0</c:v>
                  </c:pt>
                  <c:pt idx="2">
                    <c:v>0</c:v>
                  </c:pt>
                  <c:pt idx="3">
                    <c:v>0</c:v>
                  </c:pt>
                  <c:pt idx="4">
                    <c:v>5.3187351488796939E-3</c:v>
                  </c:pt>
                  <c:pt idx="5">
                    <c:v>2.0496472601512893E-2</c:v>
                  </c:pt>
                  <c:pt idx="6">
                    <c:v>0</c:v>
                  </c:pt>
                  <c:pt idx="7">
                    <c:v>1.4911647428327651E-2</c:v>
                  </c:pt>
                  <c:pt idx="8">
                    <c:v>7.1243358579214716E-3</c:v>
                  </c:pt>
                  <c:pt idx="9">
                    <c:v>0</c:v>
                  </c:pt>
                  <c:pt idx="10">
                    <c:v>1.3658216399457924E-2</c:v>
                  </c:pt>
                  <c:pt idx="11">
                    <c:v>7.6207050040535719E-3</c:v>
                  </c:pt>
                  <c:pt idx="12">
                    <c:v>0</c:v>
                  </c:pt>
                  <c:pt idx="13">
                    <c:v>1.3127028645258906E-2</c:v>
                  </c:pt>
                  <c:pt idx="14">
                    <c:v>0</c:v>
                  </c:pt>
                  <c:pt idx="15">
                    <c:v>0</c:v>
                  </c:pt>
                  <c:pt idx="16">
                    <c:v>0</c:v>
                  </c:pt>
                  <c:pt idx="17">
                    <c:v>0</c:v>
                  </c:pt>
                  <c:pt idx="18">
                    <c:v>2.7640357455574933E-2</c:v>
                  </c:pt>
                  <c:pt idx="19">
                    <c:v>0</c:v>
                  </c:pt>
                  <c:pt idx="20">
                    <c:v>0</c:v>
                  </c:pt>
                  <c:pt idx="21">
                    <c:v>0</c:v>
                  </c:pt>
                  <c:pt idx="22">
                    <c:v>0</c:v>
                  </c:pt>
                  <c:pt idx="23">
                    <c:v>0</c:v>
                  </c:pt>
                  <c:pt idx="24">
                    <c:v>0</c:v>
                  </c:pt>
                  <c:pt idx="25">
                    <c:v>0</c:v>
                  </c:pt>
                  <c:pt idx="26">
                    <c:v>0</c:v>
                  </c:pt>
                  <c:pt idx="27">
                    <c:v>2.1050074007497315E-3</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numCache>
              </c:numRef>
            </c:plus>
            <c:spPr>
              <a:ln w="15875">
                <a:solidFill>
                  <a:srgbClr val="FF0000"/>
                </a:solidFill>
              </a:ln>
            </c:spPr>
          </c:errBars>
          <c:cat>
            <c:strRef>
              <c:f>'C13D'!$Y$53:$Y$106</c:f>
              <c:strCache>
                <c:ptCount val="52"/>
                <c:pt idx="3">
                  <c:v>Jan</c:v>
                </c:pt>
                <c:pt idx="6">
                  <c:v>Apr</c:v>
                </c:pt>
                <c:pt idx="9">
                  <c:v>Jul</c:v>
                </c:pt>
                <c:pt idx="12">
                  <c:v>Oct</c:v>
                </c:pt>
                <c:pt idx="16">
                  <c:v>Jan</c:v>
                </c:pt>
                <c:pt idx="19">
                  <c:v>Apr</c:v>
                </c:pt>
                <c:pt idx="22">
                  <c:v>Jul</c:v>
                </c:pt>
                <c:pt idx="25">
                  <c:v>Oct</c:v>
                </c:pt>
                <c:pt idx="29">
                  <c:v>Jan</c:v>
                </c:pt>
                <c:pt idx="32">
                  <c:v>Apr</c:v>
                </c:pt>
                <c:pt idx="35">
                  <c:v>Jul</c:v>
                </c:pt>
                <c:pt idx="38">
                  <c:v>Oct</c:v>
                </c:pt>
                <c:pt idx="42">
                  <c:v>Jan</c:v>
                </c:pt>
                <c:pt idx="45">
                  <c:v>Apr</c:v>
                </c:pt>
                <c:pt idx="48">
                  <c:v>Jul</c:v>
                </c:pt>
                <c:pt idx="51">
                  <c:v>Oct</c:v>
                </c:pt>
              </c:strCache>
            </c:strRef>
          </c:cat>
          <c:val>
            <c:numRef>
              <c:f>'C13D'!$AC$53:$AC$106</c:f>
              <c:numCache>
                <c:formatCode>General</c:formatCode>
                <c:ptCount val="54"/>
                <c:pt idx="0">
                  <c:v>#N/A</c:v>
                </c:pt>
                <c:pt idx="1">
                  <c:v>#N/A</c:v>
                </c:pt>
                <c:pt idx="2">
                  <c:v>#N/A</c:v>
                </c:pt>
                <c:pt idx="3">
                  <c:v>#N/A</c:v>
                </c:pt>
                <c:pt idx="4">
                  <c:v>1.2289669791368345</c:v>
                </c:pt>
                <c:pt idx="5">
                  <c:v>1.2137892416842013</c:v>
                </c:pt>
                <c:pt idx="6">
                  <c:v>#N/A</c:v>
                </c:pt>
                <c:pt idx="7">
                  <c:v>1.2193740668573867</c:v>
                </c:pt>
                <c:pt idx="8">
                  <c:v>1.2271613784277928</c:v>
                </c:pt>
                <c:pt idx="9">
                  <c:v>#N/A</c:v>
                </c:pt>
                <c:pt idx="10">
                  <c:v>1.2206274978862564</c:v>
                </c:pt>
                <c:pt idx="11">
                  <c:v>1.2266650092816607</c:v>
                </c:pt>
                <c:pt idx="12">
                  <c:v>#N/A</c:v>
                </c:pt>
                <c:pt idx="13">
                  <c:v>1.2211586856404555</c:v>
                </c:pt>
                <c:pt idx="14">
                  <c:v>#N/A</c:v>
                </c:pt>
                <c:pt idx="15">
                  <c:v>#N/A</c:v>
                </c:pt>
                <c:pt idx="16">
                  <c:v>#N/A</c:v>
                </c:pt>
                <c:pt idx="17">
                  <c:v>#N/A</c:v>
                </c:pt>
                <c:pt idx="18">
                  <c:v>1.2066453568301394</c:v>
                </c:pt>
                <c:pt idx="19">
                  <c:v>#N/A</c:v>
                </c:pt>
                <c:pt idx="20">
                  <c:v>#N/A</c:v>
                </c:pt>
                <c:pt idx="21">
                  <c:v>#N/A</c:v>
                </c:pt>
                <c:pt idx="22">
                  <c:v>#N/A</c:v>
                </c:pt>
                <c:pt idx="23">
                  <c:v>#N/A</c:v>
                </c:pt>
                <c:pt idx="24">
                  <c:v>#N/A</c:v>
                </c:pt>
                <c:pt idx="25">
                  <c:v>#N/A</c:v>
                </c:pt>
                <c:pt idx="26">
                  <c:v>#N/A</c:v>
                </c:pt>
                <c:pt idx="27">
                  <c:v>1.2321807068849646</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numCache>
            </c:numRef>
          </c:val>
          <c:smooth val="0"/>
          <c:extLst>
            <c:ext xmlns:c16="http://schemas.microsoft.com/office/drawing/2014/chart" uri="{C3380CC4-5D6E-409C-BE32-E72D297353CC}">
              <c16:uniqueId val="{00000055-F840-4D5C-B8F5-CBE0E3B9B154}"/>
            </c:ext>
          </c:extLst>
        </c:ser>
        <c:ser>
          <c:idx val="4"/>
          <c:order val="4"/>
          <c:tx>
            <c:v>ΔØ %</c:v>
          </c:tx>
          <c:spPr>
            <a:ln w="38100">
              <a:noFill/>
            </a:ln>
          </c:spPr>
          <c:marker>
            <c:symbol val="square"/>
            <c:size val="4"/>
            <c:spPr>
              <a:solidFill>
                <a:srgbClr val="404040"/>
              </a:solidFill>
              <a:ln>
                <a:solidFill>
                  <a:srgbClr val="404040"/>
                </a:solidFill>
                <a:prstDash val="solid"/>
              </a:ln>
            </c:spPr>
          </c:marker>
          <c:errBars>
            <c:errDir val="y"/>
            <c:errBarType val="minus"/>
            <c:errValType val="cust"/>
            <c:noEndCap val="1"/>
            <c:minus>
              <c:numRef>
                <c:f>'C13D'!$AM$53:$AM$106</c:f>
                <c:numCache>
                  <c:formatCode>General</c:formatCode>
                  <c:ptCount val="5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numCache>
              </c:numRef>
            </c:minus>
            <c:spPr>
              <a:ln w="15875">
                <a:solidFill>
                  <a:srgbClr val="8CB400"/>
                </a:solidFill>
              </a:ln>
            </c:spPr>
          </c:errBars>
          <c:cat>
            <c:strRef>
              <c:f>'C13D'!$Y$53:$Y$106</c:f>
              <c:strCache>
                <c:ptCount val="52"/>
                <c:pt idx="3">
                  <c:v>Jan</c:v>
                </c:pt>
                <c:pt idx="6">
                  <c:v>Apr</c:v>
                </c:pt>
                <c:pt idx="9">
                  <c:v>Jul</c:v>
                </c:pt>
                <c:pt idx="12">
                  <c:v>Oct</c:v>
                </c:pt>
                <c:pt idx="16">
                  <c:v>Jan</c:v>
                </c:pt>
                <c:pt idx="19">
                  <c:v>Apr</c:v>
                </c:pt>
                <c:pt idx="22">
                  <c:v>Jul</c:v>
                </c:pt>
                <c:pt idx="25">
                  <c:v>Oct</c:v>
                </c:pt>
                <c:pt idx="29">
                  <c:v>Jan</c:v>
                </c:pt>
                <c:pt idx="32">
                  <c:v>Apr</c:v>
                </c:pt>
                <c:pt idx="35">
                  <c:v>Jul</c:v>
                </c:pt>
                <c:pt idx="38">
                  <c:v>Oct</c:v>
                </c:pt>
                <c:pt idx="42">
                  <c:v>Jan</c:v>
                </c:pt>
                <c:pt idx="45">
                  <c:v>Apr</c:v>
                </c:pt>
                <c:pt idx="48">
                  <c:v>Jul</c:v>
                </c:pt>
                <c:pt idx="51">
                  <c:v>Oct</c:v>
                </c:pt>
              </c:strCache>
            </c:strRef>
          </c:cat>
          <c:val>
            <c:numRef>
              <c:f>'C13D'!$AD$53:$AD$106</c:f>
              <c:numCache>
                <c:formatCode>General</c:formatCode>
                <c:ptCount val="5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numCache>
            </c:numRef>
          </c:val>
          <c:smooth val="0"/>
          <c:extLst>
            <c:ext xmlns:c16="http://schemas.microsoft.com/office/drawing/2014/chart" uri="{C3380CC4-5D6E-409C-BE32-E72D297353CC}">
              <c16:uniqueId val="{0000005F-F840-4D5C-B8F5-CBE0E3B9B154}"/>
            </c:ext>
          </c:extLst>
        </c:ser>
        <c:ser>
          <c:idx val="5"/>
          <c:order val="5"/>
          <c:tx>
            <c:v> </c:v>
          </c:tx>
          <c:spPr>
            <a:ln w="38100">
              <a:noFill/>
            </a:ln>
          </c:spPr>
          <c:marker>
            <c:symbol val="square"/>
            <c:size val="4"/>
            <c:spPr>
              <a:solidFill>
                <a:srgbClr val="404040"/>
              </a:solidFill>
              <a:ln>
                <a:solidFill>
                  <a:srgbClr val="404040"/>
                </a:solidFill>
                <a:prstDash val="solid"/>
              </a:ln>
            </c:spPr>
          </c:marker>
          <c:dLbls>
            <c:dLbl>
              <c:idx val="3"/>
              <c:tx>
                <c:strRef>
                  <c:f>'C13D'!$AW$56</c:f>
                  <c:strCache>
                    <c:ptCount val="1"/>
                    <c:pt idx="0">
                      <c:v>-44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{A206AF38-4EF2-4845-86D8-934D11CA943F}</c15:txfldGUID>
                      <c15:f>'C13D'!$AW$56</c15:f>
                      <c15:dlblFieldTableCache>
                        <c:ptCount val="1"/>
                        <c:pt idx="0">
                          <c:v>-44</c:v>
                        </c:pt>
                      </c15:dlblFieldTableCache>
                    </c15:dlblFTEntry>
                  </c15:dlblFieldTable>
                  <c15:showDataLabelsRange val="0"/>
                </c:ext>
                <c:ext xmlns:c16="http://schemas.microsoft.com/office/drawing/2014/chart" uri="{C3380CC4-5D6E-409C-BE32-E72D297353CC}">
                  <c16:uniqueId val="{00000061-F840-4D5C-B8F5-CBE0E3B9B154}"/>
                </c:ext>
              </c:extLst>
            </c:dLbl>
            <c:dLbl>
              <c:idx val="4"/>
              <c:tx>
                <c:strRef>
                  <c:f>'C13D'!$AW$57</c:f>
                  <c:strCache>
                    <c:ptCount val="1"/>
                    <c:pt idx="0">
                      <c:v>-47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{9C9071DA-89BF-48F8-9D01-F70811A7DB34}</c15:txfldGUID>
                      <c15:f>'C13D'!$AW$57</c15:f>
                      <c15:dlblFieldTableCache>
                        <c:ptCount val="1"/>
                        <c:pt idx="0">
                          <c:v>-47</c:v>
                        </c:pt>
                      </c15:dlblFieldTableCache>
                    </c15:dlblFTEntry>
                  </c15:dlblFieldTable>
                  <c15:showDataLabelsRange val="0"/>
                </c:ext>
                <c:ext xmlns:c16="http://schemas.microsoft.com/office/drawing/2014/chart" uri="{C3380CC4-5D6E-409C-BE32-E72D297353CC}">
                  <c16:uniqueId val="{00000062-F840-4D5C-B8F5-CBE0E3B9B154}"/>
                </c:ext>
              </c:extLst>
            </c:dLbl>
            <c:dLbl>
              <c:idx val="5"/>
              <c:tx>
                <c:strRef>
                  <c:f>'C13D'!$AW$58</c:f>
                  <c:strCache>
                    <c:ptCount val="1"/>
                    <c:pt idx="0">
                      <c:v>-50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{53D53807-B9B0-4070-A725-21198E1549E6}</c15:txfldGUID>
                      <c15:f>'C13D'!$AW$58</c15:f>
                      <c15:dlblFieldTableCache>
                        <c:ptCount val="1"/>
                        <c:pt idx="0">
                          <c:v>-50</c:v>
                        </c:pt>
                      </c15:dlblFieldTableCache>
                    </c15:dlblFTEntry>
                  </c15:dlblFieldTable>
                  <c15:showDataLabelsRange val="0"/>
                </c:ext>
                <c:ext xmlns:c16="http://schemas.microsoft.com/office/drawing/2014/chart" uri="{C3380CC4-5D6E-409C-BE32-E72D297353CC}">
                  <c16:uniqueId val="{00000063-F840-4D5C-B8F5-CBE0E3B9B154}"/>
                </c:ext>
              </c:extLst>
            </c:dLbl>
            <c:dLbl>
              <c:idx val="6"/>
              <c:tx>
                <c:strRef>
                  <c:f>'C13D'!$AW$59</c:f>
                  <c:strCache>
                    <c:ptCount val="1"/>
                    <c:pt idx="0">
                      <c:v>-42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{4D02D003-372A-47D1-A2DB-9E96EE17C68C}</c15:txfldGUID>
                      <c15:f>'C13D'!$AW$59</c15:f>
                      <c15:dlblFieldTableCache>
                        <c:ptCount val="1"/>
                        <c:pt idx="0">
                          <c:v>-42</c:v>
                        </c:pt>
                      </c15:dlblFieldTableCache>
                    </c15:dlblFTEntry>
                  </c15:dlblFieldTable>
                  <c15:showDataLabelsRange val="0"/>
                </c:ext>
                <c:ext xmlns:c16="http://schemas.microsoft.com/office/drawing/2014/chart" uri="{C3380CC4-5D6E-409C-BE32-E72D297353CC}">
                  <c16:uniqueId val="{00000064-F840-4D5C-B8F5-CBE0E3B9B154}"/>
                </c:ext>
              </c:extLst>
            </c:dLbl>
            <c:dLbl>
              <c:idx val="7"/>
              <c:tx>
                <c:strRef>
                  <c:f>'C13D'!$AW$60</c:f>
                  <c:strCache>
                    <c:ptCount val="1"/>
                    <c:pt idx="0">
                      <c:v>-44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{7C41D450-A6B1-4799-9C05-C7017F7CD475}</c15:txfldGUID>
                      <c15:f>'C13D'!$AW$60</c15:f>
                      <c15:dlblFieldTableCache>
                        <c:ptCount val="1"/>
                        <c:pt idx="0">
                          <c:v>-44</c:v>
                        </c:pt>
                      </c15:dlblFieldTableCache>
                    </c15:dlblFTEntry>
                  </c15:dlblFieldTable>
                  <c15:showDataLabelsRange val="0"/>
                </c:ext>
                <c:ext xmlns:c16="http://schemas.microsoft.com/office/drawing/2014/chart" uri="{C3380CC4-5D6E-409C-BE32-E72D297353CC}">
                  <c16:uniqueId val="{00000065-F840-4D5C-B8F5-CBE0E3B9B154}"/>
                </c:ext>
              </c:extLst>
            </c:dLbl>
            <c:dLbl>
              <c:idx val="8"/>
              <c:tx>
                <c:strRef>
                  <c:f>'C13D'!$AW$61</c:f>
                  <c:strCache>
                    <c:ptCount val="1"/>
                    <c:pt idx="0">
                      <c:v>-44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{CE10C173-9809-4C30-AF1B-18CC24E4EB63}</c15:txfldGUID>
                      <c15:f>'C13D'!$AW$61</c15:f>
                      <c15:dlblFieldTableCache>
                        <c:ptCount val="1"/>
                        <c:pt idx="0">
                          <c:v>-44</c:v>
                        </c:pt>
                      </c15:dlblFieldTableCache>
                    </c15:dlblFTEntry>
                  </c15:dlblFieldTable>
                  <c15:showDataLabelsRange val="0"/>
                </c:ext>
                <c:ext xmlns:c16="http://schemas.microsoft.com/office/drawing/2014/chart" uri="{C3380CC4-5D6E-409C-BE32-E72D297353CC}">
                  <c16:uniqueId val="{00000066-F840-4D5C-B8F5-CBE0E3B9B154}"/>
                </c:ext>
              </c:extLst>
            </c:dLbl>
            <c:dLbl>
              <c:idx val="9"/>
              <c:tx>
                <c:strRef>
                  <c:f>'C13D'!$AW$62</c:f>
                  <c:strCache>
                    <c:ptCount val="1"/>
                    <c:pt idx="0">
                      <c:v>-44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{5F670886-B2AF-4B80-AA89-B7652789C869}</c15:txfldGUID>
                      <c15:f>'C13D'!$AW$62</c15:f>
                      <c15:dlblFieldTableCache>
                        <c:ptCount val="1"/>
                        <c:pt idx="0">
                          <c:v>-44</c:v>
                        </c:pt>
                      </c15:dlblFieldTableCache>
                    </c15:dlblFTEntry>
                  </c15:dlblFieldTable>
                  <c15:showDataLabelsRange val="0"/>
                </c:ext>
                <c:ext xmlns:c16="http://schemas.microsoft.com/office/drawing/2014/chart" uri="{C3380CC4-5D6E-409C-BE32-E72D297353CC}">
                  <c16:uniqueId val="{00000067-F840-4D5C-B8F5-CBE0E3B9B154}"/>
                </c:ext>
              </c:extLst>
            </c:dLbl>
            <c:dLbl>
              <c:idx val="10"/>
              <c:tx>
                <c:strRef>
                  <c:f>'C13D'!$AW$63</c:f>
                  <c:strCache>
                    <c:ptCount val="1"/>
                    <c:pt idx="0">
                      <c:v>-46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{4C8E4579-2AB8-4C7A-B78E-D8A4FF7EB367}</c15:txfldGUID>
                      <c15:f>'C13D'!$AW$63</c15:f>
                      <c15:dlblFieldTableCache>
                        <c:ptCount val="1"/>
                        <c:pt idx="0">
                          <c:v>-46</c:v>
                        </c:pt>
                      </c15:dlblFieldTableCache>
                    </c15:dlblFTEntry>
                  </c15:dlblFieldTable>
                  <c15:showDataLabelsRange val="0"/>
                </c:ext>
                <c:ext xmlns:c16="http://schemas.microsoft.com/office/drawing/2014/chart" uri="{C3380CC4-5D6E-409C-BE32-E72D297353CC}">
                  <c16:uniqueId val="{00000068-F840-4D5C-B8F5-CBE0E3B9B154}"/>
                </c:ext>
              </c:extLst>
            </c:dLbl>
            <c:dLbl>
              <c:idx val="11"/>
              <c:tx>
                <c:strRef>
                  <c:f>'C13D'!$AW$64</c:f>
                  <c:strCache>
                    <c:ptCount val="1"/>
                    <c:pt idx="0">
                      <c:v>-45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{DAF3DF3F-D524-4C1F-8816-8E68AE278E15}</c15:txfldGUID>
                      <c15:f>'C13D'!$AW$64</c15:f>
                      <c15:dlblFieldTableCache>
                        <c:ptCount val="1"/>
                        <c:pt idx="0">
                          <c:v>-45</c:v>
                        </c:pt>
                      </c15:dlblFieldTableCache>
                    </c15:dlblFTEntry>
                  </c15:dlblFieldTable>
                  <c15:showDataLabelsRange val="0"/>
                </c:ext>
                <c:ext xmlns:c16="http://schemas.microsoft.com/office/drawing/2014/chart" uri="{C3380CC4-5D6E-409C-BE32-E72D297353CC}">
                  <c16:uniqueId val="{00000069-F840-4D5C-B8F5-CBE0E3B9B154}"/>
                </c:ext>
              </c:extLst>
            </c:dLbl>
            <c:dLbl>
              <c:idx val="12"/>
              <c:tx>
                <c:strRef>
                  <c:f>'C13D'!$AW$65</c:f>
                  <c:strCache>
                    <c:ptCount val="1"/>
                    <c:pt idx="0">
                      <c:v>-45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{B1D3FCC6-5405-44DB-A820-834011913616}</c15:txfldGUID>
                      <c15:f>'C13D'!$AW$65</c15:f>
                      <c15:dlblFieldTableCache>
                        <c:ptCount val="1"/>
                        <c:pt idx="0">
                          <c:v>-45</c:v>
                        </c:pt>
                      </c15:dlblFieldTableCache>
                    </c15:dlblFTEntry>
                  </c15:dlblFieldTable>
                  <c15:showDataLabelsRange val="0"/>
                </c:ext>
                <c:ext xmlns:c16="http://schemas.microsoft.com/office/drawing/2014/chart" uri="{C3380CC4-5D6E-409C-BE32-E72D297353CC}">
                  <c16:uniqueId val="{0000006A-F840-4D5C-B8F5-CBE0E3B9B154}"/>
                </c:ext>
              </c:extLst>
            </c:dLbl>
            <c:dLbl>
              <c:idx val="13"/>
              <c:tx>
                <c:strRef>
                  <c:f>'C13D'!$AW$66</c:f>
                  <c:strCache>
                    <c:ptCount val="1"/>
                    <c:pt idx="0">
                      <c:v>-45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{E4B44F8E-DF04-4B9F-A4A9-DFF89C5EE143}</c15:txfldGUID>
                      <c15:f>'C13D'!$AW$66</c15:f>
                      <c15:dlblFieldTableCache>
                        <c:ptCount val="1"/>
                        <c:pt idx="0">
                          <c:v>-45</c:v>
                        </c:pt>
                      </c15:dlblFieldTableCache>
                    </c15:dlblFTEntry>
                  </c15:dlblFieldTable>
                  <c15:showDataLabelsRange val="0"/>
                </c:ext>
                <c:ext xmlns:c16="http://schemas.microsoft.com/office/drawing/2014/chart" uri="{C3380CC4-5D6E-409C-BE32-E72D297353CC}">
                  <c16:uniqueId val="{0000006B-F840-4D5C-B8F5-CBE0E3B9B154}"/>
                </c:ext>
              </c:extLst>
            </c:dLbl>
            <c:dLbl>
              <c:idx val="14"/>
              <c:tx>
                <c:strRef>
                  <c:f>'C13D'!$AW$67</c:f>
                  <c:strCache>
                    <c:ptCount val="1"/>
                    <c:pt idx="0">
                      <c:v>-51</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{D743F11D-95DC-4E35-9921-A7CCDBB2FAE1}</c15:txfldGUID>
                      <c15:f>'C13D'!$AW$67</c15:f>
                      <c15:dlblFieldTableCache>
                        <c:ptCount val="1"/>
                        <c:pt idx="0">
                          <c:v>-51</c:v>
                        </c:pt>
                      </c15:dlblFieldTableCache>
                    </c15:dlblFTEntry>
                  </c15:dlblFieldTable>
                  <c15:showDataLabelsRange val="0"/>
                </c:ext>
                <c:ext xmlns:c16="http://schemas.microsoft.com/office/drawing/2014/chart" uri="{C3380CC4-5D6E-409C-BE32-E72D297353CC}">
                  <c16:uniqueId val="{0000006C-F840-4D5C-B8F5-CBE0E3B9B154}"/>
                </c:ext>
              </c:extLst>
            </c:dLbl>
            <c:dLbl>
              <c:idx val="16"/>
              <c:tx>
                <c:strRef>
                  <c:f>'C13D'!$AW$69</c:f>
                  <c:strCache>
                    <c:ptCount val="1"/>
                    <c:pt idx="0">
                      <c:v>-36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{A842F43C-C0BF-440D-92BE-8BEE7B4E69DE}</c15:txfldGUID>
                      <c15:f>'C13D'!$AW$69</c15:f>
                      <c15:dlblFieldTableCache>
                        <c:ptCount val="1"/>
                        <c:pt idx="0">
                          <c:v>-36</c:v>
                        </c:pt>
                      </c15:dlblFieldTableCache>
                    </c15:dlblFTEntry>
                  </c15:dlblFieldTable>
                  <c15:showDataLabelsRange val="0"/>
                </c:ext>
                <c:ext xmlns:c16="http://schemas.microsoft.com/office/drawing/2014/chart" uri="{C3380CC4-5D6E-409C-BE32-E72D297353CC}">
                  <c16:uniqueId val="{0000006D-F840-4D5C-B8F5-CBE0E3B9B154}"/>
                </c:ext>
              </c:extLst>
            </c:dLbl>
            <c:dLbl>
              <c:idx val="17"/>
              <c:tx>
                <c:strRef>
                  <c:f>'C13D'!$AW$70</c:f>
                  <c:strCache>
                    <c:ptCount val="1"/>
                    <c:pt idx="0">
                      <c:v>-39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{CAB84E6B-D68D-413F-B8D7-863ED1C3B2C6}</c15:txfldGUID>
                      <c15:f>'C13D'!$AW$70</c15:f>
                      <c15:dlblFieldTableCache>
                        <c:ptCount val="1"/>
                        <c:pt idx="0">
                          <c:v>-39</c:v>
                        </c:pt>
                      </c15:dlblFieldTableCache>
                    </c15:dlblFTEntry>
                  </c15:dlblFieldTable>
                  <c15:showDataLabelsRange val="0"/>
                </c:ext>
                <c:ext xmlns:c16="http://schemas.microsoft.com/office/drawing/2014/chart" uri="{C3380CC4-5D6E-409C-BE32-E72D297353CC}">
                  <c16:uniqueId val="{0000006E-F840-4D5C-B8F5-CBE0E3B9B154}"/>
                </c:ext>
              </c:extLst>
            </c:dLbl>
            <c:dLbl>
              <c:idx val="18"/>
              <c:tx>
                <c:strRef>
                  <c:f>'C13D'!$AW$71</c:f>
                  <c:strCache>
                    <c:ptCount val="1"/>
                    <c:pt idx="0">
                      <c:v>-43</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{BF89F138-2DC4-45F5-A3F0-75A0595D50AB}</c15:txfldGUID>
                      <c15:f>'C13D'!$AW$71</c15:f>
                      <c15:dlblFieldTableCache>
                        <c:ptCount val="1"/>
                        <c:pt idx="0">
                          <c:v>-43</c:v>
                        </c:pt>
                      </c15:dlblFieldTableCache>
                    </c15:dlblFTEntry>
                  </c15:dlblFieldTable>
                  <c15:showDataLabelsRange val="0"/>
                </c:ext>
                <c:ext xmlns:c16="http://schemas.microsoft.com/office/drawing/2014/chart" uri="{C3380CC4-5D6E-409C-BE32-E72D297353CC}">
                  <c16:uniqueId val="{0000006F-F840-4D5C-B8F5-CBE0E3B9B154}"/>
                </c:ext>
              </c:extLst>
            </c:dLbl>
            <c:dLbl>
              <c:idx val="19"/>
              <c:tx>
                <c:strRef>
                  <c:f>'C13D'!$AW$72</c:f>
                  <c:strCache>
                    <c:ptCount val="1"/>
                    <c:pt idx="0">
                      <c:v>-34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{61AD40D5-4330-4BC0-9EFF-38D807CC2B99}</c15:txfldGUID>
                      <c15:f>'C13D'!$AW$72</c15:f>
                      <c15:dlblFieldTableCache>
                        <c:ptCount val="1"/>
                        <c:pt idx="0">
                          <c:v>-34</c:v>
                        </c:pt>
                      </c15:dlblFieldTableCache>
                    </c15:dlblFTEntry>
                  </c15:dlblFieldTable>
                  <c15:showDataLabelsRange val="0"/>
                </c:ext>
                <c:ext xmlns:c16="http://schemas.microsoft.com/office/drawing/2014/chart" uri="{C3380CC4-5D6E-409C-BE32-E72D297353CC}">
                  <c16:uniqueId val="{00000070-F840-4D5C-B8F5-CBE0E3B9B154}"/>
                </c:ext>
              </c:extLst>
            </c:dLbl>
            <c:dLbl>
              <c:idx val="20"/>
              <c:tx>
                <c:strRef>
                  <c:f>'C13D'!$AW$73</c:f>
                  <c:strCache>
                    <c:ptCount val="1"/>
                    <c:pt idx="0">
                      <c:v>-39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{3960D1E5-4537-42BB-97FD-9DB589CF19F0}</c15:txfldGUID>
                      <c15:f>'C13D'!$AW$73</c15:f>
                      <c15:dlblFieldTableCache>
                        <c:ptCount val="1"/>
                        <c:pt idx="0">
                          <c:v>-39</c:v>
                        </c:pt>
                      </c15:dlblFieldTableCache>
                    </c15:dlblFTEntry>
                  </c15:dlblFieldTable>
                  <c15:showDataLabelsRange val="0"/>
                </c:ext>
                <c:ext xmlns:c16="http://schemas.microsoft.com/office/drawing/2014/chart" uri="{C3380CC4-5D6E-409C-BE32-E72D297353CC}">
                  <c16:uniqueId val="{00000071-F840-4D5C-B8F5-CBE0E3B9B154}"/>
                </c:ext>
              </c:extLst>
            </c:dLbl>
            <c:dLbl>
              <c:idx val="21"/>
              <c:tx>
                <c:strRef>
                  <c:f>'C13D'!$AW$74</c:f>
                  <c:strCache>
                    <c:ptCount val="1"/>
                    <c:pt idx="0">
                      <c:v>-35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{258EAE1E-9454-4425-9589-2E266BC63473}</c15:txfldGUID>
                      <c15:f>'C13D'!$AW$74</c15:f>
                      <c15:dlblFieldTableCache>
                        <c:ptCount val="1"/>
                        <c:pt idx="0">
                          <c:v>-35</c:v>
                        </c:pt>
                      </c15:dlblFieldTableCache>
                    </c15:dlblFTEntry>
                  </c15:dlblFieldTable>
                  <c15:showDataLabelsRange val="0"/>
                </c:ext>
                <c:ext xmlns:c16="http://schemas.microsoft.com/office/drawing/2014/chart" uri="{C3380CC4-5D6E-409C-BE32-E72D297353CC}">
                  <c16:uniqueId val="{00000072-F840-4D5C-B8F5-CBE0E3B9B154}"/>
                </c:ext>
              </c:extLst>
            </c:dLbl>
            <c:dLbl>
              <c:idx val="22"/>
              <c:tx>
                <c:strRef>
                  <c:f>'C13D'!$AW$75</c:f>
                  <c:strCache>
                    <c:ptCount val="1"/>
                    <c:pt idx="0">
                      <c:v>-36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{D64E084A-B295-409F-97AD-C800E6420B59}</c15:txfldGUID>
                      <c15:f>'C13D'!$AW$75</c15:f>
                      <c15:dlblFieldTableCache>
                        <c:ptCount val="1"/>
                        <c:pt idx="0">
                          <c:v>-36</c:v>
                        </c:pt>
                      </c15:dlblFieldTableCache>
                    </c15:dlblFTEntry>
                  </c15:dlblFieldTable>
                  <c15:showDataLabelsRange val="0"/>
                </c:ext>
                <c:ext xmlns:c16="http://schemas.microsoft.com/office/drawing/2014/chart" uri="{C3380CC4-5D6E-409C-BE32-E72D297353CC}">
                  <c16:uniqueId val="{00000073-F840-4D5C-B8F5-CBE0E3B9B154}"/>
                </c:ext>
              </c:extLst>
            </c:dLbl>
            <c:dLbl>
              <c:idx val="23"/>
              <c:tx>
                <c:strRef>
                  <c:f>'C13D'!$AW$76</c:f>
                  <c:strCache>
                    <c:ptCount val="1"/>
                    <c:pt idx="0">
                      <c:v>-38</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{45DA8B68-2591-4C03-994C-618D355291AE}</c15:txfldGUID>
                      <c15:f>'C13D'!$AW$76</c15:f>
                      <c15:dlblFieldTableCache>
                        <c:ptCount val="1"/>
                        <c:pt idx="0">
                          <c:v>-38</c:v>
                        </c:pt>
                      </c15:dlblFieldTableCache>
                    </c15:dlblFTEntry>
                  </c15:dlblFieldTable>
                  <c15:showDataLabelsRange val="0"/>
                </c:ext>
                <c:ext xmlns:c16="http://schemas.microsoft.com/office/drawing/2014/chart" uri="{C3380CC4-5D6E-409C-BE32-E72D297353CC}">
                  <c16:uniqueId val="{00000074-F840-4D5C-B8F5-CBE0E3B9B154}"/>
                </c:ext>
              </c:extLst>
            </c:dLbl>
            <c:dLbl>
              <c:idx val="24"/>
              <c:tx>
                <c:strRef>
                  <c:f>'C13D'!$AW$77</c:f>
                  <c:strCache>
                    <c:ptCount val="1"/>
                    <c:pt idx="0">
                      <c:v>-40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{2D1D4AE5-0E31-41C4-93F1-15D1AF31597F}</c15:txfldGUID>
                      <c15:f>'C13D'!$AW$77</c15:f>
                      <c15:dlblFieldTableCache>
                        <c:ptCount val="1"/>
                        <c:pt idx="0">
                          <c:v>-40</c:v>
                        </c:pt>
                      </c15:dlblFieldTableCache>
                    </c15:dlblFTEntry>
                  </c15:dlblFieldTable>
                  <c15:showDataLabelsRange val="0"/>
                </c:ext>
                <c:ext xmlns:c16="http://schemas.microsoft.com/office/drawing/2014/chart" uri="{C3380CC4-5D6E-409C-BE32-E72D297353CC}">
                  <c16:uniqueId val="{00000075-F840-4D5C-B8F5-CBE0E3B9B154}"/>
                </c:ext>
              </c:extLst>
            </c:dLbl>
            <c:dLbl>
              <c:idx val="25"/>
              <c:tx>
                <c:strRef>
                  <c:f>'C13D'!$AW$78</c:f>
                  <c:strCache>
                    <c:ptCount val="1"/>
                    <c:pt idx="0">
                      <c:v>-36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{8C5C78C2-DF03-462E-9FAF-42FE534022DE}</c15:txfldGUID>
                      <c15:f>'C13D'!$AW$78</c15:f>
                      <c15:dlblFieldTableCache>
                        <c:ptCount val="1"/>
                        <c:pt idx="0">
                          <c:v>-36</c:v>
                        </c:pt>
                      </c15:dlblFieldTableCache>
                    </c15:dlblFTEntry>
                  </c15:dlblFieldTable>
                  <c15:showDataLabelsRange val="0"/>
                </c:ext>
                <c:ext xmlns:c16="http://schemas.microsoft.com/office/drawing/2014/chart" uri="{C3380CC4-5D6E-409C-BE32-E72D297353CC}">
                  <c16:uniqueId val="{00000076-F840-4D5C-B8F5-CBE0E3B9B154}"/>
                </c:ext>
              </c:extLst>
            </c:dLbl>
            <c:dLbl>
              <c:idx val="26"/>
              <c:tx>
                <c:strRef>
                  <c:f>'C13D'!$AW$79</c:f>
                  <c:strCache>
                    <c:ptCount val="1"/>
                    <c:pt idx="0">
                      <c:v>-39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{4CFA0085-AD5C-4182-AF6A-B19524FF1399}</c15:txfldGUID>
                      <c15:f>'C13D'!$AW$79</c15:f>
                      <c15:dlblFieldTableCache>
                        <c:ptCount val="1"/>
                        <c:pt idx="0">
                          <c:v>-39</c:v>
                        </c:pt>
                      </c15:dlblFieldTableCache>
                    </c15:dlblFTEntry>
                  </c15:dlblFieldTable>
                  <c15:showDataLabelsRange val="0"/>
                </c:ext>
                <c:ext xmlns:c16="http://schemas.microsoft.com/office/drawing/2014/chart" uri="{C3380CC4-5D6E-409C-BE32-E72D297353CC}">
                  <c16:uniqueId val="{00000077-F840-4D5C-B8F5-CBE0E3B9B154}"/>
                </c:ext>
              </c:extLst>
            </c:dLbl>
            <c:dLbl>
              <c:idx val="27"/>
              <c:tx>
                <c:strRef>
                  <c:f>'C13D'!$AW$80</c:f>
                  <c:strCache>
                    <c:ptCount val="1"/>
                    <c:pt idx="0">
                      <c:v>-43</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{B647987B-7675-4E5B-B11E-FCB53C3E75C9}</c15:txfldGUID>
                      <c15:f>'C13D'!$AW$80</c15:f>
                      <c15:dlblFieldTableCache>
                        <c:ptCount val="1"/>
                        <c:pt idx="0">
                          <c:v>-43</c:v>
                        </c:pt>
                      </c15:dlblFieldTableCache>
                    </c15:dlblFTEntry>
                  </c15:dlblFieldTable>
                  <c15:showDataLabelsRange val="0"/>
                </c:ext>
                <c:ext xmlns:c16="http://schemas.microsoft.com/office/drawing/2014/chart" uri="{C3380CC4-5D6E-409C-BE32-E72D297353CC}">
                  <c16:uniqueId val="{00000078-F840-4D5C-B8F5-CBE0E3B9B154}"/>
                </c:ext>
              </c:extLst>
            </c:dLbl>
            <c:dLbl>
              <c:idx val="29"/>
              <c:tx>
                <c:strRef>
                  <c:f>'C13D'!$AW$82</c:f>
                  <c:strCache>
                    <c:ptCount val="1"/>
                    <c:pt idx="0">
                      <c:v>-29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{4BB667ED-A646-4A2D-8ED5-8820F290AADF}</c15:txfldGUID>
                      <c15:f>'C13D'!$AW$82</c15:f>
                      <c15:dlblFieldTableCache>
                        <c:ptCount val="1"/>
                        <c:pt idx="0">
                          <c:v>-29</c:v>
                        </c:pt>
                      </c15:dlblFieldTableCache>
                    </c15:dlblFTEntry>
                  </c15:dlblFieldTable>
                  <c15:showDataLabelsRange val="0"/>
                </c:ext>
                <c:ext xmlns:c16="http://schemas.microsoft.com/office/drawing/2014/chart" uri="{C3380CC4-5D6E-409C-BE32-E72D297353CC}">
                  <c16:uniqueId val="{00000079-F840-4D5C-B8F5-CBE0E3B9B154}"/>
                </c:ext>
              </c:extLst>
            </c:dLbl>
            <c:dLbl>
              <c:idx val="30"/>
              <c:tx>
                <c:strRef>
                  <c:f>'C13D'!$AW$83</c:f>
                  <c:strCache>
                    <c:ptCount val="1"/>
                    <c:pt idx="0">
                      <c:v>-31</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{9914DD96-982B-4A6D-8EC7-FB949620164A}</c15:txfldGUID>
                      <c15:f>'C13D'!$AW$83</c15:f>
                      <c15:dlblFieldTableCache>
                        <c:ptCount val="1"/>
                        <c:pt idx="0">
                          <c:v>-31</c:v>
                        </c:pt>
                      </c15:dlblFieldTableCache>
                    </c15:dlblFTEntry>
                  </c15:dlblFieldTable>
                  <c15:showDataLabelsRange val="0"/>
                </c:ext>
                <c:ext xmlns:c16="http://schemas.microsoft.com/office/drawing/2014/chart" uri="{C3380CC4-5D6E-409C-BE32-E72D297353CC}">
                  <c16:uniqueId val="{0000007A-F840-4D5C-B8F5-CBE0E3B9B154}"/>
                </c:ext>
              </c:extLst>
            </c:dLbl>
            <c:dLbl>
              <c:idx val="31"/>
              <c:tx>
                <c:strRef>
                  <c:f>'C13D'!$AW$84</c:f>
                  <c:strCache>
                    <c:ptCount val="1"/>
                    <c:pt idx="0">
                      <c:v>-37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{CD504732-E997-4B1B-AE14-09C639C6BDF7}</c15:txfldGUID>
                      <c15:f>'C13D'!$AW$84</c15:f>
                      <c15:dlblFieldTableCache>
                        <c:ptCount val="1"/>
                        <c:pt idx="0">
                          <c:v>-37</c:v>
                        </c:pt>
                      </c15:dlblFieldTableCache>
                    </c15:dlblFTEntry>
                  </c15:dlblFieldTable>
                  <c15:showDataLabelsRange val="0"/>
                </c:ext>
                <c:ext xmlns:c16="http://schemas.microsoft.com/office/drawing/2014/chart" uri="{C3380CC4-5D6E-409C-BE32-E72D297353CC}">
                  <c16:uniqueId val="{0000007B-F840-4D5C-B8F5-CBE0E3B9B154}"/>
                </c:ext>
              </c:extLst>
            </c:dLbl>
            <c:dLbl>
              <c:idx val="32"/>
              <c:tx>
                <c:strRef>
                  <c:f>'C13D'!$AW$85</c:f>
                  <c:strCache>
                    <c:ptCount val="1"/>
                    <c:pt idx="0">
                      <c:v>-23</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{5D19287A-B487-45E0-804D-BD6B2587093A}</c15:txfldGUID>
                      <c15:f>'C13D'!$AW$85</c15:f>
                      <c15:dlblFieldTableCache>
                        <c:ptCount val="1"/>
                        <c:pt idx="0">
                          <c:v>-23</c:v>
                        </c:pt>
                      </c15:dlblFieldTableCache>
                    </c15:dlblFTEntry>
                  </c15:dlblFieldTable>
                  <c15:showDataLabelsRange val="0"/>
                </c:ext>
                <c:ext xmlns:c16="http://schemas.microsoft.com/office/drawing/2014/chart" uri="{C3380CC4-5D6E-409C-BE32-E72D297353CC}">
                  <c16:uniqueId val="{0000007C-F840-4D5C-B8F5-CBE0E3B9B154}"/>
                </c:ext>
              </c:extLst>
            </c:dLbl>
            <c:dLbl>
              <c:idx val="33"/>
              <c:tx>
                <c:strRef>
                  <c:f>'C13D'!$AW$86</c:f>
                  <c:strCache>
                    <c:ptCount val="1"/>
                    <c:pt idx="0">
                      <c:v>-29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{301F2924-3BF4-4BF7-B575-E0802809BAA6}</c15:txfldGUID>
                      <c15:f>'C13D'!$AW$86</c15:f>
                      <c15:dlblFieldTableCache>
                        <c:ptCount val="1"/>
                        <c:pt idx="0">
                          <c:v>-29</c:v>
                        </c:pt>
                      </c15:dlblFieldTableCache>
                    </c15:dlblFTEntry>
                  </c15:dlblFieldTable>
                  <c15:showDataLabelsRange val="0"/>
                </c:ext>
                <c:ext xmlns:c16="http://schemas.microsoft.com/office/drawing/2014/chart" uri="{C3380CC4-5D6E-409C-BE32-E72D297353CC}">
                  <c16:uniqueId val="{0000007D-F840-4D5C-B8F5-CBE0E3B9B154}"/>
                </c:ext>
              </c:extLst>
            </c:dLbl>
            <c:dLbl>
              <c:idx val="34"/>
              <c:tx>
                <c:strRef>
                  <c:f>'C13D'!$AW$87</c:f>
                  <c:strCache>
                    <c:ptCount val="1"/>
                    <c:pt idx="0">
                      <c:v>-30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{51F5BF10-E3B3-4A12-BA11-F5E7FA35C152}</c15:txfldGUID>
                      <c15:f>'C13D'!$AW$87</c15:f>
                      <c15:dlblFieldTableCache>
                        <c:ptCount val="1"/>
                        <c:pt idx="0">
                          <c:v>-30</c:v>
                        </c:pt>
                      </c15:dlblFieldTableCache>
                    </c15:dlblFTEntry>
                  </c15:dlblFieldTable>
                  <c15:showDataLabelsRange val="0"/>
                </c:ext>
                <c:ext xmlns:c16="http://schemas.microsoft.com/office/drawing/2014/chart" uri="{C3380CC4-5D6E-409C-BE32-E72D297353CC}">
                  <c16:uniqueId val="{0000007E-F840-4D5C-B8F5-CBE0E3B9B154}"/>
                </c:ext>
              </c:extLst>
            </c:dLbl>
            <c:dLbl>
              <c:idx val="35"/>
              <c:tx>
                <c:strRef>
                  <c:f>'C13D'!$AW$88</c:f>
                  <c:strCache>
                    <c:ptCount val="1"/>
                    <c:pt idx="0">
                      <c:v>-24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{1DA0E93A-6984-40E9-A315-E8434B2F8373}</c15:txfldGUID>
                      <c15:f>'C13D'!$AW$88</c15:f>
                      <c15:dlblFieldTableCache>
                        <c:ptCount val="1"/>
                        <c:pt idx="0">
                          <c:v>-24</c:v>
                        </c:pt>
                      </c15:dlblFieldTableCache>
                    </c15:dlblFTEntry>
                  </c15:dlblFieldTable>
                  <c15:showDataLabelsRange val="0"/>
                </c:ext>
                <c:ext xmlns:c16="http://schemas.microsoft.com/office/drawing/2014/chart" uri="{C3380CC4-5D6E-409C-BE32-E72D297353CC}">
                  <c16:uniqueId val="{0000007F-F840-4D5C-B8F5-CBE0E3B9B154}"/>
                </c:ext>
              </c:extLst>
            </c:dLbl>
            <c:dLbl>
              <c:idx val="36"/>
              <c:tx>
                <c:strRef>
                  <c:f>'C13D'!$AW$89</c:f>
                  <c:strCache>
                    <c:ptCount val="1"/>
                    <c:pt idx="0">
                      <c:v>-29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{CE3AAD31-CBFE-4340-A6DF-CDA3C39F9CF9}</c15:txfldGUID>
                      <c15:f>'C13D'!$AW$89</c15:f>
                      <c15:dlblFieldTableCache>
                        <c:ptCount val="1"/>
                        <c:pt idx="0">
                          <c:v>-29</c:v>
                        </c:pt>
                      </c15:dlblFieldTableCache>
                    </c15:dlblFTEntry>
                  </c15:dlblFieldTable>
                  <c15:showDataLabelsRange val="0"/>
                </c:ext>
                <c:ext xmlns:c16="http://schemas.microsoft.com/office/drawing/2014/chart" uri="{C3380CC4-5D6E-409C-BE32-E72D297353CC}">
                  <c16:uniqueId val="{00000080-F840-4D5C-B8F5-CBE0E3B9B154}"/>
                </c:ext>
              </c:extLst>
            </c:dLbl>
            <c:dLbl>
              <c:idx val="37"/>
              <c:tx>
                <c:strRef>
                  <c:f>'C13D'!$AW$90</c:f>
                  <c:strCache>
                    <c:ptCount val="1"/>
                    <c:pt idx="0">
                      <c:v>-29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{A50F623F-1CC3-415D-9427-95B77208E1B5}</c15:txfldGUID>
                      <c15:f>'C13D'!$AW$90</c15:f>
                      <c15:dlblFieldTableCache>
                        <c:ptCount val="1"/>
                        <c:pt idx="0">
                          <c:v>-29</c:v>
                        </c:pt>
                      </c15:dlblFieldTableCache>
                    </c15:dlblFTEntry>
                  </c15:dlblFieldTable>
                  <c15:showDataLabelsRange val="0"/>
                </c:ext>
                <c:ext xmlns:c16="http://schemas.microsoft.com/office/drawing/2014/chart" uri="{C3380CC4-5D6E-409C-BE32-E72D297353CC}">
                  <c16:uniqueId val="{00000081-F840-4D5C-B8F5-CBE0E3B9B154}"/>
                </c:ext>
              </c:extLst>
            </c:dLbl>
            <c:dLbl>
              <c:idx val="38"/>
              <c:tx>
                <c:strRef>
                  <c:f>'C13D'!$AW$91</c:f>
                  <c:strCache>
                    <c:ptCount val="1"/>
                    <c:pt idx="0">
                      <c:v>-22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{82329142-7B3B-44FB-8DA3-829FC4824A0F}</c15:txfldGUID>
                      <c15:f>'C13D'!$AW$91</c15:f>
                      <c15:dlblFieldTableCache>
                        <c:ptCount val="1"/>
                        <c:pt idx="0">
                          <c:v>-22</c:v>
                        </c:pt>
                      </c15:dlblFieldTableCache>
                    </c15:dlblFTEntry>
                  </c15:dlblFieldTable>
                  <c15:showDataLabelsRange val="0"/>
                </c:ext>
                <c:ext xmlns:c16="http://schemas.microsoft.com/office/drawing/2014/chart" uri="{C3380CC4-5D6E-409C-BE32-E72D297353CC}">
                  <c16:uniqueId val="{00000082-F840-4D5C-B8F5-CBE0E3B9B154}"/>
                </c:ext>
              </c:extLst>
            </c:dLbl>
            <c:dLbl>
              <c:idx val="39"/>
              <c:tx>
                <c:strRef>
                  <c:f>'C13D'!$AW$92</c:f>
                  <c:strCache>
                    <c:ptCount val="1"/>
                    <c:pt idx="0">
                      <c:v>-26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{E2CB347E-4C9B-40FB-A0C2-A7E675865A71}</c15:txfldGUID>
                      <c15:f>'C13D'!$AW$92</c15:f>
                      <c15:dlblFieldTableCache>
                        <c:ptCount val="1"/>
                        <c:pt idx="0">
                          <c:v>-26</c:v>
                        </c:pt>
                      </c15:dlblFieldTableCache>
                    </c15:dlblFTEntry>
                  </c15:dlblFieldTable>
                  <c15:showDataLabelsRange val="0"/>
                </c:ext>
                <c:ext xmlns:c16="http://schemas.microsoft.com/office/drawing/2014/chart" uri="{C3380CC4-5D6E-409C-BE32-E72D297353CC}">
                  <c16:uniqueId val="{00000083-F840-4D5C-B8F5-CBE0E3B9B154}"/>
                </c:ext>
              </c:extLst>
            </c:dLbl>
            <c:dLbl>
              <c:idx val="40"/>
              <c:tx>
                <c:strRef>
                  <c:f>'C13D'!$AW$93</c:f>
                  <c:strCache>
                    <c:ptCount val="1"/>
                    <c:pt idx="0">
                      <c:v>-30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{A3A8DCF4-3008-41B9-9F6E-62C6C613150B}</c15:txfldGUID>
                      <c15:f>'C13D'!$AW$93</c15:f>
                      <c15:dlblFieldTableCache>
                        <c:ptCount val="1"/>
                        <c:pt idx="0">
                          <c:v>-30</c:v>
                        </c:pt>
                      </c15:dlblFieldTableCache>
                    </c15:dlblFTEntry>
                  </c15:dlblFieldTable>
                  <c15:showDataLabelsRange val="0"/>
                </c:ext>
                <c:ext xmlns:c16="http://schemas.microsoft.com/office/drawing/2014/chart" uri="{C3380CC4-5D6E-409C-BE32-E72D297353CC}">
                  <c16:uniqueId val="{00000084-F840-4D5C-B8F5-CBE0E3B9B154}"/>
                </c:ext>
              </c:extLst>
            </c:dLbl>
            <c:dLbl>
              <c:idx val="42"/>
              <c:tx>
                <c:strRef>
                  <c:f>'C13D'!$AW$95</c:f>
                  <c:strCache>
                    <c:ptCount val="1"/>
                    <c:pt idx="0">
                      <c:v>-14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{7191C75C-1414-492A-A2FF-1B01138D6910}</c15:txfldGUID>
                      <c15:f>'C13D'!$AW$95</c15:f>
                      <c15:dlblFieldTableCache>
                        <c:ptCount val="1"/>
                        <c:pt idx="0">
                          <c:v>-14</c:v>
                        </c:pt>
                      </c15:dlblFieldTableCache>
                    </c15:dlblFTEntry>
                  </c15:dlblFieldTable>
                  <c15:showDataLabelsRange val="0"/>
                </c:ext>
                <c:ext xmlns:c16="http://schemas.microsoft.com/office/drawing/2014/chart" uri="{C3380CC4-5D6E-409C-BE32-E72D297353CC}">
                  <c16:uniqueId val="{00000085-F840-4D5C-B8F5-CBE0E3B9B154}"/>
                </c:ext>
              </c:extLst>
            </c:dLbl>
            <c:dLbl>
              <c:idx val="43"/>
              <c:tx>
                <c:strRef>
                  <c:f>'C13D'!$AW$96</c:f>
                  <c:strCache>
                    <c:ptCount val="1"/>
                    <c:pt idx="0">
                      <c:v>-15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{AC085A05-2D37-46EA-B078-B87BB034B31A}</c15:txfldGUID>
                      <c15:f>'C13D'!$AW$96</c15:f>
                      <c15:dlblFieldTableCache>
                        <c:ptCount val="1"/>
                        <c:pt idx="0">
                          <c:v>-15</c:v>
                        </c:pt>
                      </c15:dlblFieldTableCache>
                    </c15:dlblFTEntry>
                  </c15:dlblFieldTable>
                  <c15:showDataLabelsRange val="0"/>
                </c:ext>
                <c:ext xmlns:c16="http://schemas.microsoft.com/office/drawing/2014/chart" uri="{C3380CC4-5D6E-409C-BE32-E72D297353CC}">
                  <c16:uniqueId val="{00000086-F840-4D5C-B8F5-CBE0E3B9B154}"/>
                </c:ext>
              </c:extLst>
            </c:dLbl>
            <c:dLbl>
              <c:idx val="44"/>
              <c:tx>
                <c:strRef>
                  <c:f>'C13D'!$AW$97</c:f>
                  <c:strCache>
                    <c:ptCount val="1"/>
                    <c:pt idx="0">
                      <c:v>-22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{6B60E771-0579-4024-B395-C61E9FE4BA49}</c15:txfldGUID>
                      <c15:f>'C13D'!$AW$97</c15:f>
                      <c15:dlblFieldTableCache>
                        <c:ptCount val="1"/>
                        <c:pt idx="0">
                          <c:v>-22</c:v>
                        </c:pt>
                      </c15:dlblFieldTableCache>
                    </c15:dlblFTEntry>
                  </c15:dlblFieldTable>
                  <c15:showDataLabelsRange val="0"/>
                </c:ext>
                <c:ext xmlns:c16="http://schemas.microsoft.com/office/drawing/2014/chart" uri="{C3380CC4-5D6E-409C-BE32-E72D297353CC}">
                  <c16:uniqueId val="{00000087-F840-4D5C-B8F5-CBE0E3B9B154}"/>
                </c:ext>
              </c:extLst>
            </c:dLbl>
            <c:dLbl>
              <c:idx val="45"/>
              <c:tx>
                <c:strRef>
                  <c:f>'C13D'!$AW$98</c:f>
                  <c:strCache>
                    <c:ptCount val="1"/>
                    <c:pt idx="0">
                      <c:v>-9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{70706AF7-0495-497A-B120-5E51BC18FACB}</c15:txfldGUID>
                      <c15:f>'C13D'!$AW$98</c15:f>
                      <c15:dlblFieldTableCache>
                        <c:ptCount val="1"/>
                        <c:pt idx="0">
                          <c:v>-9</c:v>
                        </c:pt>
                      </c15:dlblFieldTableCache>
                    </c15:dlblFTEntry>
                  </c15:dlblFieldTable>
                  <c15:showDataLabelsRange val="0"/>
                </c:ext>
                <c:ext xmlns:c16="http://schemas.microsoft.com/office/drawing/2014/chart" uri="{C3380CC4-5D6E-409C-BE32-E72D297353CC}">
                  <c16:uniqueId val="{00000088-F840-4D5C-B8F5-CBE0E3B9B154}"/>
                </c:ext>
              </c:extLst>
            </c:dLbl>
            <c:dLbl>
              <c:idx val="46"/>
              <c:tx>
                <c:strRef>
                  <c:f>'C13D'!$AW$99</c:f>
                  <c:strCache>
                    <c:ptCount val="1"/>
                    <c:pt idx="0">
                      <c:v>-15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{F4DD1065-61A8-45EF-AEA9-6A2B1C5F69FE}</c15:txfldGUID>
                      <c15:f>'C13D'!$AW$99</c15:f>
                      <c15:dlblFieldTableCache>
                        <c:ptCount val="1"/>
                        <c:pt idx="0">
                          <c:v>-15</c:v>
                        </c:pt>
                      </c15:dlblFieldTableCache>
                    </c15:dlblFTEntry>
                  </c15:dlblFieldTable>
                  <c15:showDataLabelsRange val="0"/>
                </c:ext>
                <c:ext xmlns:c16="http://schemas.microsoft.com/office/drawing/2014/chart" uri="{C3380CC4-5D6E-409C-BE32-E72D297353CC}">
                  <c16:uniqueId val="{00000089-F840-4D5C-B8F5-CBE0E3B9B154}"/>
                </c:ext>
              </c:extLst>
            </c:dLbl>
            <c:dLbl>
              <c:idx val="47"/>
              <c:tx>
                <c:strRef>
                  <c:f>'C13D'!$AW$100</c:f>
                  <c:strCache>
                    <c:ptCount val="1"/>
                    <c:pt idx="0">
                      <c:v>-15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{93BD369E-8F03-4DCF-B7DE-642A02866F0D}</c15:txfldGUID>
                      <c15:f>'C13D'!$AW$100</c15:f>
                      <c15:dlblFieldTableCache>
                        <c:ptCount val="1"/>
                        <c:pt idx="0">
                          <c:v>-15</c:v>
                        </c:pt>
                      </c15:dlblFieldTableCache>
                    </c15:dlblFTEntry>
                  </c15:dlblFieldTable>
                  <c15:showDataLabelsRange val="0"/>
                </c:ext>
                <c:ext xmlns:c16="http://schemas.microsoft.com/office/drawing/2014/chart" uri="{C3380CC4-5D6E-409C-BE32-E72D297353CC}">
                  <c16:uniqueId val="{0000008A-F840-4D5C-B8F5-CBE0E3B9B154}"/>
                </c:ext>
              </c:extLst>
            </c:dLbl>
            <c:dLbl>
              <c:idx val="48"/>
              <c:tx>
                <c:strRef>
                  <c:f>'C13D'!$AW$101</c:f>
                  <c:strCache>
                    <c:ptCount val="1"/>
                    <c:pt idx="0">
                      <c:v>-8</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{950773AF-F323-4E6C-B95A-7C16473B7B43}</c15:txfldGUID>
                      <c15:f>'C13D'!$AW$101</c15:f>
                      <c15:dlblFieldTableCache>
                        <c:ptCount val="1"/>
                        <c:pt idx="0">
                          <c:v>-8</c:v>
                        </c:pt>
                      </c15:dlblFieldTableCache>
                    </c15:dlblFTEntry>
                  </c15:dlblFieldTable>
                  <c15:showDataLabelsRange val="0"/>
                </c:ext>
                <c:ext xmlns:c16="http://schemas.microsoft.com/office/drawing/2014/chart" uri="{C3380CC4-5D6E-409C-BE32-E72D297353CC}">
                  <c16:uniqueId val="{0000008B-F840-4D5C-B8F5-CBE0E3B9B154}"/>
                </c:ext>
              </c:extLst>
            </c:dLbl>
            <c:dLbl>
              <c:idx val="49"/>
              <c:tx>
                <c:strRef>
                  <c:f>'C13D'!$AW$102</c:f>
                  <c:strCache>
                    <c:ptCount val="1"/>
                    <c:pt idx="0">
                      <c:v>-16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{A3E27D22-9673-49E9-88FD-1FE718BB18AB}</c15:txfldGUID>
                      <c15:f>'C13D'!$AW$102</c15:f>
                      <c15:dlblFieldTableCache>
                        <c:ptCount val="1"/>
                        <c:pt idx="0">
                          <c:v>-16</c:v>
                        </c:pt>
                      </c15:dlblFieldTableCache>
                    </c15:dlblFTEntry>
                  </c15:dlblFieldTable>
                  <c15:showDataLabelsRange val="0"/>
                </c:ext>
                <c:ext xmlns:c16="http://schemas.microsoft.com/office/drawing/2014/chart" uri="{C3380CC4-5D6E-409C-BE32-E72D297353CC}">
                  <c16:uniqueId val="{0000008C-F840-4D5C-B8F5-CBE0E3B9B154}"/>
                </c:ext>
              </c:extLst>
            </c:dLbl>
            <c:dLbl>
              <c:idx val="50"/>
              <c:tx>
                <c:strRef>
                  <c:f>'C13D'!$AW$103</c:f>
                  <c:strCache>
                    <c:ptCount val="1"/>
                    <c:pt idx="0">
                      <c:v>-13</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{934240AF-61C3-432B-8DE1-20F68F2F180A}</c15:txfldGUID>
                      <c15:f>'C13D'!$AW$103</c15:f>
                      <c15:dlblFieldTableCache>
                        <c:ptCount val="1"/>
                        <c:pt idx="0">
                          <c:v>-13</c:v>
                        </c:pt>
                      </c15:dlblFieldTableCache>
                    </c15:dlblFTEntry>
                  </c15:dlblFieldTable>
                  <c15:showDataLabelsRange val="0"/>
                </c:ext>
                <c:ext xmlns:c16="http://schemas.microsoft.com/office/drawing/2014/chart" uri="{C3380CC4-5D6E-409C-BE32-E72D297353CC}">
                  <c16:uniqueId val="{0000008D-F840-4D5C-B8F5-CBE0E3B9B154}"/>
                </c:ext>
              </c:extLst>
            </c:dLbl>
            <c:dLbl>
              <c:idx val="51"/>
              <c:tx>
                <c:strRef>
                  <c:f>'C13D'!$AW$104</c:f>
                  <c:strCache>
                    <c:ptCount val="1"/>
                    <c:pt idx="0">
                      <c:v>-8</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{8466073F-46E4-416C-B866-6EF58577BB30}</c15:txfldGUID>
                      <c15:f>'C13D'!$AW$104</c15:f>
                      <c15:dlblFieldTableCache>
                        <c:ptCount val="1"/>
                        <c:pt idx="0">
                          <c:v>-8</c:v>
                        </c:pt>
                      </c15:dlblFieldTableCache>
                    </c15:dlblFTEntry>
                  </c15:dlblFieldTable>
                  <c15:showDataLabelsRange val="0"/>
                </c:ext>
                <c:ext xmlns:c16="http://schemas.microsoft.com/office/drawing/2014/chart" uri="{C3380CC4-5D6E-409C-BE32-E72D297353CC}">
                  <c16:uniqueId val="{0000008E-F840-4D5C-B8F5-CBE0E3B9B154}"/>
                </c:ext>
              </c:extLst>
            </c:dLbl>
            <c:dLbl>
              <c:idx val="52"/>
              <c:tx>
                <c:strRef>
                  <c:f>'C13D'!$AW$105</c:f>
                  <c:strCache>
                    <c:ptCount val="1"/>
                    <c:pt idx="0">
                      <c:v>-15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{14103EF8-5420-4058-AC6A-335FFAE104E9}</c15:txfldGUID>
                      <c15:f>'C13D'!$AW$105</c15:f>
                      <c15:dlblFieldTableCache>
                        <c:ptCount val="1"/>
                        <c:pt idx="0">
                          <c:v>-15</c:v>
                        </c:pt>
                      </c15:dlblFieldTableCache>
                    </c15:dlblFTEntry>
                  </c15:dlblFieldTable>
                  <c15:showDataLabelsRange val="0"/>
                </c:ext>
                <c:ext xmlns:c16="http://schemas.microsoft.com/office/drawing/2014/chart" uri="{C3380CC4-5D6E-409C-BE32-E72D297353CC}">
                  <c16:uniqueId val="{0000008F-F840-4D5C-B8F5-CBE0E3B9B154}"/>
                </c:ext>
              </c:extLst>
            </c:dLbl>
            <c:dLbl>
              <c:idx val="53"/>
              <c:tx>
                <c:strRef>
                  <c:f>'C13D'!$AW$106</c:f>
                  <c:strCache>
                    <c:ptCount val="1"/>
                    <c:pt idx="0">
                      <c:v>-16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{CF065002-5583-40B1-83DB-EAB31693A97B}</c15:txfldGUID>
                      <c15:f>'C13D'!$AW$106</c15:f>
                      <c15:dlblFieldTableCache>
                        <c:ptCount val="1"/>
                        <c:pt idx="0">
                          <c:v>-16</c:v>
                        </c:pt>
                      </c15:dlblFieldTableCache>
                    </c15:dlblFTEntry>
                  </c15:dlblFieldTable>
                  <c15:showDataLabelsRange val="0"/>
                </c:ext>
                <c:ext xmlns:c16="http://schemas.microsoft.com/office/drawing/2014/chart" uri="{C3380CC4-5D6E-409C-BE32-E72D297353CC}">
                  <c16:uniqueId val="{00000090-F840-4D5C-B8F5-CBE0E3B9B15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errBars>
            <c:errDir val="y"/>
            <c:errBarType val="plus"/>
            <c:errValType val="cust"/>
            <c:noEndCap val="1"/>
            <c:plus>
              <c:numRef>
                <c:f>'C13D'!$AN$53:$AN$106</c:f>
                <c:numCache>
                  <c:formatCode>General</c:formatCode>
                  <c:ptCount val="54"/>
                  <c:pt idx="0">
                    <c:v>0</c:v>
                  </c:pt>
                  <c:pt idx="1">
                    <c:v>0</c:v>
                  </c:pt>
                  <c:pt idx="2">
                    <c:v>0</c:v>
                  </c:pt>
                  <c:pt idx="3">
                    <c:v>0.10305963085731369</c:v>
                  </c:pt>
                  <c:pt idx="4">
                    <c:v>0.10997145709037269</c:v>
                  </c:pt>
                  <c:pt idx="5">
                    <c:v>0.11825717797550285</c:v>
                  </c:pt>
                  <c:pt idx="6">
                    <c:v>9.7479103881250834E-2</c:v>
                  </c:pt>
                  <c:pt idx="7">
                    <c:v>0.10399760472464047</c:v>
                  </c:pt>
                  <c:pt idx="8">
                    <c:v>0.10403785163670781</c:v>
                  </c:pt>
                  <c:pt idx="9">
                    <c:v>0.10245158216997238</c:v>
                  </c:pt>
                  <c:pt idx="10">
                    <c:v>0.10754932836063752</c:v>
                  </c:pt>
                  <c:pt idx="11">
                    <c:v>0.10515043967925944</c:v>
                  </c:pt>
                  <c:pt idx="12">
                    <c:v>0.10461637224556666</c:v>
                  </c:pt>
                  <c:pt idx="13">
                    <c:v>0.10649397115977648</c:v>
                  </c:pt>
                  <c:pt idx="14">
                    <c:v>0.11837433919460079</c:v>
                  </c:pt>
                  <c:pt idx="15">
                    <c:v>0</c:v>
                  </c:pt>
                  <c:pt idx="16">
                    <c:v>8.4399719805981571E-2</c:v>
                  </c:pt>
                  <c:pt idx="17">
                    <c:v>9.1798538823509676E-2</c:v>
                  </c:pt>
                  <c:pt idx="18">
                    <c:v>9.9996570380893254E-2</c:v>
                  </c:pt>
                  <c:pt idx="19">
                    <c:v>8.0035879691415249E-2</c:v>
                  </c:pt>
                  <c:pt idx="20">
                    <c:v>9.0247076404327331E-2</c:v>
                  </c:pt>
                  <c:pt idx="21">
                    <c:v>8.3012822122954327E-2</c:v>
                  </c:pt>
                  <c:pt idx="22">
                    <c:v>8.5089980580382529E-2</c:v>
                  </c:pt>
                  <c:pt idx="23">
                    <c:v>8.9982506737270082E-2</c:v>
                  </c:pt>
                  <c:pt idx="24">
                    <c:v>9.4740172910346726E-2</c:v>
                  </c:pt>
                  <c:pt idx="25">
                    <c:v>8.3746671358118432E-2</c:v>
                  </c:pt>
                  <c:pt idx="26">
                    <c:v>9.0887380038736698E-2</c:v>
                  </c:pt>
                  <c:pt idx="27">
                    <c:v>0.10034331086600613</c:v>
                  </c:pt>
                  <c:pt idx="28">
                    <c:v>0</c:v>
                  </c:pt>
                  <c:pt idx="29">
                    <c:v>6.841079522948329E-2</c:v>
                  </c:pt>
                  <c:pt idx="30">
                    <c:v>7.2063309659414293E-2</c:v>
                  </c:pt>
                  <c:pt idx="31">
                    <c:v>8.6366124759442151E-2</c:v>
                  </c:pt>
                  <c:pt idx="32">
                    <c:v>5.4945492957518639E-2</c:v>
                  </c:pt>
                  <c:pt idx="33">
                    <c:v>6.8422541041529505E-2</c:v>
                  </c:pt>
                  <c:pt idx="34">
                    <c:v>6.9329479249154211E-2</c:v>
                  </c:pt>
                  <c:pt idx="35">
                    <c:v>5.6756947861697375E-2</c:v>
                  </c:pt>
                  <c:pt idx="36">
                    <c:v>6.7242309012438065E-2</c:v>
                  </c:pt>
                  <c:pt idx="37">
                    <c:v>6.7758919945562213E-2</c:v>
                  </c:pt>
                  <c:pt idx="38">
                    <c:v>5.049641355851224E-2</c:v>
                  </c:pt>
                  <c:pt idx="39">
                    <c:v>6.2025409122752603E-2</c:v>
                  </c:pt>
                  <c:pt idx="40">
                    <c:v>7.0100131771922883E-2</c:v>
                  </c:pt>
                  <c:pt idx="41">
                    <c:v>0</c:v>
                  </c:pt>
                  <c:pt idx="42">
                    <c:v>3.2356177246477207E-2</c:v>
                  </c:pt>
                  <c:pt idx="43">
                    <c:v>3.5245832100108697E-2</c:v>
                  </c:pt>
                  <c:pt idx="44">
                    <c:v>5.0906740787156297E-2</c:v>
                  </c:pt>
                  <c:pt idx="45">
                    <c:v>2.0264649121529917E-2</c:v>
                  </c:pt>
                  <c:pt idx="46">
                    <c:v>3.5500365386663492E-2</c:v>
                  </c:pt>
                  <c:pt idx="47">
                    <c:v>3.463736751861049E-2</c:v>
                  </c:pt>
                  <c:pt idx="48">
                    <c:v>1.8933692756554595E-2</c:v>
                  </c:pt>
                  <c:pt idx="49">
                    <c:v>3.8581050172937059E-2</c:v>
                  </c:pt>
                  <c:pt idx="50">
                    <c:v>2.9910217869961689E-2</c:v>
                  </c:pt>
                  <c:pt idx="51">
                    <c:v>1.7632631701266169E-2</c:v>
                  </c:pt>
                  <c:pt idx="52">
                    <c:v>3.5966150258527292E-2</c:v>
                  </c:pt>
                  <c:pt idx="53">
                    <c:v>3.7625966716591519E-2</c:v>
                  </c:pt>
                </c:numCache>
              </c:numRef>
            </c:plus>
            <c:spPr>
              <a:ln w="15875">
                <a:solidFill>
                  <a:srgbClr val="FF0000"/>
                </a:solidFill>
              </a:ln>
            </c:spPr>
          </c:errBars>
          <c:cat>
            <c:strRef>
              <c:f>'C13D'!$Y$53:$Y$106</c:f>
              <c:strCache>
                <c:ptCount val="52"/>
                <c:pt idx="3">
                  <c:v>Jan</c:v>
                </c:pt>
                <c:pt idx="6">
                  <c:v>Apr</c:v>
                </c:pt>
                <c:pt idx="9">
                  <c:v>Jul</c:v>
                </c:pt>
                <c:pt idx="12">
                  <c:v>Oct</c:v>
                </c:pt>
                <c:pt idx="16">
                  <c:v>Jan</c:v>
                </c:pt>
                <c:pt idx="19">
                  <c:v>Apr</c:v>
                </c:pt>
                <c:pt idx="22">
                  <c:v>Jul</c:v>
                </c:pt>
                <c:pt idx="25">
                  <c:v>Oct</c:v>
                </c:pt>
                <c:pt idx="29">
                  <c:v>Jan</c:v>
                </c:pt>
                <c:pt idx="32">
                  <c:v>Apr</c:v>
                </c:pt>
                <c:pt idx="35">
                  <c:v>Jul</c:v>
                </c:pt>
                <c:pt idx="38">
                  <c:v>Oct</c:v>
                </c:pt>
                <c:pt idx="42">
                  <c:v>Jan</c:v>
                </c:pt>
                <c:pt idx="45">
                  <c:v>Apr</c:v>
                </c:pt>
                <c:pt idx="48">
                  <c:v>Jul</c:v>
                </c:pt>
                <c:pt idx="51">
                  <c:v>Oct</c:v>
                </c:pt>
              </c:strCache>
            </c:strRef>
          </c:cat>
          <c:val>
            <c:numRef>
              <c:f>'C13D'!$AE$53:$AE$106</c:f>
              <c:numCache>
                <c:formatCode>General</c:formatCode>
                <c:ptCount val="54"/>
                <c:pt idx="0">
                  <c:v>#N/A</c:v>
                </c:pt>
                <c:pt idx="1">
                  <c:v>#N/A</c:v>
                </c:pt>
                <c:pt idx="2">
                  <c:v>#N/A</c:v>
                </c:pt>
                <c:pt idx="3">
                  <c:v>2.1312260834284005</c:v>
                </c:pt>
                <c:pt idx="4">
                  <c:v>2.1243142571953415</c:v>
                </c:pt>
                <c:pt idx="5">
                  <c:v>2.1160285363102114</c:v>
                </c:pt>
                <c:pt idx="6">
                  <c:v>2.1368066104044634</c:v>
                </c:pt>
                <c:pt idx="7">
                  <c:v>2.1302881095610737</c:v>
                </c:pt>
                <c:pt idx="8">
                  <c:v>2.1302478626490067</c:v>
                </c:pt>
                <c:pt idx="9">
                  <c:v>2.1318341321157419</c:v>
                </c:pt>
                <c:pt idx="10">
                  <c:v>2.126736385925077</c:v>
                </c:pt>
                <c:pt idx="11">
                  <c:v>2.1291352746064547</c:v>
                </c:pt>
                <c:pt idx="12">
                  <c:v>2.1296693420401476</c:v>
                </c:pt>
                <c:pt idx="13">
                  <c:v>2.1277917431259379</c:v>
                </c:pt>
                <c:pt idx="14">
                  <c:v>2.1159113750911134</c:v>
                </c:pt>
                <c:pt idx="15">
                  <c:v>#N/A</c:v>
                </c:pt>
                <c:pt idx="16">
                  <c:v>2.1498859944797326</c:v>
                </c:pt>
                <c:pt idx="17">
                  <c:v>2.1424871754622048</c:v>
                </c:pt>
                <c:pt idx="18">
                  <c:v>2.1342891439048208</c:v>
                </c:pt>
                <c:pt idx="19">
                  <c:v>2.1542498345942991</c:v>
                </c:pt>
                <c:pt idx="20">
                  <c:v>2.1440386378813869</c:v>
                </c:pt>
                <c:pt idx="21">
                  <c:v>2.1512728921627597</c:v>
                </c:pt>
                <c:pt idx="22">
                  <c:v>2.1491957337053318</c:v>
                </c:pt>
                <c:pt idx="23">
                  <c:v>2.1443032075484441</c:v>
                </c:pt>
                <c:pt idx="24">
                  <c:v>2.1395455413753677</c:v>
                </c:pt>
                <c:pt idx="25">
                  <c:v>2.1505390429275959</c:v>
                </c:pt>
                <c:pt idx="26">
                  <c:v>2.1433983342469776</c:v>
                </c:pt>
                <c:pt idx="27">
                  <c:v>2.1339424034197081</c:v>
                </c:pt>
                <c:pt idx="28">
                  <c:v>#N/A</c:v>
                </c:pt>
                <c:pt idx="29">
                  <c:v>2.1658749190562308</c:v>
                </c:pt>
                <c:pt idx="30">
                  <c:v>2.1622224046262999</c:v>
                </c:pt>
                <c:pt idx="31">
                  <c:v>2.1479195895262722</c:v>
                </c:pt>
                <c:pt idx="32">
                  <c:v>2.1793402213281956</c:v>
                </c:pt>
                <c:pt idx="33">
                  <c:v>2.1658631732441846</c:v>
                </c:pt>
                <c:pt idx="34">
                  <c:v>2.1649562350365601</c:v>
                </c:pt>
                <c:pt idx="35">
                  <c:v>2.1775287664240168</c:v>
                </c:pt>
                <c:pt idx="36">
                  <c:v>2.1670434052732763</c:v>
                </c:pt>
                <c:pt idx="37">
                  <c:v>2.1665267943401521</c:v>
                </c:pt>
                <c:pt idx="38">
                  <c:v>2.1837893007272022</c:v>
                </c:pt>
                <c:pt idx="39">
                  <c:v>2.1722603051629616</c:v>
                </c:pt>
                <c:pt idx="40">
                  <c:v>2.1641855825137912</c:v>
                </c:pt>
                <c:pt idx="41">
                  <c:v>#N/A</c:v>
                </c:pt>
                <c:pt idx="42">
                  <c:v>2.2019295370392369</c:v>
                </c:pt>
                <c:pt idx="43">
                  <c:v>2.1990398821856054</c:v>
                </c:pt>
                <c:pt idx="44">
                  <c:v>2.183378973498558</c:v>
                </c:pt>
                <c:pt idx="45">
                  <c:v>2.2140210651641845</c:v>
                </c:pt>
                <c:pt idx="46">
                  <c:v>2.198785348899051</c:v>
                </c:pt>
                <c:pt idx="47">
                  <c:v>2.1996483467671037</c:v>
                </c:pt>
                <c:pt idx="48">
                  <c:v>2.2153520215291596</c:v>
                </c:pt>
                <c:pt idx="49">
                  <c:v>2.1957046641127773</c:v>
                </c:pt>
                <c:pt idx="50">
                  <c:v>2.2043754964157527</c:v>
                </c:pt>
                <c:pt idx="51">
                  <c:v>2.2166530825844482</c:v>
                </c:pt>
                <c:pt idx="52">
                  <c:v>2.1983195640271869</c:v>
                </c:pt>
                <c:pt idx="53">
                  <c:v>2.196659747569123</c:v>
                </c:pt>
              </c:numCache>
            </c:numRef>
          </c:val>
          <c:smooth val="0"/>
          <c:extLst>
            <c:ext xmlns:c16="http://schemas.microsoft.com/office/drawing/2014/chart" uri="{C3380CC4-5D6E-409C-BE32-E72D297353CC}">
              <c16:uniqueId val="{00000060-F840-4D5C-B8F5-CBE0E3B9B154}"/>
            </c:ext>
          </c:extLst>
        </c:ser>
        <c:ser>
          <c:idx val="6"/>
          <c:order val="6"/>
          <c:tx>
            <c:v>ΔØ %</c:v>
          </c:tx>
          <c:spPr>
            <a:ln w="38100">
              <a:noFill/>
            </a:ln>
          </c:spPr>
          <c:marker>
            <c:symbol val="square"/>
            <c:size val="4"/>
            <c:spPr>
              <a:solidFill>
                <a:srgbClr val="404040"/>
              </a:solidFill>
              <a:ln>
                <a:solidFill>
                  <a:srgbClr val="404040"/>
                </a:solidFill>
                <a:prstDash val="solid"/>
              </a:ln>
            </c:spPr>
          </c:marker>
          <c:errBars>
            <c:errDir val="y"/>
            <c:errBarType val="minus"/>
            <c:errValType val="cust"/>
            <c:noEndCap val="1"/>
            <c:minus>
              <c:numRef>
                <c:f>'C13D'!$AO$53:$AO$106</c:f>
                <c:numCache>
                  <c:formatCode>General</c:formatCode>
                  <c:ptCount val="5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numCache>
              </c:numRef>
            </c:minus>
            <c:spPr>
              <a:ln w="15875">
                <a:solidFill>
                  <a:srgbClr val="8CB400"/>
                </a:solidFill>
              </a:ln>
            </c:spPr>
          </c:errBars>
          <c:cat>
            <c:strRef>
              <c:f>'C13D'!$Y$53:$Y$106</c:f>
              <c:strCache>
                <c:ptCount val="52"/>
                <c:pt idx="3">
                  <c:v>Jan</c:v>
                </c:pt>
                <c:pt idx="6">
                  <c:v>Apr</c:v>
                </c:pt>
                <c:pt idx="9">
                  <c:v>Jul</c:v>
                </c:pt>
                <c:pt idx="12">
                  <c:v>Oct</c:v>
                </c:pt>
                <c:pt idx="16">
                  <c:v>Jan</c:v>
                </c:pt>
                <c:pt idx="19">
                  <c:v>Apr</c:v>
                </c:pt>
                <c:pt idx="22">
                  <c:v>Jul</c:v>
                </c:pt>
                <c:pt idx="25">
                  <c:v>Oct</c:v>
                </c:pt>
                <c:pt idx="29">
                  <c:v>Jan</c:v>
                </c:pt>
                <c:pt idx="32">
                  <c:v>Apr</c:v>
                </c:pt>
                <c:pt idx="35">
                  <c:v>Jul</c:v>
                </c:pt>
                <c:pt idx="38">
                  <c:v>Oct</c:v>
                </c:pt>
                <c:pt idx="42">
                  <c:v>Jan</c:v>
                </c:pt>
                <c:pt idx="45">
                  <c:v>Apr</c:v>
                </c:pt>
                <c:pt idx="48">
                  <c:v>Jul</c:v>
                </c:pt>
                <c:pt idx="51">
                  <c:v>Oct</c:v>
                </c:pt>
              </c:strCache>
            </c:strRef>
          </c:cat>
          <c:val>
            <c:numRef>
              <c:f>'C13D'!$AF$53:$AF$106</c:f>
              <c:numCache>
                <c:formatCode>General</c:formatCode>
                <c:ptCount val="5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numCache>
            </c:numRef>
          </c:val>
          <c:smooth val="0"/>
          <c:extLst>
            <c:ext xmlns:c16="http://schemas.microsoft.com/office/drawing/2014/chart" uri="{C3380CC4-5D6E-409C-BE32-E72D297353CC}">
              <c16:uniqueId val="{00000091-F840-4D5C-B8F5-CBE0E3B9B154}"/>
            </c:ext>
          </c:extLst>
        </c:ser>
        <c:ser>
          <c:idx val="7"/>
          <c:order val="7"/>
          <c:tx>
            <c:v> </c:v>
          </c:tx>
          <c:spPr>
            <a:ln w="38100">
              <a:noFill/>
            </a:ln>
          </c:spPr>
          <c:marker>
            <c:symbol val="square"/>
            <c:size val="4"/>
            <c:spPr>
              <a:solidFill>
                <a:srgbClr val="404040"/>
              </a:solidFill>
              <a:ln>
                <a:solidFill>
                  <a:srgbClr val="404040"/>
                </a:solidFill>
                <a:prstDash val="solid"/>
              </a:ln>
            </c:spPr>
          </c:marker>
          <c:dLbls>
            <c:dLbl>
              <c:idx val="3"/>
              <c:tx>
                <c:strRef>
                  <c:f>'C13D'!$AY$56</c:f>
                  <c:strCache>
                    <c:ptCount val="1"/>
                    <c:pt idx="0">
                      <c:v>-57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{5284D9D2-F5FB-4223-9690-994BC79B4FF6}</c15:txfldGUID>
                      <c15:f>'C13D'!$AY$56</c15:f>
                      <c15:dlblFieldTableCache>
                        <c:ptCount val="1"/>
                        <c:pt idx="0">
                          <c:v>-57</c:v>
                        </c:pt>
                      </c15:dlblFieldTableCache>
                    </c15:dlblFTEntry>
                  </c15:dlblFieldTable>
                  <c15:showDataLabelsRange val="0"/>
                </c:ext>
                <c:ext xmlns:c16="http://schemas.microsoft.com/office/drawing/2014/chart" uri="{C3380CC4-5D6E-409C-BE32-E72D297353CC}">
                  <c16:uniqueId val="{00000093-F840-4D5C-B8F5-CBE0E3B9B154}"/>
                </c:ext>
              </c:extLst>
            </c:dLbl>
            <c:dLbl>
              <c:idx val="4"/>
              <c:tx>
                <c:strRef>
                  <c:f>'C13D'!$AY$57</c:f>
                  <c:strCache>
                    <c:ptCount val="1"/>
                    <c:pt idx="0">
                      <c:v>-59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{0372D129-0ADF-466D-91AA-0BE1D7492219}</c15:txfldGUID>
                      <c15:f>'C13D'!$AY$57</c15:f>
                      <c15:dlblFieldTableCache>
                        <c:ptCount val="1"/>
                        <c:pt idx="0">
                          <c:v>-59</c:v>
                        </c:pt>
                      </c15:dlblFieldTableCache>
                    </c15:dlblFTEntry>
                  </c15:dlblFieldTable>
                  <c15:showDataLabelsRange val="0"/>
                </c:ext>
                <c:ext xmlns:c16="http://schemas.microsoft.com/office/drawing/2014/chart" uri="{C3380CC4-5D6E-409C-BE32-E72D297353CC}">
                  <c16:uniqueId val="{00000094-F840-4D5C-B8F5-CBE0E3B9B154}"/>
                </c:ext>
              </c:extLst>
            </c:dLbl>
            <c:dLbl>
              <c:idx val="5"/>
              <c:tx>
                <c:strRef>
                  <c:f>'C13D'!$AY$58</c:f>
                  <c:strCache>
                    <c:ptCount val="1"/>
                    <c:pt idx="0">
                      <c:v>-62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{7EDF2EB9-83A0-4F57-B76D-897EAD198E23}</c15:txfldGUID>
                      <c15:f>'C13D'!$AY$58</c15:f>
                      <c15:dlblFieldTableCache>
                        <c:ptCount val="1"/>
                        <c:pt idx="0">
                          <c:v>-62</c:v>
                        </c:pt>
                      </c15:dlblFieldTableCache>
                    </c15:dlblFTEntry>
                  </c15:dlblFieldTable>
                  <c15:showDataLabelsRange val="0"/>
                </c:ext>
                <c:ext xmlns:c16="http://schemas.microsoft.com/office/drawing/2014/chart" uri="{C3380CC4-5D6E-409C-BE32-E72D297353CC}">
                  <c16:uniqueId val="{00000095-F840-4D5C-B8F5-CBE0E3B9B154}"/>
                </c:ext>
              </c:extLst>
            </c:dLbl>
            <c:dLbl>
              <c:idx val="6"/>
              <c:tx>
                <c:strRef>
                  <c:f>'C13D'!$AY$59</c:f>
                  <c:strCache>
                    <c:ptCount val="1"/>
                    <c:pt idx="0">
                      <c:v>-56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{DA5A1D68-1FDA-45DF-AAF9-397E746E8301}</c15:txfldGUID>
                      <c15:f>'C13D'!$AY$59</c15:f>
                      <c15:dlblFieldTableCache>
                        <c:ptCount val="1"/>
                        <c:pt idx="0">
                          <c:v>-56</c:v>
                        </c:pt>
                      </c15:dlblFieldTableCache>
                    </c15:dlblFTEntry>
                  </c15:dlblFieldTable>
                  <c15:showDataLabelsRange val="0"/>
                </c:ext>
                <c:ext xmlns:c16="http://schemas.microsoft.com/office/drawing/2014/chart" uri="{C3380CC4-5D6E-409C-BE32-E72D297353CC}">
                  <c16:uniqueId val="{00000096-F840-4D5C-B8F5-CBE0E3B9B154}"/>
                </c:ext>
              </c:extLst>
            </c:dLbl>
            <c:dLbl>
              <c:idx val="7"/>
              <c:tx>
                <c:strRef>
                  <c:f>'C13D'!$AY$60</c:f>
                  <c:strCache>
                    <c:ptCount val="1"/>
                    <c:pt idx="0">
                      <c:v>-60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{2D4905CD-8E6C-43AC-AF16-9B906618E333}</c15:txfldGUID>
                      <c15:f>'C13D'!$AY$60</c15:f>
                      <c15:dlblFieldTableCache>
                        <c:ptCount val="1"/>
                        <c:pt idx="0">
                          <c:v>-60</c:v>
                        </c:pt>
                      </c15:dlblFieldTableCache>
                    </c15:dlblFTEntry>
                  </c15:dlblFieldTable>
                  <c15:showDataLabelsRange val="0"/>
                </c:ext>
                <c:ext xmlns:c16="http://schemas.microsoft.com/office/drawing/2014/chart" uri="{C3380CC4-5D6E-409C-BE32-E72D297353CC}">
                  <c16:uniqueId val="{00000097-F840-4D5C-B8F5-CBE0E3B9B154}"/>
                </c:ext>
              </c:extLst>
            </c:dLbl>
            <c:dLbl>
              <c:idx val="8"/>
              <c:tx>
                <c:strRef>
                  <c:f>'C13D'!$AY$61</c:f>
                  <c:strCache>
                    <c:ptCount val="1"/>
                    <c:pt idx="0">
                      <c:v>-60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{58485045-7C32-4264-AA93-AD6F7ACE8B86}</c15:txfldGUID>
                      <c15:f>'C13D'!$AY$61</c15:f>
                      <c15:dlblFieldTableCache>
                        <c:ptCount val="1"/>
                        <c:pt idx="0">
                          <c:v>-60</c:v>
                        </c:pt>
                      </c15:dlblFieldTableCache>
                    </c15:dlblFTEntry>
                  </c15:dlblFieldTable>
                  <c15:showDataLabelsRange val="0"/>
                </c:ext>
                <c:ext xmlns:c16="http://schemas.microsoft.com/office/drawing/2014/chart" uri="{C3380CC4-5D6E-409C-BE32-E72D297353CC}">
                  <c16:uniqueId val="{00000098-F840-4D5C-B8F5-CBE0E3B9B154}"/>
                </c:ext>
              </c:extLst>
            </c:dLbl>
            <c:dLbl>
              <c:idx val="9"/>
              <c:tx>
                <c:strRef>
                  <c:f>'C13D'!$AY$62</c:f>
                  <c:strCache>
                    <c:ptCount val="1"/>
                    <c:pt idx="0">
                      <c:v>-58</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{C6F5DD01-B79E-44C2-A1EA-61D144ACD09B}</c15:txfldGUID>
                      <c15:f>'C13D'!$AY$62</c15:f>
                      <c15:dlblFieldTableCache>
                        <c:ptCount val="1"/>
                        <c:pt idx="0">
                          <c:v>-58</c:v>
                        </c:pt>
                      </c15:dlblFieldTableCache>
                    </c15:dlblFTEntry>
                  </c15:dlblFieldTable>
                  <c15:showDataLabelsRange val="0"/>
                </c:ext>
                <c:ext xmlns:c16="http://schemas.microsoft.com/office/drawing/2014/chart" uri="{C3380CC4-5D6E-409C-BE32-E72D297353CC}">
                  <c16:uniqueId val="{00000099-F840-4D5C-B8F5-CBE0E3B9B154}"/>
                </c:ext>
              </c:extLst>
            </c:dLbl>
            <c:dLbl>
              <c:idx val="10"/>
              <c:tx>
                <c:strRef>
                  <c:f>'C13D'!$AY$63</c:f>
                  <c:strCache>
                    <c:ptCount val="1"/>
                    <c:pt idx="0">
                      <c:v>-61</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{0F4C7D04-7A04-4221-B528-72A4D4656285}</c15:txfldGUID>
                      <c15:f>'C13D'!$AY$63</c15:f>
                      <c15:dlblFieldTableCache>
                        <c:ptCount val="1"/>
                        <c:pt idx="0">
                          <c:v>-61</c:v>
                        </c:pt>
                      </c15:dlblFieldTableCache>
                    </c15:dlblFTEntry>
                  </c15:dlblFieldTable>
                  <c15:showDataLabelsRange val="0"/>
                </c:ext>
                <c:ext xmlns:c16="http://schemas.microsoft.com/office/drawing/2014/chart" uri="{C3380CC4-5D6E-409C-BE32-E72D297353CC}">
                  <c16:uniqueId val="{0000009A-F840-4D5C-B8F5-CBE0E3B9B154}"/>
                </c:ext>
              </c:extLst>
            </c:dLbl>
            <c:dLbl>
              <c:idx val="11"/>
              <c:tx>
                <c:strRef>
                  <c:f>'C13D'!$AY$64</c:f>
                  <c:strCache>
                    <c:ptCount val="1"/>
                    <c:pt idx="0">
                      <c:v>-63</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{22FC0A51-6875-45D1-B8AD-C8E31A171992}</c15:txfldGUID>
                      <c15:f>'C13D'!$AY$64</c15:f>
                      <c15:dlblFieldTableCache>
                        <c:ptCount val="1"/>
                        <c:pt idx="0">
                          <c:v>-63</c:v>
                        </c:pt>
                      </c15:dlblFieldTableCache>
                    </c15:dlblFTEntry>
                  </c15:dlblFieldTable>
                  <c15:showDataLabelsRange val="0"/>
                </c:ext>
                <c:ext xmlns:c16="http://schemas.microsoft.com/office/drawing/2014/chart" uri="{C3380CC4-5D6E-409C-BE32-E72D297353CC}">
                  <c16:uniqueId val="{0000009B-F840-4D5C-B8F5-CBE0E3B9B154}"/>
                </c:ext>
              </c:extLst>
            </c:dLbl>
            <c:dLbl>
              <c:idx val="12"/>
              <c:tx>
                <c:strRef>
                  <c:f>'C13D'!$AY$65</c:f>
                  <c:strCache>
                    <c:ptCount val="1"/>
                    <c:pt idx="0">
                      <c:v>-59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{A908CC6B-6513-42F1-97C1-1E4ABF67A8B1}</c15:txfldGUID>
                      <c15:f>'C13D'!$AY$65</c15:f>
                      <c15:dlblFieldTableCache>
                        <c:ptCount val="1"/>
                        <c:pt idx="0">
                          <c:v>-59</c:v>
                        </c:pt>
                      </c15:dlblFieldTableCache>
                    </c15:dlblFTEntry>
                  </c15:dlblFieldTable>
                  <c15:showDataLabelsRange val="0"/>
                </c:ext>
                <c:ext xmlns:c16="http://schemas.microsoft.com/office/drawing/2014/chart" uri="{C3380CC4-5D6E-409C-BE32-E72D297353CC}">
                  <c16:uniqueId val="{0000009C-F840-4D5C-B8F5-CBE0E3B9B154}"/>
                </c:ext>
              </c:extLst>
            </c:dLbl>
            <c:dLbl>
              <c:idx val="13"/>
              <c:tx>
                <c:strRef>
                  <c:f>'C13D'!$AY$66</c:f>
                  <c:strCache>
                    <c:ptCount val="1"/>
                    <c:pt idx="0">
                      <c:v>-61</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{10E9ABE9-8401-47C8-BCDF-F8C450569278}</c15:txfldGUID>
                      <c15:f>'C13D'!$AY$66</c15:f>
                      <c15:dlblFieldTableCache>
                        <c:ptCount val="1"/>
                        <c:pt idx="0">
                          <c:v>-61</c:v>
                        </c:pt>
                      </c15:dlblFieldTableCache>
                    </c15:dlblFTEntry>
                  </c15:dlblFieldTable>
                  <c15:showDataLabelsRange val="0"/>
                </c:ext>
                <c:ext xmlns:c16="http://schemas.microsoft.com/office/drawing/2014/chart" uri="{C3380CC4-5D6E-409C-BE32-E72D297353CC}">
                  <c16:uniqueId val="{0000009D-F840-4D5C-B8F5-CBE0E3B9B154}"/>
                </c:ext>
              </c:extLst>
            </c:dLbl>
            <c:dLbl>
              <c:idx val="14"/>
              <c:tx>
                <c:strRef>
                  <c:f>'C13D'!$AY$67</c:f>
                  <c:strCache>
                    <c:ptCount val="1"/>
                    <c:pt idx="0">
                      <c:v>-64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{07257E4A-4975-4D62-9741-D1B4706C7F7B}</c15:txfldGUID>
                      <c15:f>'C13D'!$AY$67</c15:f>
                      <c15:dlblFieldTableCache>
                        <c:ptCount val="1"/>
                        <c:pt idx="0">
                          <c:v>-64</c:v>
                        </c:pt>
                      </c15:dlblFieldTableCache>
                    </c15:dlblFTEntry>
                  </c15:dlblFieldTable>
                  <c15:showDataLabelsRange val="0"/>
                </c:ext>
                <c:ext xmlns:c16="http://schemas.microsoft.com/office/drawing/2014/chart" uri="{C3380CC4-5D6E-409C-BE32-E72D297353CC}">
                  <c16:uniqueId val="{0000009E-F840-4D5C-B8F5-CBE0E3B9B154}"/>
                </c:ext>
              </c:extLst>
            </c:dLbl>
            <c:dLbl>
              <c:idx val="16"/>
              <c:tx>
                <c:strRef>
                  <c:f>'C13D'!$AY$69</c:f>
                  <c:strCache>
                    <c:ptCount val="1"/>
                    <c:pt idx="0">
                      <c:v>-54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{4D90AABD-C5B7-4909-8E99-C328FD814E8A}</c15:txfldGUID>
                      <c15:f>'C13D'!$AY$69</c15:f>
                      <c15:dlblFieldTableCache>
                        <c:ptCount val="1"/>
                        <c:pt idx="0">
                          <c:v>-54</c:v>
                        </c:pt>
                      </c15:dlblFieldTableCache>
                    </c15:dlblFTEntry>
                  </c15:dlblFieldTable>
                  <c15:showDataLabelsRange val="0"/>
                </c:ext>
                <c:ext xmlns:c16="http://schemas.microsoft.com/office/drawing/2014/chart" uri="{C3380CC4-5D6E-409C-BE32-E72D297353CC}">
                  <c16:uniqueId val="{0000009F-F840-4D5C-B8F5-CBE0E3B9B154}"/>
                </c:ext>
              </c:extLst>
            </c:dLbl>
            <c:dLbl>
              <c:idx val="17"/>
              <c:tx>
                <c:strRef>
                  <c:f>'C13D'!$AY$70</c:f>
                  <c:strCache>
                    <c:ptCount val="1"/>
                    <c:pt idx="0">
                      <c:v>-57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{23EC4A82-8498-4173-8BB5-252326545E04}</c15:txfldGUID>
                      <c15:f>'C13D'!$AY$70</c15:f>
                      <c15:dlblFieldTableCache>
                        <c:ptCount val="1"/>
                        <c:pt idx="0">
                          <c:v>-57</c:v>
                        </c:pt>
                      </c15:dlblFieldTableCache>
                    </c15:dlblFTEntry>
                  </c15:dlblFieldTable>
                  <c15:showDataLabelsRange val="0"/>
                </c:ext>
                <c:ext xmlns:c16="http://schemas.microsoft.com/office/drawing/2014/chart" uri="{C3380CC4-5D6E-409C-BE32-E72D297353CC}">
                  <c16:uniqueId val="{000000A0-F840-4D5C-B8F5-CBE0E3B9B154}"/>
                </c:ext>
              </c:extLst>
            </c:dLbl>
            <c:dLbl>
              <c:idx val="18"/>
              <c:tx>
                <c:strRef>
                  <c:f>'C13D'!$AY$71</c:f>
                  <c:strCache>
                    <c:ptCount val="1"/>
                    <c:pt idx="0">
                      <c:v>-59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{DBA4AF57-5B85-4A14-BB3B-96B2FD164626}</c15:txfldGUID>
                      <c15:f>'C13D'!$AY$71</c15:f>
                      <c15:dlblFieldTableCache>
                        <c:ptCount val="1"/>
                        <c:pt idx="0">
                          <c:v>-59</c:v>
                        </c:pt>
                      </c15:dlblFieldTableCache>
                    </c15:dlblFTEntry>
                  </c15:dlblFieldTable>
                  <c15:showDataLabelsRange val="0"/>
                </c:ext>
                <c:ext xmlns:c16="http://schemas.microsoft.com/office/drawing/2014/chart" uri="{C3380CC4-5D6E-409C-BE32-E72D297353CC}">
                  <c16:uniqueId val="{000000A1-F840-4D5C-B8F5-CBE0E3B9B154}"/>
                </c:ext>
              </c:extLst>
            </c:dLbl>
            <c:dLbl>
              <c:idx val="19"/>
              <c:tx>
                <c:strRef>
                  <c:f>'C13D'!$AY$72</c:f>
                  <c:strCache>
                    <c:ptCount val="1"/>
                    <c:pt idx="0">
                      <c:v>-53</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{26220DB3-52F9-473C-98C6-F8CD3E2FE20E}</c15:txfldGUID>
                      <c15:f>'C13D'!$AY$72</c15:f>
                      <c15:dlblFieldTableCache>
                        <c:ptCount val="1"/>
                        <c:pt idx="0">
                          <c:v>-53</c:v>
                        </c:pt>
                      </c15:dlblFieldTableCache>
                    </c15:dlblFTEntry>
                  </c15:dlblFieldTable>
                  <c15:showDataLabelsRange val="0"/>
                </c:ext>
                <c:ext xmlns:c16="http://schemas.microsoft.com/office/drawing/2014/chart" uri="{C3380CC4-5D6E-409C-BE32-E72D297353CC}">
                  <c16:uniqueId val="{000000A2-F840-4D5C-B8F5-CBE0E3B9B154}"/>
                </c:ext>
              </c:extLst>
            </c:dLbl>
            <c:dLbl>
              <c:idx val="20"/>
              <c:tx>
                <c:strRef>
                  <c:f>'C13D'!$AY$73</c:f>
                  <c:strCache>
                    <c:ptCount val="1"/>
                    <c:pt idx="0">
                      <c:v>-57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{4B63284E-EA0A-48D4-92A2-2AB788BC6833}</c15:txfldGUID>
                      <c15:f>'C13D'!$AY$73</c15:f>
                      <c15:dlblFieldTableCache>
                        <c:ptCount val="1"/>
                        <c:pt idx="0">
                          <c:v>-57</c:v>
                        </c:pt>
                      </c15:dlblFieldTableCache>
                    </c15:dlblFTEntry>
                  </c15:dlblFieldTable>
                  <c15:showDataLabelsRange val="0"/>
                </c:ext>
                <c:ext xmlns:c16="http://schemas.microsoft.com/office/drawing/2014/chart" uri="{C3380CC4-5D6E-409C-BE32-E72D297353CC}">
                  <c16:uniqueId val="{000000A3-F840-4D5C-B8F5-CBE0E3B9B154}"/>
                </c:ext>
              </c:extLst>
            </c:dLbl>
            <c:dLbl>
              <c:idx val="21"/>
              <c:tx>
                <c:strRef>
                  <c:f>'C13D'!$AY$74</c:f>
                  <c:strCache>
                    <c:ptCount val="1"/>
                    <c:pt idx="0">
                      <c:v>-57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{62B48F85-86A4-4F6D-8E1E-22EAD9A9DD71}</c15:txfldGUID>
                      <c15:f>'C13D'!$AY$74</c15:f>
                      <c15:dlblFieldTableCache>
                        <c:ptCount val="1"/>
                        <c:pt idx="0">
                          <c:v>-57</c:v>
                        </c:pt>
                      </c15:dlblFieldTableCache>
                    </c15:dlblFTEntry>
                  </c15:dlblFieldTable>
                  <c15:showDataLabelsRange val="0"/>
                </c:ext>
                <c:ext xmlns:c16="http://schemas.microsoft.com/office/drawing/2014/chart" uri="{C3380CC4-5D6E-409C-BE32-E72D297353CC}">
                  <c16:uniqueId val="{000000A4-F840-4D5C-B8F5-CBE0E3B9B154}"/>
                </c:ext>
              </c:extLst>
            </c:dLbl>
            <c:dLbl>
              <c:idx val="22"/>
              <c:tx>
                <c:strRef>
                  <c:f>'C13D'!$AY$75</c:f>
                  <c:strCache>
                    <c:ptCount val="1"/>
                    <c:pt idx="0">
                      <c:v>-54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{BF0598AC-0D2A-4E84-8601-98A5808A027E}</c15:txfldGUID>
                      <c15:f>'C13D'!$AY$75</c15:f>
                      <c15:dlblFieldTableCache>
                        <c:ptCount val="1"/>
                        <c:pt idx="0">
                          <c:v>-54</c:v>
                        </c:pt>
                      </c15:dlblFieldTableCache>
                    </c15:dlblFTEntry>
                  </c15:dlblFieldTable>
                  <c15:showDataLabelsRange val="0"/>
                </c:ext>
                <c:ext xmlns:c16="http://schemas.microsoft.com/office/drawing/2014/chart" uri="{C3380CC4-5D6E-409C-BE32-E72D297353CC}">
                  <c16:uniqueId val="{000000A5-F840-4D5C-B8F5-CBE0E3B9B154}"/>
                </c:ext>
              </c:extLst>
            </c:dLbl>
            <c:dLbl>
              <c:idx val="23"/>
              <c:tx>
                <c:strRef>
                  <c:f>'C13D'!$AY$76</c:f>
                  <c:strCache>
                    <c:ptCount val="1"/>
                    <c:pt idx="0">
                      <c:v>-59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{FF5E7AEF-D3E0-4213-B989-FEA0FC3DDB0B}</c15:txfldGUID>
                      <c15:f>'C13D'!$AY$76</c15:f>
                      <c15:dlblFieldTableCache>
                        <c:ptCount val="1"/>
                        <c:pt idx="0">
                          <c:v>-59</c:v>
                        </c:pt>
                      </c15:dlblFieldTableCache>
                    </c15:dlblFTEntry>
                  </c15:dlblFieldTable>
                  <c15:showDataLabelsRange val="0"/>
                </c:ext>
                <c:ext xmlns:c16="http://schemas.microsoft.com/office/drawing/2014/chart" uri="{C3380CC4-5D6E-409C-BE32-E72D297353CC}">
                  <c16:uniqueId val="{000000A6-F840-4D5C-B8F5-CBE0E3B9B154}"/>
                </c:ext>
              </c:extLst>
            </c:dLbl>
            <c:dLbl>
              <c:idx val="24"/>
              <c:tx>
                <c:strRef>
                  <c:f>'C13D'!$AY$77</c:f>
                  <c:strCache>
                    <c:ptCount val="1"/>
                    <c:pt idx="0">
                      <c:v>-58</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{4E34C1BB-5915-47B9-AB9A-DC89B250CBFA}</c15:txfldGUID>
                      <c15:f>'C13D'!$AY$77</c15:f>
                      <c15:dlblFieldTableCache>
                        <c:ptCount val="1"/>
                        <c:pt idx="0">
                          <c:v>-58</c:v>
                        </c:pt>
                      </c15:dlblFieldTableCache>
                    </c15:dlblFTEntry>
                  </c15:dlblFieldTable>
                  <c15:showDataLabelsRange val="0"/>
                </c:ext>
                <c:ext xmlns:c16="http://schemas.microsoft.com/office/drawing/2014/chart" uri="{C3380CC4-5D6E-409C-BE32-E72D297353CC}">
                  <c16:uniqueId val="{000000A7-F840-4D5C-B8F5-CBE0E3B9B154}"/>
                </c:ext>
              </c:extLst>
            </c:dLbl>
            <c:dLbl>
              <c:idx val="25"/>
              <c:tx>
                <c:strRef>
                  <c:f>'C13D'!$AY$78</c:f>
                  <c:strCache>
                    <c:ptCount val="1"/>
                    <c:pt idx="0">
                      <c:v>-55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{EBCBC4D2-AF69-4C23-8609-31E6AB26ADC0}</c15:txfldGUID>
                      <c15:f>'C13D'!$AY$78</c15:f>
                      <c15:dlblFieldTableCache>
                        <c:ptCount val="1"/>
                        <c:pt idx="0">
                          <c:v>-55</c:v>
                        </c:pt>
                      </c15:dlblFieldTableCache>
                    </c15:dlblFTEntry>
                  </c15:dlblFieldTable>
                  <c15:showDataLabelsRange val="0"/>
                </c:ext>
                <c:ext xmlns:c16="http://schemas.microsoft.com/office/drawing/2014/chart" uri="{C3380CC4-5D6E-409C-BE32-E72D297353CC}">
                  <c16:uniqueId val="{000000A8-F840-4D5C-B8F5-CBE0E3B9B154}"/>
                </c:ext>
              </c:extLst>
            </c:dLbl>
            <c:dLbl>
              <c:idx val="26"/>
              <c:tx>
                <c:strRef>
                  <c:f>'C13D'!$AY$79</c:f>
                  <c:strCache>
                    <c:ptCount val="1"/>
                    <c:pt idx="0">
                      <c:v>-59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{CED6F106-85E1-46AF-97AB-5FA59683A9BF}</c15:txfldGUID>
                      <c15:f>'C13D'!$AY$79</c15:f>
                      <c15:dlblFieldTableCache>
                        <c:ptCount val="1"/>
                        <c:pt idx="0">
                          <c:v>-59</c:v>
                        </c:pt>
                      </c15:dlblFieldTableCache>
                    </c15:dlblFTEntry>
                  </c15:dlblFieldTable>
                  <c15:showDataLabelsRange val="0"/>
                </c:ext>
                <c:ext xmlns:c16="http://schemas.microsoft.com/office/drawing/2014/chart" uri="{C3380CC4-5D6E-409C-BE32-E72D297353CC}">
                  <c16:uniqueId val="{000000A9-F840-4D5C-B8F5-CBE0E3B9B154}"/>
                </c:ext>
              </c:extLst>
            </c:dLbl>
            <c:dLbl>
              <c:idx val="27"/>
              <c:tx>
                <c:strRef>
                  <c:f>'C13D'!$AY$80</c:f>
                  <c:strCache>
                    <c:ptCount val="1"/>
                    <c:pt idx="0">
                      <c:v>-60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{31B27D24-AD79-4408-8142-7858AFAB81BC}</c15:txfldGUID>
                      <c15:f>'C13D'!$AY$80</c15:f>
                      <c15:dlblFieldTableCache>
                        <c:ptCount val="1"/>
                        <c:pt idx="0">
                          <c:v>-60</c:v>
                        </c:pt>
                      </c15:dlblFieldTableCache>
                    </c15:dlblFTEntry>
                  </c15:dlblFieldTable>
                  <c15:showDataLabelsRange val="0"/>
                </c:ext>
                <c:ext xmlns:c16="http://schemas.microsoft.com/office/drawing/2014/chart" uri="{C3380CC4-5D6E-409C-BE32-E72D297353CC}">
                  <c16:uniqueId val="{000000AA-F840-4D5C-B8F5-CBE0E3B9B154}"/>
                </c:ext>
              </c:extLst>
            </c:dLbl>
            <c:dLbl>
              <c:idx val="29"/>
              <c:tx>
                <c:strRef>
                  <c:f>'C13D'!$AY$82</c:f>
                  <c:strCache>
                    <c:ptCount val="1"/>
                    <c:pt idx="0">
                      <c:v>-51</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{917EF346-0676-4044-A10C-B6DC0BBE5EBA}</c15:txfldGUID>
                      <c15:f>'C13D'!$AY$82</c15:f>
                      <c15:dlblFieldTableCache>
                        <c:ptCount val="1"/>
                        <c:pt idx="0">
                          <c:v>-51</c:v>
                        </c:pt>
                      </c15:dlblFieldTableCache>
                    </c15:dlblFTEntry>
                  </c15:dlblFieldTable>
                  <c15:showDataLabelsRange val="0"/>
                </c:ext>
                <c:ext xmlns:c16="http://schemas.microsoft.com/office/drawing/2014/chart" uri="{C3380CC4-5D6E-409C-BE32-E72D297353CC}">
                  <c16:uniqueId val="{000000AB-F840-4D5C-B8F5-CBE0E3B9B154}"/>
                </c:ext>
              </c:extLst>
            </c:dLbl>
            <c:dLbl>
              <c:idx val="30"/>
              <c:tx>
                <c:strRef>
                  <c:f>'C13D'!$AY$83</c:f>
                  <c:strCache>
                    <c:ptCount val="1"/>
                    <c:pt idx="0">
                      <c:v>-53</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{1A8F0EDA-1C9F-4D05-AB3F-4A5A128689FA}</c15:txfldGUID>
                      <c15:f>'C13D'!$AY$83</c15:f>
                      <c15:dlblFieldTableCache>
                        <c:ptCount val="1"/>
                        <c:pt idx="0">
                          <c:v>-53</c:v>
                        </c:pt>
                      </c15:dlblFieldTableCache>
                    </c15:dlblFTEntry>
                  </c15:dlblFieldTable>
                  <c15:showDataLabelsRange val="0"/>
                </c:ext>
                <c:ext xmlns:c16="http://schemas.microsoft.com/office/drawing/2014/chart" uri="{C3380CC4-5D6E-409C-BE32-E72D297353CC}">
                  <c16:uniqueId val="{000000AC-F840-4D5C-B8F5-CBE0E3B9B154}"/>
                </c:ext>
              </c:extLst>
            </c:dLbl>
            <c:dLbl>
              <c:idx val="31"/>
              <c:tx>
                <c:strRef>
                  <c:f>'C13D'!$AY$84</c:f>
                  <c:strCache>
                    <c:ptCount val="1"/>
                    <c:pt idx="0">
                      <c:v>-56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{08C4DD49-E48C-42A7-A0F0-611EC7BD579D}</c15:txfldGUID>
                      <c15:f>'C13D'!$AY$84</c15:f>
                      <c15:dlblFieldTableCache>
                        <c:ptCount val="1"/>
                        <c:pt idx="0">
                          <c:v>-56</c:v>
                        </c:pt>
                      </c15:dlblFieldTableCache>
                    </c15:dlblFTEntry>
                  </c15:dlblFieldTable>
                  <c15:showDataLabelsRange val="0"/>
                </c:ext>
                <c:ext xmlns:c16="http://schemas.microsoft.com/office/drawing/2014/chart" uri="{C3380CC4-5D6E-409C-BE32-E72D297353CC}">
                  <c16:uniqueId val="{000000AD-F840-4D5C-B8F5-CBE0E3B9B154}"/>
                </c:ext>
              </c:extLst>
            </c:dLbl>
            <c:dLbl>
              <c:idx val="32"/>
              <c:tx>
                <c:strRef>
                  <c:f>'C13D'!$AY$85</c:f>
                  <c:strCache>
                    <c:ptCount val="1"/>
                    <c:pt idx="0">
                      <c:v>-50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{D460A4AA-ED39-4E95-A16E-9A7FC24F9C7F}</c15:txfldGUID>
                      <c15:f>'C13D'!$AY$85</c15:f>
                      <c15:dlblFieldTableCache>
                        <c:ptCount val="1"/>
                        <c:pt idx="0">
                          <c:v>-50</c:v>
                        </c:pt>
                      </c15:dlblFieldTableCache>
                    </c15:dlblFTEntry>
                  </c15:dlblFieldTable>
                  <c15:showDataLabelsRange val="0"/>
                </c:ext>
                <c:ext xmlns:c16="http://schemas.microsoft.com/office/drawing/2014/chart" uri="{C3380CC4-5D6E-409C-BE32-E72D297353CC}">
                  <c16:uniqueId val="{000000AE-F840-4D5C-B8F5-CBE0E3B9B154}"/>
                </c:ext>
              </c:extLst>
            </c:dLbl>
            <c:dLbl>
              <c:idx val="33"/>
              <c:tx>
                <c:strRef>
                  <c:f>'C13D'!$AY$86</c:f>
                  <c:strCache>
                    <c:ptCount val="1"/>
                    <c:pt idx="0">
                      <c:v>-55</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{6CFCE9A4-4E94-4CE6-81E9-67C647BFEFEF}</c15:txfldGUID>
                      <c15:f>'C13D'!$AY$86</c15:f>
                      <c15:dlblFieldTableCache>
                        <c:ptCount val="1"/>
                        <c:pt idx="0">
                          <c:v>-55</c:v>
                        </c:pt>
                      </c15:dlblFieldTableCache>
                    </c15:dlblFTEntry>
                  </c15:dlblFieldTable>
                  <c15:showDataLabelsRange val="0"/>
                </c:ext>
                <c:ext xmlns:c16="http://schemas.microsoft.com/office/drawing/2014/chart" uri="{C3380CC4-5D6E-409C-BE32-E72D297353CC}">
                  <c16:uniqueId val="{000000AF-F840-4D5C-B8F5-CBE0E3B9B154}"/>
                </c:ext>
              </c:extLst>
            </c:dLbl>
            <c:dLbl>
              <c:idx val="34"/>
              <c:tx>
                <c:strRef>
                  <c:f>'C13D'!$AY$87</c:f>
                  <c:strCache>
                    <c:ptCount val="1"/>
                    <c:pt idx="0">
                      <c:v>-54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{6F7683C2-CF0F-430B-8955-BD2B27D25BD1}</c15:txfldGUID>
                      <c15:f>'C13D'!$AY$87</c15:f>
                      <c15:dlblFieldTableCache>
                        <c:ptCount val="1"/>
                        <c:pt idx="0">
                          <c:v>-54</c:v>
                        </c:pt>
                      </c15:dlblFieldTableCache>
                    </c15:dlblFTEntry>
                  </c15:dlblFieldTable>
                  <c15:showDataLabelsRange val="0"/>
                </c:ext>
                <c:ext xmlns:c16="http://schemas.microsoft.com/office/drawing/2014/chart" uri="{C3380CC4-5D6E-409C-BE32-E72D297353CC}">
                  <c16:uniqueId val="{000000B0-F840-4D5C-B8F5-CBE0E3B9B154}"/>
                </c:ext>
              </c:extLst>
            </c:dLbl>
            <c:dLbl>
              <c:idx val="35"/>
              <c:tx>
                <c:strRef>
                  <c:f>'C13D'!$AY$88</c:f>
                  <c:strCache>
                    <c:ptCount val="1"/>
                    <c:pt idx="0">
                      <c:v>-52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{DFF31149-403F-49BC-A7E3-B15F84A40997}</c15:txfldGUID>
                      <c15:f>'C13D'!$AY$88</c15:f>
                      <c15:dlblFieldTableCache>
                        <c:ptCount val="1"/>
                        <c:pt idx="0">
                          <c:v>-52</c:v>
                        </c:pt>
                      </c15:dlblFieldTableCache>
                    </c15:dlblFTEntry>
                  </c15:dlblFieldTable>
                  <c15:showDataLabelsRange val="0"/>
                </c:ext>
                <c:ext xmlns:c16="http://schemas.microsoft.com/office/drawing/2014/chart" uri="{C3380CC4-5D6E-409C-BE32-E72D297353CC}">
                  <c16:uniqueId val="{000000B1-F840-4D5C-B8F5-CBE0E3B9B154}"/>
                </c:ext>
              </c:extLst>
            </c:dLbl>
            <c:dLbl>
              <c:idx val="36"/>
              <c:tx>
                <c:strRef>
                  <c:f>'C13D'!$AY$89</c:f>
                  <c:strCache>
                    <c:ptCount val="1"/>
                    <c:pt idx="0">
                      <c:v>-56</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{C5D07EDF-87B5-489A-85D3-35A3B4C751A4}</c15:txfldGUID>
                      <c15:f>'C13D'!$AY$89</c15:f>
                      <c15:dlblFieldTableCache>
                        <c:ptCount val="1"/>
                        <c:pt idx="0">
                          <c:v>-56</c:v>
                        </c:pt>
                      </c15:dlblFieldTableCache>
                    </c15:dlblFTEntry>
                  </c15:dlblFieldTable>
                  <c15:showDataLabelsRange val="0"/>
                </c:ext>
                <c:ext xmlns:c16="http://schemas.microsoft.com/office/drawing/2014/chart" uri="{C3380CC4-5D6E-409C-BE32-E72D297353CC}">
                  <c16:uniqueId val="{000000B2-F840-4D5C-B8F5-CBE0E3B9B154}"/>
                </c:ext>
              </c:extLst>
            </c:dLbl>
            <c:dLbl>
              <c:idx val="37"/>
              <c:tx>
                <c:strRef>
                  <c:f>'C13D'!$AY$90</c:f>
                  <c:strCache>
                    <c:ptCount val="1"/>
                    <c:pt idx="0">
                      <c:v>-57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{2FCEDDFA-7481-4FB4-8750-E0E99838CB26}</c15:txfldGUID>
                      <c15:f>'C13D'!$AY$90</c15:f>
                      <c15:dlblFieldTableCache>
                        <c:ptCount val="1"/>
                        <c:pt idx="0">
                          <c:v>-57</c:v>
                        </c:pt>
                      </c15:dlblFieldTableCache>
                    </c15:dlblFTEntry>
                  </c15:dlblFieldTable>
                  <c15:showDataLabelsRange val="0"/>
                </c:ext>
                <c:ext xmlns:c16="http://schemas.microsoft.com/office/drawing/2014/chart" uri="{C3380CC4-5D6E-409C-BE32-E72D297353CC}">
                  <c16:uniqueId val="{000000B3-F840-4D5C-B8F5-CBE0E3B9B154}"/>
                </c:ext>
              </c:extLst>
            </c:dLbl>
            <c:dLbl>
              <c:idx val="38"/>
              <c:tx>
                <c:strRef>
                  <c:f>'C13D'!$AY$91</c:f>
                  <c:strCache>
                    <c:ptCount val="1"/>
                    <c:pt idx="0">
                      <c:v>-53</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{6953542B-AF77-4E2B-A2D1-DC9EB1FE0F98}</c15:txfldGUID>
                      <c15:f>'C13D'!$AY$91</c15:f>
                      <c15:dlblFieldTableCache>
                        <c:ptCount val="1"/>
                        <c:pt idx="0">
                          <c:v>-53</c:v>
                        </c:pt>
                      </c15:dlblFieldTableCache>
                    </c15:dlblFTEntry>
                  </c15:dlblFieldTable>
                  <c15:showDataLabelsRange val="0"/>
                </c:ext>
                <c:ext xmlns:c16="http://schemas.microsoft.com/office/drawing/2014/chart" uri="{C3380CC4-5D6E-409C-BE32-E72D297353CC}">
                  <c16:uniqueId val="{000000B4-F840-4D5C-B8F5-CBE0E3B9B154}"/>
                </c:ext>
              </c:extLst>
            </c:dLbl>
            <c:dLbl>
              <c:idx val="39"/>
              <c:tx>
                <c:strRef>
                  <c:f>'C13D'!$AY$92</c:f>
                  <c:strCache>
                    <c:ptCount val="1"/>
                    <c:pt idx="0">
                      <c:v>-57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{75B908F1-C716-48A9-B258-93B8765ECA50}</c15:txfldGUID>
                      <c15:f>'C13D'!$AY$92</c15:f>
                      <c15:dlblFieldTableCache>
                        <c:ptCount val="1"/>
                        <c:pt idx="0">
                          <c:v>-57</c:v>
                        </c:pt>
                      </c15:dlblFieldTableCache>
                    </c15:dlblFTEntry>
                  </c15:dlblFieldTable>
                  <c15:showDataLabelsRange val="0"/>
                </c:ext>
                <c:ext xmlns:c16="http://schemas.microsoft.com/office/drawing/2014/chart" uri="{C3380CC4-5D6E-409C-BE32-E72D297353CC}">
                  <c16:uniqueId val="{000000B5-F840-4D5C-B8F5-CBE0E3B9B154}"/>
                </c:ext>
              </c:extLst>
            </c:dLbl>
            <c:dLbl>
              <c:idx val="40"/>
              <c:tx>
                <c:strRef>
                  <c:f>'C13D'!$AY$93</c:f>
                  <c:strCache>
                    <c:ptCount val="1"/>
                    <c:pt idx="0">
                      <c:v>-58</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{0FC6D837-6206-44B2-99E6-5C6C2847C951}</c15:txfldGUID>
                      <c15:f>'C13D'!$AY$93</c15:f>
                      <c15:dlblFieldTableCache>
                        <c:ptCount val="1"/>
                        <c:pt idx="0">
                          <c:v>-58</c:v>
                        </c:pt>
                      </c15:dlblFieldTableCache>
                    </c15:dlblFTEntry>
                  </c15:dlblFieldTable>
                  <c15:showDataLabelsRange val="0"/>
                </c:ext>
                <c:ext xmlns:c16="http://schemas.microsoft.com/office/drawing/2014/chart" uri="{C3380CC4-5D6E-409C-BE32-E72D297353CC}">
                  <c16:uniqueId val="{000000B6-F840-4D5C-B8F5-CBE0E3B9B154}"/>
                </c:ext>
              </c:extLst>
            </c:dLbl>
            <c:dLbl>
              <c:idx val="42"/>
              <c:tx>
                <c:strRef>
                  <c:f>'C13D'!$AY$95</c:f>
                  <c:strCache>
                    <c:ptCount val="1"/>
                    <c:pt idx="0">
                      <c:v>-50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{BC9F1AFE-F760-42C5-8F1C-6E4CDE358CFB}</c15:txfldGUID>
                      <c15:f>'C13D'!$AY$95</c15:f>
                      <c15:dlblFieldTableCache>
                        <c:ptCount val="1"/>
                        <c:pt idx="0">
                          <c:v>-50</c:v>
                        </c:pt>
                      </c15:dlblFieldTableCache>
                    </c15:dlblFTEntry>
                  </c15:dlblFieldTable>
                  <c15:showDataLabelsRange val="0"/>
                </c:ext>
                <c:ext xmlns:c16="http://schemas.microsoft.com/office/drawing/2014/chart" uri="{C3380CC4-5D6E-409C-BE32-E72D297353CC}">
                  <c16:uniqueId val="{000000B7-F840-4D5C-B8F5-CBE0E3B9B154}"/>
                </c:ext>
              </c:extLst>
            </c:dLbl>
            <c:dLbl>
              <c:idx val="43"/>
              <c:tx>
                <c:strRef>
                  <c:f>'C13D'!$AY$96</c:f>
                  <c:strCache>
                    <c:ptCount val="1"/>
                    <c:pt idx="0">
                      <c:v>-52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{C4CBCD51-07CA-4897-BEB4-02E36E3E0A7B}</c15:txfldGUID>
                      <c15:f>'C13D'!$AY$96</c15:f>
                      <c15:dlblFieldTableCache>
                        <c:ptCount val="1"/>
                        <c:pt idx="0">
                          <c:v>-52</c:v>
                        </c:pt>
                      </c15:dlblFieldTableCache>
                    </c15:dlblFTEntry>
                  </c15:dlblFieldTable>
                  <c15:showDataLabelsRange val="0"/>
                </c:ext>
                <c:ext xmlns:c16="http://schemas.microsoft.com/office/drawing/2014/chart" uri="{C3380CC4-5D6E-409C-BE32-E72D297353CC}">
                  <c16:uniqueId val="{000000B8-F840-4D5C-B8F5-CBE0E3B9B154}"/>
                </c:ext>
              </c:extLst>
            </c:dLbl>
            <c:dLbl>
              <c:idx val="44"/>
              <c:tx>
                <c:strRef>
                  <c:f>'C13D'!$AY$97</c:f>
                  <c:strCache>
                    <c:ptCount val="1"/>
                    <c:pt idx="0">
                      <c:v>-52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{62C0A408-618A-4055-A0C3-1B718F600AAD}</c15:txfldGUID>
                      <c15:f>'C13D'!$AY$97</c15:f>
                      <c15:dlblFieldTableCache>
                        <c:ptCount val="1"/>
                        <c:pt idx="0">
                          <c:v>-52</c:v>
                        </c:pt>
                      </c15:dlblFieldTableCache>
                    </c15:dlblFTEntry>
                  </c15:dlblFieldTable>
                  <c15:showDataLabelsRange val="0"/>
                </c:ext>
                <c:ext xmlns:c16="http://schemas.microsoft.com/office/drawing/2014/chart" uri="{C3380CC4-5D6E-409C-BE32-E72D297353CC}">
                  <c16:uniqueId val="{000000B9-F840-4D5C-B8F5-CBE0E3B9B154}"/>
                </c:ext>
              </c:extLst>
            </c:dLbl>
            <c:dLbl>
              <c:idx val="45"/>
              <c:tx>
                <c:strRef>
                  <c:f>'C13D'!$AY$98</c:f>
                  <c:strCache>
                    <c:ptCount val="1"/>
                    <c:pt idx="0">
                      <c:v>-47</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{BD903F96-D266-4763-966A-87EDF9FFD634}</c15:txfldGUID>
                      <c15:f>'C13D'!$AY$98</c15:f>
                      <c15:dlblFieldTableCache>
                        <c:ptCount val="1"/>
                        <c:pt idx="0">
                          <c:v>-47</c:v>
                        </c:pt>
                      </c15:dlblFieldTableCache>
                    </c15:dlblFTEntry>
                  </c15:dlblFieldTable>
                  <c15:showDataLabelsRange val="0"/>
                </c:ext>
                <c:ext xmlns:c16="http://schemas.microsoft.com/office/drawing/2014/chart" uri="{C3380CC4-5D6E-409C-BE32-E72D297353CC}">
                  <c16:uniqueId val="{000000BA-F840-4D5C-B8F5-CBE0E3B9B154}"/>
                </c:ext>
              </c:extLst>
            </c:dLbl>
            <c:dLbl>
              <c:idx val="46"/>
              <c:tx>
                <c:strRef>
                  <c:f>'C13D'!$AY$99</c:f>
                  <c:strCache>
                    <c:ptCount val="1"/>
                    <c:pt idx="0">
                      <c:v>-52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{F849F25F-5139-4FDD-AF8A-1B8FDF39207D}</c15:txfldGUID>
                      <c15:f>'C13D'!$AY$99</c15:f>
                      <c15:dlblFieldTableCache>
                        <c:ptCount val="1"/>
                        <c:pt idx="0">
                          <c:v>-52</c:v>
                        </c:pt>
                      </c15:dlblFieldTableCache>
                    </c15:dlblFTEntry>
                  </c15:dlblFieldTable>
                  <c15:showDataLabelsRange val="0"/>
                </c:ext>
                <c:ext xmlns:c16="http://schemas.microsoft.com/office/drawing/2014/chart" uri="{C3380CC4-5D6E-409C-BE32-E72D297353CC}">
                  <c16:uniqueId val="{000000BB-F840-4D5C-B8F5-CBE0E3B9B154}"/>
                </c:ext>
              </c:extLst>
            </c:dLbl>
            <c:dLbl>
              <c:idx val="47"/>
              <c:tx>
                <c:strRef>
                  <c:f>'C13D'!$AY$100</c:f>
                  <c:strCache>
                    <c:ptCount val="1"/>
                    <c:pt idx="0">
                      <c:v>-52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{8E775F9D-0896-4901-9370-C2BFC1D78EF7}</c15:txfldGUID>
                      <c15:f>'C13D'!$AY$100</c15:f>
                      <c15:dlblFieldTableCache>
                        <c:ptCount val="1"/>
                        <c:pt idx="0">
                          <c:v>-52</c:v>
                        </c:pt>
                      </c15:dlblFieldTableCache>
                    </c15:dlblFTEntry>
                  </c15:dlblFieldTable>
                  <c15:showDataLabelsRange val="0"/>
                </c:ext>
                <c:ext xmlns:c16="http://schemas.microsoft.com/office/drawing/2014/chart" uri="{C3380CC4-5D6E-409C-BE32-E72D297353CC}">
                  <c16:uniqueId val="{000000BC-F840-4D5C-B8F5-CBE0E3B9B154}"/>
                </c:ext>
              </c:extLst>
            </c:dLbl>
            <c:dLbl>
              <c:idx val="48"/>
              <c:tx>
                <c:strRef>
                  <c:f>'C13D'!$AY$101</c:f>
                  <c:strCache>
                    <c:ptCount val="1"/>
                    <c:pt idx="0">
                      <c:v>-49</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{B5F9D2C9-404D-43E1-91E7-ED307B4000E8}</c15:txfldGUID>
                      <c15:f>'C13D'!$AY$101</c15:f>
                      <c15:dlblFieldTableCache>
                        <c:ptCount val="1"/>
                        <c:pt idx="0">
                          <c:v>-49</c:v>
                        </c:pt>
                      </c15:dlblFieldTableCache>
                    </c15:dlblFTEntry>
                  </c15:dlblFieldTable>
                  <c15:showDataLabelsRange val="0"/>
                </c:ext>
                <c:ext xmlns:c16="http://schemas.microsoft.com/office/drawing/2014/chart" uri="{C3380CC4-5D6E-409C-BE32-E72D297353CC}">
                  <c16:uniqueId val="{000000BD-F840-4D5C-B8F5-CBE0E3B9B154}"/>
                </c:ext>
              </c:extLst>
            </c:dLbl>
            <c:dLbl>
              <c:idx val="49"/>
              <c:tx>
                <c:strRef>
                  <c:f>'C13D'!$AY$102</c:f>
                  <c:strCache>
                    <c:ptCount val="1"/>
                    <c:pt idx="0">
                      <c:v>-52</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{2963E524-504E-4B9B-A8B5-62756667F007}</c15:txfldGUID>
                      <c15:f>'C13D'!$AY$102</c15:f>
                      <c15:dlblFieldTableCache>
                        <c:ptCount val="1"/>
                        <c:pt idx="0">
                          <c:v>-52</c:v>
                        </c:pt>
                      </c15:dlblFieldTableCache>
                    </c15:dlblFTEntry>
                  </c15:dlblFieldTable>
                  <c15:showDataLabelsRange val="0"/>
                </c:ext>
                <c:ext xmlns:c16="http://schemas.microsoft.com/office/drawing/2014/chart" uri="{C3380CC4-5D6E-409C-BE32-E72D297353CC}">
                  <c16:uniqueId val="{000000BE-F840-4D5C-B8F5-CBE0E3B9B154}"/>
                </c:ext>
              </c:extLst>
            </c:dLbl>
            <c:dLbl>
              <c:idx val="50"/>
              <c:tx>
                <c:strRef>
                  <c:f>'C13D'!$AY$103</c:f>
                  <c:strCache>
                    <c:ptCount val="1"/>
                    <c:pt idx="0">
                      <c:v>-54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{80BA3903-D3B8-48B9-B52A-F7B59E2EBE05}</c15:txfldGUID>
                      <c15:f>'C13D'!$AY$103</c15:f>
                      <c15:dlblFieldTableCache>
                        <c:ptCount val="1"/>
                        <c:pt idx="0">
                          <c:v>-54</c:v>
                        </c:pt>
                      </c15:dlblFieldTableCache>
                    </c15:dlblFTEntry>
                  </c15:dlblFieldTable>
                  <c15:showDataLabelsRange val="0"/>
                </c:ext>
                <c:ext xmlns:c16="http://schemas.microsoft.com/office/drawing/2014/chart" uri="{C3380CC4-5D6E-409C-BE32-E72D297353CC}">
                  <c16:uniqueId val="{000000BF-F840-4D5C-B8F5-CBE0E3B9B154}"/>
                </c:ext>
              </c:extLst>
            </c:dLbl>
            <c:dLbl>
              <c:idx val="51"/>
              <c:tx>
                <c:strRef>
                  <c:f>'C13D'!$AY$104</c:f>
                  <c:strCache>
                    <c:ptCount val="1"/>
                    <c:pt idx="0">
                      <c:v>-50</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{04BF425A-BCF0-4B9D-B363-4D5C5DD07479}</c15:txfldGUID>
                      <c15:f>'C13D'!$AY$104</c15:f>
                      <c15:dlblFieldTableCache>
                        <c:ptCount val="1"/>
                        <c:pt idx="0">
                          <c:v>-50</c:v>
                        </c:pt>
                      </c15:dlblFieldTableCache>
                    </c15:dlblFTEntry>
                  </c15:dlblFieldTable>
                  <c15:showDataLabelsRange val="0"/>
                </c:ext>
                <c:ext xmlns:c16="http://schemas.microsoft.com/office/drawing/2014/chart" uri="{C3380CC4-5D6E-409C-BE32-E72D297353CC}">
                  <c16:uniqueId val="{000000C0-F840-4D5C-B8F5-CBE0E3B9B154}"/>
                </c:ext>
              </c:extLst>
            </c:dLbl>
            <c:dLbl>
              <c:idx val="52"/>
              <c:tx>
                <c:strRef>
                  <c:f>'C13D'!$AY$105</c:f>
                  <c:strCache>
                    <c:ptCount val="1"/>
                    <c:pt idx="0">
                      <c:v>-53</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{CD4275E5-B4DA-43C0-AA1C-D117F2AEB18B}</c15:txfldGUID>
                      <c15:f>'C13D'!$AY$105</c15:f>
                      <c15:dlblFieldTableCache>
                        <c:ptCount val="1"/>
                        <c:pt idx="0">
                          <c:v>-53</c:v>
                        </c:pt>
                      </c15:dlblFieldTableCache>
                    </c15:dlblFTEntry>
                  </c15:dlblFieldTable>
                  <c15:showDataLabelsRange val="0"/>
                </c:ext>
                <c:ext xmlns:c16="http://schemas.microsoft.com/office/drawing/2014/chart" uri="{C3380CC4-5D6E-409C-BE32-E72D297353CC}">
                  <c16:uniqueId val="{000000C1-F840-4D5C-B8F5-CBE0E3B9B154}"/>
                </c:ext>
              </c:extLst>
            </c:dLbl>
            <c:dLbl>
              <c:idx val="53"/>
              <c:tx>
                <c:strRef>
                  <c:f>'C13D'!$AY$106</c:f>
                  <c:strCache>
                    <c:ptCount val="1"/>
                    <c:pt idx="0">
                      <c:v>-44</c:v>
                    </c:pt>
                  </c:strCache>
                </c:strRef>
              </c:tx>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b"/>
              <c:showLegendKey val="0"/>
              <c:showVal val="1"/>
              <c:showCatName val="0"/>
              <c:showSerName val="0"/>
              <c:showPercent val="0"/>
              <c:showBubbleSize val="0"/>
              <c:extLst>
                <c:ext xmlns:c15="http://schemas.microsoft.com/office/drawing/2012/chart" uri="{CE6537A1-D6FC-4f65-9D91-7224C49458BB}">
                  <c15:dlblFieldTable>
                    <c15:dlblFTEntry>
                      <c15:txfldGUID>{FA6E4ED8-026D-4A89-974B-E0981CFEC995}</c15:txfldGUID>
                      <c15:f>'C13D'!$AY$106</c15:f>
                      <c15:dlblFieldTableCache>
                        <c:ptCount val="1"/>
                        <c:pt idx="0">
                          <c:v>-44</c:v>
                        </c:pt>
                      </c15:dlblFieldTableCache>
                    </c15:dlblFTEntry>
                  </c15:dlblFieldTable>
                  <c15:showDataLabelsRange val="0"/>
                </c:ext>
                <c:ext xmlns:c16="http://schemas.microsoft.com/office/drawing/2014/chart" uri="{C3380CC4-5D6E-409C-BE32-E72D297353CC}">
                  <c16:uniqueId val="{000000C2-F840-4D5C-B8F5-CBE0E3B9B15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errBars>
            <c:errDir val="y"/>
            <c:errBarType val="plus"/>
            <c:errValType val="cust"/>
            <c:noEndCap val="1"/>
            <c:plus>
              <c:numRef>
                <c:f>'C13D'!$AP$53:$AP$106</c:f>
                <c:numCache>
                  <c:formatCode>General</c:formatCode>
                  <c:ptCount val="54"/>
                  <c:pt idx="0">
                    <c:v>0</c:v>
                  </c:pt>
                  <c:pt idx="1">
                    <c:v>0</c:v>
                  </c:pt>
                  <c:pt idx="2">
                    <c:v>0</c:v>
                  </c:pt>
                  <c:pt idx="3">
                    <c:v>0.13255146489799957</c:v>
                  </c:pt>
                  <c:pt idx="4">
                    <c:v>0.13826991862514726</c:v>
                  </c:pt>
                  <c:pt idx="5">
                    <c:v>0.14600925644800689</c:v>
                  </c:pt>
                  <c:pt idx="6">
                    <c:v>0.13212015328943003</c:v>
                  </c:pt>
                  <c:pt idx="7">
                    <c:v>0.14080848581221336</c:v>
                  </c:pt>
                  <c:pt idx="8">
                    <c:v>0.13981129705840745</c:v>
                  </c:pt>
                  <c:pt idx="9">
                    <c:v>0.13623100632729448</c:v>
                  </c:pt>
                  <c:pt idx="10">
                    <c:v>0.14317387590897118</c:v>
                  </c:pt>
                  <c:pt idx="11">
                    <c:v>0.14667159007506672</c:v>
                  </c:pt>
                  <c:pt idx="12">
                    <c:v>0.13735354991479817</c:v>
                  </c:pt>
                  <c:pt idx="13">
                    <c:v>0.14297182224072214</c:v>
                  </c:pt>
                  <c:pt idx="14">
                    <c:v>0.15008264339756336</c:v>
                  </c:pt>
                  <c:pt idx="15">
                    <c:v>0</c:v>
                  </c:pt>
                  <c:pt idx="16">
                    <c:v>0.12638821909872927</c:v>
                  </c:pt>
                  <c:pt idx="17">
                    <c:v>0.13264707327331574</c:v>
                  </c:pt>
                  <c:pt idx="18">
                    <c:v>0.13857643792947316</c:v>
                  </c:pt>
                  <c:pt idx="19">
                    <c:v>0.12339190878987732</c:v>
                  </c:pt>
                  <c:pt idx="20">
                    <c:v>0.13398677373958345</c:v>
                  </c:pt>
                  <c:pt idx="21">
                    <c:v>0.13349403181007549</c:v>
                  </c:pt>
                  <c:pt idx="22">
                    <c:v>0.1262754484508932</c:v>
                  </c:pt>
                  <c:pt idx="23">
                    <c:v>0.13719994817720693</c:v>
                  </c:pt>
                  <c:pt idx="24">
                    <c:v>0.13623134413619317</c:v>
                  </c:pt>
                  <c:pt idx="25">
                    <c:v>0.12954407052779646</c:v>
                  </c:pt>
                  <c:pt idx="26">
                    <c:v>0.13803087090327501</c:v>
                  </c:pt>
                  <c:pt idx="27">
                    <c:v>0.13959367954990445</c:v>
                  </c:pt>
                  <c:pt idx="28">
                    <c:v>0</c:v>
                  </c:pt>
                  <c:pt idx="29">
                    <c:v>0.12050612977049413</c:v>
                  </c:pt>
                  <c:pt idx="30">
                    <c:v>0.12429018385132765</c:v>
                  </c:pt>
                  <c:pt idx="31">
                    <c:v>0.13178649681438886</c:v>
                  </c:pt>
                  <c:pt idx="32">
                    <c:v>0.11609626369146699</c:v>
                  </c:pt>
                  <c:pt idx="33">
                    <c:v>0.12869747524848638</c:v>
                  </c:pt>
                  <c:pt idx="34">
                    <c:v>0.12668081652294272</c:v>
                  </c:pt>
                  <c:pt idx="35">
                    <c:v>0.12075696278141992</c:v>
                  </c:pt>
                  <c:pt idx="36">
                    <c:v>0.13096168735996638</c:v>
                  </c:pt>
                  <c:pt idx="37">
                    <c:v>0.13278373959069292</c:v>
                  </c:pt>
                  <c:pt idx="38">
                    <c:v>0.1236869609875452</c:v>
                  </c:pt>
                  <c:pt idx="39">
                    <c:v>0.13250211673430404</c:v>
                  </c:pt>
                  <c:pt idx="40">
                    <c:v>0.13489029496742247</c:v>
                  </c:pt>
                  <c:pt idx="41">
                    <c:v>0</c:v>
                  </c:pt>
                  <c:pt idx="42">
                    <c:v>0.11750219484311872</c:v>
                  </c:pt>
                  <c:pt idx="43">
                    <c:v>0.12089289458894974</c:v>
                  </c:pt>
                  <c:pt idx="44">
                    <c:v>0.12131987481890256</c:v>
                  </c:pt>
                  <c:pt idx="45">
                    <c:v>0.1097822144790246</c:v>
                  </c:pt>
                  <c:pt idx="46">
                    <c:v>0.12124961569092911</c:v>
                  </c:pt>
                  <c:pt idx="47">
                    <c:v>0.12220913584523023</c:v>
                  </c:pt>
                  <c:pt idx="48">
                    <c:v>0.11567759651794988</c:v>
                  </c:pt>
                  <c:pt idx="49">
                    <c:v>0.12104542046766997</c:v>
                  </c:pt>
                  <c:pt idx="50">
                    <c:v>0.12761982756493276</c:v>
                  </c:pt>
                  <c:pt idx="51">
                    <c:v>0.11795645563530847</c:v>
                  </c:pt>
                  <c:pt idx="52">
                    <c:v>0.12363396097174811</c:v>
                  </c:pt>
                  <c:pt idx="53">
                    <c:v>0.10368146523339601</c:v>
                  </c:pt>
                </c:numCache>
              </c:numRef>
            </c:plus>
            <c:spPr>
              <a:ln w="15875">
                <a:solidFill>
                  <a:srgbClr val="FF0000"/>
                </a:solidFill>
              </a:ln>
            </c:spPr>
          </c:errBars>
          <c:cat>
            <c:strRef>
              <c:f>'C13D'!$Y$53:$Y$106</c:f>
              <c:strCache>
                <c:ptCount val="52"/>
                <c:pt idx="3">
                  <c:v>Jan</c:v>
                </c:pt>
                <c:pt idx="6">
                  <c:v>Apr</c:v>
                </c:pt>
                <c:pt idx="9">
                  <c:v>Jul</c:v>
                </c:pt>
                <c:pt idx="12">
                  <c:v>Oct</c:v>
                </c:pt>
                <c:pt idx="16">
                  <c:v>Jan</c:v>
                </c:pt>
                <c:pt idx="19">
                  <c:v>Apr</c:v>
                </c:pt>
                <c:pt idx="22">
                  <c:v>Jul</c:v>
                </c:pt>
                <c:pt idx="25">
                  <c:v>Oct</c:v>
                </c:pt>
                <c:pt idx="29">
                  <c:v>Jan</c:v>
                </c:pt>
                <c:pt idx="32">
                  <c:v>Apr</c:v>
                </c:pt>
                <c:pt idx="35">
                  <c:v>Jul</c:v>
                </c:pt>
                <c:pt idx="38">
                  <c:v>Oct</c:v>
                </c:pt>
                <c:pt idx="42">
                  <c:v>Jan</c:v>
                </c:pt>
                <c:pt idx="45">
                  <c:v>Apr</c:v>
                </c:pt>
                <c:pt idx="48">
                  <c:v>Jul</c:v>
                </c:pt>
                <c:pt idx="51">
                  <c:v>Oct</c:v>
                </c:pt>
              </c:strCache>
            </c:strRef>
          </c:cat>
          <c:val>
            <c:numRef>
              <c:f>'C13D'!$AG$53:$AG$106</c:f>
              <c:numCache>
                <c:formatCode>General</c:formatCode>
                <c:ptCount val="54"/>
                <c:pt idx="0">
                  <c:v>#N/A</c:v>
                </c:pt>
                <c:pt idx="1">
                  <c:v>#N/A</c:v>
                </c:pt>
                <c:pt idx="2">
                  <c:v>#N/A</c:v>
                </c:pt>
                <c:pt idx="3">
                  <c:v>3.1017342493877145</c:v>
                </c:pt>
                <c:pt idx="4">
                  <c:v>3.0960157956605672</c:v>
                </c:pt>
                <c:pt idx="5">
                  <c:v>3.0882764578377073</c:v>
                </c:pt>
                <c:pt idx="6">
                  <c:v>3.1021655609962844</c:v>
                </c:pt>
                <c:pt idx="7">
                  <c:v>3.093477228473501</c:v>
                </c:pt>
                <c:pt idx="8">
                  <c:v>3.0944744172273069</c:v>
                </c:pt>
                <c:pt idx="9">
                  <c:v>3.0980547079584198</c:v>
                </c:pt>
                <c:pt idx="10">
                  <c:v>3.0911118383767433</c:v>
                </c:pt>
                <c:pt idx="11">
                  <c:v>3.0876141242106474</c:v>
                </c:pt>
                <c:pt idx="12">
                  <c:v>3.0969321643709162</c:v>
                </c:pt>
                <c:pt idx="13">
                  <c:v>3.0913138920449921</c:v>
                </c:pt>
                <c:pt idx="14">
                  <c:v>3.0842030708881509</c:v>
                </c:pt>
                <c:pt idx="15">
                  <c:v>#N/A</c:v>
                </c:pt>
                <c:pt idx="16">
                  <c:v>3.1078974951869851</c:v>
                </c:pt>
                <c:pt idx="17">
                  <c:v>3.1016386410123986</c:v>
                </c:pt>
                <c:pt idx="18">
                  <c:v>3.0957092763562413</c:v>
                </c:pt>
                <c:pt idx="19">
                  <c:v>3.1108938054958371</c:v>
                </c:pt>
                <c:pt idx="20">
                  <c:v>3.1002989405461308</c:v>
                </c:pt>
                <c:pt idx="21">
                  <c:v>3.1007916824756387</c:v>
                </c:pt>
                <c:pt idx="22">
                  <c:v>3.108010265834821</c:v>
                </c:pt>
                <c:pt idx="23">
                  <c:v>3.0970857661085072</c:v>
                </c:pt>
                <c:pt idx="24">
                  <c:v>3.0980543701495211</c:v>
                </c:pt>
                <c:pt idx="25">
                  <c:v>3.1047416437579178</c:v>
                </c:pt>
                <c:pt idx="26">
                  <c:v>3.0962548433824391</c:v>
                </c:pt>
                <c:pt idx="27">
                  <c:v>3.09469203473581</c:v>
                </c:pt>
                <c:pt idx="28">
                  <c:v>#N/A</c:v>
                </c:pt>
                <c:pt idx="29">
                  <c:v>3.1137795845152203</c:v>
                </c:pt>
                <c:pt idx="30">
                  <c:v>3.1099955304343867</c:v>
                </c:pt>
                <c:pt idx="31">
                  <c:v>3.1024992174713253</c:v>
                </c:pt>
                <c:pt idx="32">
                  <c:v>3.1181894505942473</c:v>
                </c:pt>
                <c:pt idx="33">
                  <c:v>3.1055882390372278</c:v>
                </c:pt>
                <c:pt idx="34">
                  <c:v>3.1076048977627715</c:v>
                </c:pt>
                <c:pt idx="35">
                  <c:v>3.1135287515042944</c:v>
                </c:pt>
                <c:pt idx="36">
                  <c:v>3.103324026925748</c:v>
                </c:pt>
                <c:pt idx="37">
                  <c:v>3.1015019746950214</c:v>
                </c:pt>
                <c:pt idx="38">
                  <c:v>3.1105987532981692</c:v>
                </c:pt>
                <c:pt idx="39">
                  <c:v>3.1017835975514103</c:v>
                </c:pt>
                <c:pt idx="40">
                  <c:v>3.099395419318292</c:v>
                </c:pt>
                <c:pt idx="41">
                  <c:v>#N/A</c:v>
                </c:pt>
                <c:pt idx="42">
                  <c:v>3.1167835194425955</c:v>
                </c:pt>
                <c:pt idx="43">
                  <c:v>3.1133928196967644</c:v>
                </c:pt>
                <c:pt idx="44">
                  <c:v>3.1129658394668116</c:v>
                </c:pt>
                <c:pt idx="45">
                  <c:v>3.1245034998066896</c:v>
                </c:pt>
                <c:pt idx="46">
                  <c:v>3.1130360985947854</c:v>
                </c:pt>
                <c:pt idx="47">
                  <c:v>3.112076578440484</c:v>
                </c:pt>
                <c:pt idx="48">
                  <c:v>3.1186081177677645</c:v>
                </c:pt>
                <c:pt idx="49">
                  <c:v>3.1132402938180443</c:v>
                </c:pt>
                <c:pt idx="50">
                  <c:v>3.1066658867207817</c:v>
                </c:pt>
                <c:pt idx="51">
                  <c:v>3.1163292586504059</c:v>
                </c:pt>
                <c:pt idx="52">
                  <c:v>3.1106517533139662</c:v>
                </c:pt>
                <c:pt idx="53">
                  <c:v>3.1306042490523183</c:v>
                </c:pt>
              </c:numCache>
            </c:numRef>
          </c:val>
          <c:smooth val="0"/>
          <c:extLst>
            <c:ext xmlns:c16="http://schemas.microsoft.com/office/drawing/2014/chart" uri="{C3380CC4-5D6E-409C-BE32-E72D297353CC}">
              <c16:uniqueId val="{00000092-F840-4D5C-B8F5-CBE0E3B9B154}"/>
            </c:ext>
          </c:extLst>
        </c:ser>
        <c:dLbls>
          <c:showLegendKey val="0"/>
          <c:showVal val="0"/>
          <c:showCatName val="0"/>
          <c:showSerName val="0"/>
          <c:showPercent val="0"/>
          <c:showBubbleSize val="0"/>
        </c:dLbls>
        <c:marker val="1"/>
        <c:smooth val="0"/>
        <c:axId val="1619158352"/>
        <c:axId val="1238321552"/>
      </c:lineChart>
      <c:scatterChart>
        <c:scatterStyle val="lineMarker"/>
        <c:varyColors val="0"/>
        <c:ser>
          <c:idx val="8"/>
          <c:order val="8"/>
          <c:tx>
            <c:v>divider</c:v>
          </c:tx>
          <c:spPr>
            <a:ln w="9525">
              <a:solidFill>
                <a:srgbClr val="BFBFBF"/>
              </a:solidFill>
            </a:ln>
          </c:spPr>
          <c:marker>
            <c:symbol val="none"/>
          </c:marker>
          <c:xVal>
            <c:numRef>
              <c:f>'C13D'!$BA$53:$BA$61</c:f>
              <c:numCache>
                <c:formatCode>General</c:formatCode>
                <c:ptCount val="9"/>
                <c:pt idx="0">
                  <c:v>16</c:v>
                </c:pt>
                <c:pt idx="1">
                  <c:v>16</c:v>
                </c:pt>
                <c:pt idx="2">
                  <c:v>16</c:v>
                </c:pt>
                <c:pt idx="3">
                  <c:v>29</c:v>
                </c:pt>
                <c:pt idx="4">
                  <c:v>29</c:v>
                </c:pt>
                <c:pt idx="5">
                  <c:v>29</c:v>
                </c:pt>
                <c:pt idx="6">
                  <c:v>42</c:v>
                </c:pt>
                <c:pt idx="7">
                  <c:v>42</c:v>
                </c:pt>
                <c:pt idx="8">
                  <c:v>42</c:v>
                </c:pt>
              </c:numCache>
            </c:numRef>
          </c:xVal>
          <c:yVal>
            <c:numRef>
              <c:f>'C13D'!$BB$53:$BB$61</c:f>
              <c:numCache>
                <c:formatCode>General</c:formatCode>
                <c:ptCount val="9"/>
                <c:pt idx="0">
                  <c:v>0</c:v>
                </c:pt>
                <c:pt idx="1">
                  <c:v>4</c:v>
                </c:pt>
                <c:pt idx="2">
                  <c:v>#N/A</c:v>
                </c:pt>
                <c:pt idx="3">
                  <c:v>0</c:v>
                </c:pt>
                <c:pt idx="4">
                  <c:v>4</c:v>
                </c:pt>
                <c:pt idx="5">
                  <c:v>#N/A</c:v>
                </c:pt>
                <c:pt idx="6">
                  <c:v>0</c:v>
                </c:pt>
                <c:pt idx="7">
                  <c:v>4</c:v>
                </c:pt>
                <c:pt idx="8">
                  <c:v>#N/A</c:v>
                </c:pt>
              </c:numCache>
            </c:numRef>
          </c:yVal>
          <c:smooth val="0"/>
          <c:extLst>
            <c:ext xmlns:c16="http://schemas.microsoft.com/office/drawing/2014/chart" uri="{C3380CC4-5D6E-409C-BE32-E72D297353CC}">
              <c16:uniqueId val="{000000C3-F840-4D5C-B8F5-CBE0E3B9B154}"/>
            </c:ext>
          </c:extLst>
        </c:ser>
        <c:ser>
          <c:idx val="9"/>
          <c:order val="9"/>
          <c:tx>
            <c:v>bandrule</c:v>
          </c:tx>
          <c:spPr>
            <a:ln w="9525">
              <a:solidFill>
                <a:srgbClr val="BFBFBF"/>
              </a:solidFill>
            </a:ln>
          </c:spPr>
          <c:marker>
            <c:symbol val="none"/>
          </c:marker>
          <c:xVal>
            <c:numRef>
              <c:f>'C13D'!$BD$53:$BD$61</c:f>
              <c:numCache>
                <c:formatCode>General</c:formatCode>
                <c:ptCount val="9"/>
                <c:pt idx="0">
                  <c:v>0.5</c:v>
                </c:pt>
                <c:pt idx="1">
                  <c:v>54.5</c:v>
                </c:pt>
                <c:pt idx="2">
                  <c:v>54.5</c:v>
                </c:pt>
                <c:pt idx="3">
                  <c:v>0.5</c:v>
                </c:pt>
                <c:pt idx="4">
                  <c:v>54.5</c:v>
                </c:pt>
                <c:pt idx="5">
                  <c:v>54.5</c:v>
                </c:pt>
                <c:pt idx="6">
                  <c:v>0.5</c:v>
                </c:pt>
                <c:pt idx="7">
                  <c:v>54.5</c:v>
                </c:pt>
                <c:pt idx="8">
                  <c:v>54.5</c:v>
                </c:pt>
              </c:numCache>
            </c:numRef>
          </c:xVal>
          <c:yVal>
            <c:numRef>
              <c:f>'C13D'!$BE$53:$BE$61</c:f>
              <c:numCache>
                <c:formatCode>General</c:formatCode>
                <c:ptCount val="9"/>
                <c:pt idx="0">
                  <c:v>0.90999999999999992</c:v>
                </c:pt>
                <c:pt idx="1">
                  <c:v>0.90999999999999992</c:v>
                </c:pt>
                <c:pt idx="2">
                  <c:v>#N/A</c:v>
                </c:pt>
                <c:pt idx="3">
                  <c:v>1.91</c:v>
                </c:pt>
                <c:pt idx="4">
                  <c:v>1.91</c:v>
                </c:pt>
                <c:pt idx="5">
                  <c:v>#N/A</c:v>
                </c:pt>
                <c:pt idx="6">
                  <c:v>2.91</c:v>
                </c:pt>
                <c:pt idx="7">
                  <c:v>2.91</c:v>
                </c:pt>
                <c:pt idx="8">
                  <c:v>#N/A</c:v>
                </c:pt>
              </c:numCache>
            </c:numRef>
          </c:yVal>
          <c:smooth val="0"/>
          <c:extLst>
            <c:ext xmlns:c16="http://schemas.microsoft.com/office/drawing/2014/chart" uri="{C3380CC4-5D6E-409C-BE32-E72D297353CC}">
              <c16:uniqueId val="{000000C4-F840-4D5C-B8F5-CBE0E3B9B154}"/>
            </c:ext>
          </c:extLst>
        </c:ser>
        <c:ser>
          <c:idx val="10"/>
          <c:order val="10"/>
          <c:tx>
            <c:v>baseline</c:v>
          </c:tx>
          <c:spPr>
            <a:ln w="9525">
              <a:solidFill>
                <a:srgbClr val="808080"/>
              </a:solidFill>
            </a:ln>
          </c:spPr>
          <c:marker>
            <c:symbol val="none"/>
          </c:marker>
          <c:xVal>
            <c:numRef>
              <c:f>'C13D'!$BG$53:$BG$100</c:f>
              <c:numCache>
                <c:formatCode>General</c:formatCode>
                <c:ptCount val="48"/>
                <c:pt idx="0">
                  <c:v>3.5</c:v>
                </c:pt>
                <c:pt idx="1">
                  <c:v>15.5</c:v>
                </c:pt>
                <c:pt idx="2">
                  <c:v>15.5</c:v>
                </c:pt>
                <c:pt idx="3">
                  <c:v>16.5</c:v>
                </c:pt>
                <c:pt idx="4">
                  <c:v>28.5</c:v>
                </c:pt>
                <c:pt idx="5">
                  <c:v>28.5</c:v>
                </c:pt>
                <c:pt idx="6">
                  <c:v>29.5</c:v>
                </c:pt>
                <c:pt idx="7">
                  <c:v>41.5</c:v>
                </c:pt>
                <c:pt idx="8">
                  <c:v>41.5</c:v>
                </c:pt>
                <c:pt idx="9">
                  <c:v>42.5</c:v>
                </c:pt>
                <c:pt idx="10">
                  <c:v>54.5</c:v>
                </c:pt>
                <c:pt idx="11">
                  <c:v>54.5</c:v>
                </c:pt>
                <c:pt idx="12">
                  <c:v>3.5</c:v>
                </c:pt>
                <c:pt idx="13">
                  <c:v>15.5</c:v>
                </c:pt>
                <c:pt idx="14">
                  <c:v>15.5</c:v>
                </c:pt>
                <c:pt idx="15">
                  <c:v>16.5</c:v>
                </c:pt>
                <c:pt idx="16">
                  <c:v>28.5</c:v>
                </c:pt>
                <c:pt idx="17">
                  <c:v>28.5</c:v>
                </c:pt>
                <c:pt idx="18">
                  <c:v>29.5</c:v>
                </c:pt>
                <c:pt idx="19">
                  <c:v>41.5</c:v>
                </c:pt>
                <c:pt idx="20">
                  <c:v>41.5</c:v>
                </c:pt>
                <c:pt idx="21">
                  <c:v>42.5</c:v>
                </c:pt>
                <c:pt idx="22">
                  <c:v>54.5</c:v>
                </c:pt>
                <c:pt idx="23">
                  <c:v>54.5</c:v>
                </c:pt>
                <c:pt idx="24">
                  <c:v>3.5</c:v>
                </c:pt>
                <c:pt idx="25">
                  <c:v>15.5</c:v>
                </c:pt>
                <c:pt idx="26">
                  <c:v>15.5</c:v>
                </c:pt>
                <c:pt idx="27">
                  <c:v>16.5</c:v>
                </c:pt>
                <c:pt idx="28">
                  <c:v>28.5</c:v>
                </c:pt>
                <c:pt idx="29">
                  <c:v>28.5</c:v>
                </c:pt>
                <c:pt idx="30">
                  <c:v>29.5</c:v>
                </c:pt>
                <c:pt idx="31">
                  <c:v>41.5</c:v>
                </c:pt>
                <c:pt idx="32">
                  <c:v>41.5</c:v>
                </c:pt>
                <c:pt idx="33">
                  <c:v>42.5</c:v>
                </c:pt>
                <c:pt idx="34">
                  <c:v>54.5</c:v>
                </c:pt>
                <c:pt idx="35">
                  <c:v>54.5</c:v>
                </c:pt>
                <c:pt idx="36">
                  <c:v>3.5</c:v>
                </c:pt>
                <c:pt idx="37">
                  <c:v>15.5</c:v>
                </c:pt>
                <c:pt idx="38">
                  <c:v>15.5</c:v>
                </c:pt>
                <c:pt idx="39">
                  <c:v>16.5</c:v>
                </c:pt>
                <c:pt idx="40">
                  <c:v>28.5</c:v>
                </c:pt>
                <c:pt idx="41">
                  <c:v>28.5</c:v>
                </c:pt>
                <c:pt idx="42">
                  <c:v>29.5</c:v>
                </c:pt>
                <c:pt idx="43">
                  <c:v>41.5</c:v>
                </c:pt>
                <c:pt idx="44">
                  <c:v>41.5</c:v>
                </c:pt>
                <c:pt idx="45">
                  <c:v>42.5</c:v>
                </c:pt>
                <c:pt idx="46">
                  <c:v>54.5</c:v>
                </c:pt>
                <c:pt idx="47">
                  <c:v>54.5</c:v>
                </c:pt>
              </c:numCache>
            </c:numRef>
          </c:xVal>
          <c:yVal>
            <c:numRef>
              <c:f>'C13D'!$BH$53:$BH$100</c:f>
              <c:numCache>
                <c:formatCode>General</c:formatCode>
                <c:ptCount val="48"/>
                <c:pt idx="0">
                  <c:v>0.23428571428571426</c:v>
                </c:pt>
                <c:pt idx="1">
                  <c:v>0.23428571428571426</c:v>
                </c:pt>
                <c:pt idx="2">
                  <c:v>#N/A</c:v>
                </c:pt>
                <c:pt idx="3">
                  <c:v>0.23428571428571426</c:v>
                </c:pt>
                <c:pt idx="4">
                  <c:v>0.23428571428571426</c:v>
                </c:pt>
                <c:pt idx="5">
                  <c:v>#N/A</c:v>
                </c:pt>
                <c:pt idx="6">
                  <c:v>0.23428571428571426</c:v>
                </c:pt>
                <c:pt idx="7">
                  <c:v>0.23428571428571426</c:v>
                </c:pt>
                <c:pt idx="8">
                  <c:v>#N/A</c:v>
                </c:pt>
                <c:pt idx="9">
                  <c:v>0.23428571428571426</c:v>
                </c:pt>
                <c:pt idx="10">
                  <c:v>0.23428571428571426</c:v>
                </c:pt>
                <c:pt idx="11">
                  <c:v>#N/A</c:v>
                </c:pt>
                <c:pt idx="12">
                  <c:v>1.2342857142857142</c:v>
                </c:pt>
                <c:pt idx="13">
                  <c:v>1.2342857142857142</c:v>
                </c:pt>
                <c:pt idx="14">
                  <c:v>#N/A</c:v>
                </c:pt>
                <c:pt idx="15">
                  <c:v>1.2342857142857142</c:v>
                </c:pt>
                <c:pt idx="16">
                  <c:v>1.2342857142857142</c:v>
                </c:pt>
                <c:pt idx="17">
                  <c:v>#N/A</c:v>
                </c:pt>
                <c:pt idx="18">
                  <c:v>1.2342857142857142</c:v>
                </c:pt>
                <c:pt idx="19">
                  <c:v>1.2342857142857142</c:v>
                </c:pt>
                <c:pt idx="20">
                  <c:v>#N/A</c:v>
                </c:pt>
                <c:pt idx="21">
                  <c:v>1.2342857142857142</c:v>
                </c:pt>
                <c:pt idx="22">
                  <c:v>1.2342857142857142</c:v>
                </c:pt>
                <c:pt idx="23">
                  <c:v>#N/A</c:v>
                </c:pt>
                <c:pt idx="24">
                  <c:v>2.2342857142857144</c:v>
                </c:pt>
                <c:pt idx="25">
                  <c:v>2.2342857142857144</c:v>
                </c:pt>
                <c:pt idx="26">
                  <c:v>#N/A</c:v>
                </c:pt>
                <c:pt idx="27">
                  <c:v>2.2342857142857144</c:v>
                </c:pt>
                <c:pt idx="28">
                  <c:v>2.2342857142857144</c:v>
                </c:pt>
                <c:pt idx="29">
                  <c:v>#N/A</c:v>
                </c:pt>
                <c:pt idx="30">
                  <c:v>2.2342857142857144</c:v>
                </c:pt>
                <c:pt idx="31">
                  <c:v>2.2342857142857144</c:v>
                </c:pt>
                <c:pt idx="32">
                  <c:v>#N/A</c:v>
                </c:pt>
                <c:pt idx="33">
                  <c:v>2.2342857142857144</c:v>
                </c:pt>
                <c:pt idx="34">
                  <c:v>2.2342857142857144</c:v>
                </c:pt>
                <c:pt idx="35">
                  <c:v>#N/A</c:v>
                </c:pt>
                <c:pt idx="36">
                  <c:v>3.2342857142857144</c:v>
                </c:pt>
                <c:pt idx="37">
                  <c:v>3.2342857142857144</c:v>
                </c:pt>
                <c:pt idx="38">
                  <c:v>#N/A</c:v>
                </c:pt>
                <c:pt idx="39">
                  <c:v>3.2342857142857144</c:v>
                </c:pt>
                <c:pt idx="40">
                  <c:v>3.2342857142857144</c:v>
                </c:pt>
                <c:pt idx="41">
                  <c:v>#N/A</c:v>
                </c:pt>
                <c:pt idx="42">
                  <c:v>3.2342857142857144</c:v>
                </c:pt>
                <c:pt idx="43">
                  <c:v>3.2342857142857144</c:v>
                </c:pt>
                <c:pt idx="44">
                  <c:v>#N/A</c:v>
                </c:pt>
                <c:pt idx="45">
                  <c:v>3.2342857142857144</c:v>
                </c:pt>
                <c:pt idx="46">
                  <c:v>3.2342857142857144</c:v>
                </c:pt>
                <c:pt idx="47">
                  <c:v>#N/A</c:v>
                </c:pt>
              </c:numCache>
            </c:numRef>
          </c:yVal>
          <c:smooth val="0"/>
          <c:extLst>
            <c:ext xmlns:c16="http://schemas.microsoft.com/office/drawing/2014/chart" uri="{C3380CC4-5D6E-409C-BE32-E72D297353CC}">
              <c16:uniqueId val="{000000C5-F840-4D5C-B8F5-CBE0E3B9B154}"/>
            </c:ext>
          </c:extLst>
        </c:ser>
        <c:ser>
          <c:idx val="11"/>
          <c:order val="11"/>
          <c:tx>
            <c:v>ptitle</c:v>
          </c:tx>
          <c:spPr>
            <a:ln w="38100">
              <a:noFill/>
            </a:ln>
          </c:spPr>
          <c:marker>
            <c:symbol val="none"/>
          </c:marker>
          <c:dLbls>
            <c:dLbl>
              <c:idx val="0"/>
              <c:tx>
                <c:strRef>
                  <c:f>'C13D'!$BL$53</c:f>
                  <c:strCache>
                    <c:ptCount val="1"/>
                    <c:pt idx="0">
                      <c:v>2011</c:v>
                    </c:pt>
                  </c:strCache>
                </c:strRef>
              </c:tx>
              <c:spPr>
                <a:noFill/>
                <a:ln>
                  <a:noFill/>
                </a:ln>
                <a:effectLst/>
              </c:spPr>
              <c:txPr>
                <a:bodyPr wrap="square" lIns="38100" tIns="19050" rIns="38100" bIns="19050" anchor="ctr">
                  <a:spAutoFit/>
                </a:bodyPr>
                <a:lstStyle/>
                <a:p>
                  <a:pPr>
                    <a:defRPr sz="900" b="1"/>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{3FD9902B-9483-4750-A629-2AB8FA2FE706}</c15:txfldGUID>
                      <c15:f>'C13D'!$BL$53</c15:f>
                      <c15:dlblFieldTableCache>
                        <c:ptCount val="1"/>
                        <c:pt idx="0">
                          <c:v>2011</c:v>
                        </c:pt>
                      </c15:dlblFieldTableCache>
                    </c15:dlblFTEntry>
                  </c15:dlblFieldTable>
                  <c15:showDataLabelsRange val="0"/>
                </c:ext>
                <c:ext xmlns:c16="http://schemas.microsoft.com/office/drawing/2014/chart" uri="{C3380CC4-5D6E-409C-BE32-E72D297353CC}">
                  <c16:uniqueId val="{000000C8-F840-4D5C-B8F5-CBE0E3B9B154}"/>
                </c:ext>
              </c:extLst>
            </c:dLbl>
            <c:dLbl>
              <c:idx val="1"/>
              <c:tx>
                <c:strRef>
                  <c:f>'C13D'!$BL$54</c:f>
                  <c:strCache>
                    <c:ptCount val="1"/>
                    <c:pt idx="0">
                      <c:v>2012</c:v>
                    </c:pt>
                  </c:strCache>
                </c:strRef>
              </c:tx>
              <c:spPr>
                <a:noFill/>
                <a:ln>
                  <a:noFill/>
                </a:ln>
                <a:effectLst/>
              </c:spPr>
              <c:txPr>
                <a:bodyPr wrap="square" lIns="38100" tIns="19050" rIns="38100" bIns="19050" anchor="ctr">
                  <a:spAutoFit/>
                </a:bodyPr>
                <a:lstStyle/>
                <a:p>
                  <a:pPr>
                    <a:defRPr sz="900" b="1"/>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{6E03CF23-FA6E-4AEA-89F6-F0BA5D7921C8}</c15:txfldGUID>
                      <c15:f>'C13D'!$BL$54</c15:f>
                      <c15:dlblFieldTableCache>
                        <c:ptCount val="1"/>
                        <c:pt idx="0">
                          <c:v>2012</c:v>
                        </c:pt>
                      </c15:dlblFieldTableCache>
                    </c15:dlblFTEntry>
                  </c15:dlblFieldTable>
                  <c15:showDataLabelsRange val="0"/>
                </c:ext>
                <c:ext xmlns:c16="http://schemas.microsoft.com/office/drawing/2014/chart" uri="{C3380CC4-5D6E-409C-BE32-E72D297353CC}">
                  <c16:uniqueId val="{000000C9-F840-4D5C-B8F5-CBE0E3B9B154}"/>
                </c:ext>
              </c:extLst>
            </c:dLbl>
            <c:dLbl>
              <c:idx val="2"/>
              <c:tx>
                <c:strRef>
                  <c:f>'C13D'!$BL$55</c:f>
                  <c:strCache>
                    <c:ptCount val="1"/>
                    <c:pt idx="0">
                      <c:v>2013</c:v>
                    </c:pt>
                  </c:strCache>
                </c:strRef>
              </c:tx>
              <c:spPr>
                <a:noFill/>
                <a:ln>
                  <a:noFill/>
                </a:ln>
                <a:effectLst/>
              </c:spPr>
              <c:txPr>
                <a:bodyPr wrap="square" lIns="38100" tIns="19050" rIns="38100" bIns="19050" anchor="ctr">
                  <a:spAutoFit/>
                </a:bodyPr>
                <a:lstStyle/>
                <a:p>
                  <a:pPr>
                    <a:defRPr sz="900" b="1"/>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{64654DE6-FC69-47B0-9B6A-30FAD1F2176B}</c15:txfldGUID>
                      <c15:f>'C13D'!$BL$55</c15:f>
                      <c15:dlblFieldTableCache>
                        <c:ptCount val="1"/>
                        <c:pt idx="0">
                          <c:v>2013</c:v>
                        </c:pt>
                      </c15:dlblFieldTableCache>
                    </c15:dlblFTEntry>
                  </c15:dlblFieldTable>
                  <c15:showDataLabelsRange val="0"/>
                </c:ext>
                <c:ext xmlns:c16="http://schemas.microsoft.com/office/drawing/2014/chart" uri="{C3380CC4-5D6E-409C-BE32-E72D297353CC}">
                  <c16:uniqueId val="{000000CA-F840-4D5C-B8F5-CBE0E3B9B154}"/>
                </c:ext>
              </c:extLst>
            </c:dLbl>
            <c:dLbl>
              <c:idx val="3"/>
              <c:tx>
                <c:strRef>
                  <c:f>'C13D'!$BL$56</c:f>
                  <c:strCache>
                    <c:ptCount val="1"/>
                    <c:pt idx="0">
                      <c:v>2014</c:v>
                    </c:pt>
                  </c:strCache>
                </c:strRef>
              </c:tx>
              <c:spPr>
                <a:noFill/>
                <a:ln>
                  <a:noFill/>
                </a:ln>
                <a:effectLst/>
              </c:spPr>
              <c:txPr>
                <a:bodyPr wrap="square" lIns="38100" tIns="19050" rIns="38100" bIns="19050" anchor="ctr">
                  <a:spAutoFit/>
                </a:bodyPr>
                <a:lstStyle/>
                <a:p>
                  <a:pPr>
                    <a:defRPr sz="900" b="1"/>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{851F7190-F5C5-4A95-8C68-A09105F6A1B1}</c15:txfldGUID>
                      <c15:f>'C13D'!$BL$56</c15:f>
                      <c15:dlblFieldTableCache>
                        <c:ptCount val="1"/>
                        <c:pt idx="0">
                          <c:v>2014</c:v>
                        </c:pt>
                      </c15:dlblFieldTableCache>
                    </c15:dlblFTEntry>
                  </c15:dlblFieldTable>
                  <c15:showDataLabelsRange val="0"/>
                </c:ext>
                <c:ext xmlns:c16="http://schemas.microsoft.com/office/drawing/2014/chart" uri="{C3380CC4-5D6E-409C-BE32-E72D297353CC}">
                  <c16:uniqueId val="{000000CB-F840-4D5C-B8F5-CBE0E3B9B154}"/>
                </c:ext>
              </c:extLst>
            </c:dLbl>
            <c:dLbl>
              <c:idx val="4"/>
              <c:tx>
                <c:strRef>
                  <c:f>'C13D'!$BL$57</c:f>
                  <c:strCache>
                    <c:ptCount val="1"/>
                    <c:pt idx="0">
                      <c:v>2015</c:v>
                    </c:pt>
                  </c:strCache>
                </c:strRef>
              </c:tx>
              <c:spPr>
                <a:noFill/>
                <a:ln>
                  <a:noFill/>
                </a:ln>
                <a:effectLst/>
              </c:spPr>
              <c:txPr>
                <a:bodyPr wrap="square" lIns="38100" tIns="19050" rIns="38100" bIns="19050" anchor="ctr">
                  <a:spAutoFit/>
                </a:bodyPr>
                <a:lstStyle/>
                <a:p>
                  <a:pPr>
                    <a:defRPr sz="900" b="1"/>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{E304253D-3FEA-4E21-89DE-E427CD8BFA52}</c15:txfldGUID>
                      <c15:f>'C13D'!$BL$57</c15:f>
                      <c15:dlblFieldTableCache>
                        <c:ptCount val="1"/>
                        <c:pt idx="0">
                          <c:v>2015</c:v>
                        </c:pt>
                      </c15:dlblFieldTableCache>
                    </c15:dlblFTEntry>
                  </c15:dlblFieldTable>
                  <c15:showDataLabelsRange val="0"/>
                </c:ext>
                <c:ext xmlns:c16="http://schemas.microsoft.com/office/drawing/2014/chart" uri="{C3380CC4-5D6E-409C-BE32-E72D297353CC}">
                  <c16:uniqueId val="{000000CC-F840-4D5C-B8F5-CBE0E3B9B154}"/>
                </c:ext>
              </c:extLst>
            </c:dLbl>
            <c:dLbl>
              <c:idx val="5"/>
              <c:tx>
                <c:strRef>
                  <c:f>'C13D'!$BL$58</c:f>
                  <c:strCache>
                    <c:ptCount val="1"/>
                    <c:pt idx="0">
                      <c:v>2016</c:v>
                    </c:pt>
                  </c:strCache>
                </c:strRef>
              </c:tx>
              <c:spPr>
                <a:noFill/>
                <a:ln>
                  <a:noFill/>
                </a:ln>
                <a:effectLst/>
              </c:spPr>
              <c:txPr>
                <a:bodyPr wrap="square" lIns="38100" tIns="19050" rIns="38100" bIns="19050" anchor="ctr">
                  <a:spAutoFit/>
                </a:bodyPr>
                <a:lstStyle/>
                <a:p>
                  <a:pPr>
                    <a:defRPr sz="900" b="1"/>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{7D2993B3-29C8-43BE-8E40-94FE92C30EA8}</c15:txfldGUID>
                      <c15:f>'C13D'!$BL$58</c15:f>
                      <c15:dlblFieldTableCache>
                        <c:ptCount val="1"/>
                        <c:pt idx="0">
                          <c:v>2016</c:v>
                        </c:pt>
                      </c15:dlblFieldTableCache>
                    </c15:dlblFTEntry>
                  </c15:dlblFieldTable>
                  <c15:showDataLabelsRange val="0"/>
                </c:ext>
                <c:ext xmlns:c16="http://schemas.microsoft.com/office/drawing/2014/chart" uri="{C3380CC4-5D6E-409C-BE32-E72D297353CC}">
                  <c16:uniqueId val="{000000CD-F840-4D5C-B8F5-CBE0E3B9B154}"/>
                </c:ext>
              </c:extLst>
            </c:dLbl>
            <c:dLbl>
              <c:idx val="6"/>
              <c:tx>
                <c:strRef>
                  <c:f>'C13D'!$BL$59</c:f>
                  <c:strCache>
                    <c:ptCount val="1"/>
                    <c:pt idx="0">
                      <c:v>2017</c:v>
                    </c:pt>
                  </c:strCache>
                </c:strRef>
              </c:tx>
              <c:spPr>
                <a:noFill/>
                <a:ln>
                  <a:noFill/>
                </a:ln>
                <a:effectLst/>
              </c:spPr>
              <c:txPr>
                <a:bodyPr wrap="square" lIns="38100" tIns="19050" rIns="38100" bIns="19050" anchor="ctr">
                  <a:spAutoFit/>
                </a:bodyPr>
                <a:lstStyle/>
                <a:p>
                  <a:pPr>
                    <a:defRPr sz="900" b="1"/>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{8354E805-4303-4326-AE6E-5EFAD31D6FDF}</c15:txfldGUID>
                      <c15:f>'C13D'!$BL$59</c15:f>
                      <c15:dlblFieldTableCache>
                        <c:ptCount val="1"/>
                        <c:pt idx="0">
                          <c:v>2017</c:v>
                        </c:pt>
                      </c15:dlblFieldTableCache>
                    </c15:dlblFTEntry>
                  </c15:dlblFieldTable>
                  <c15:showDataLabelsRange val="0"/>
                </c:ext>
                <c:ext xmlns:c16="http://schemas.microsoft.com/office/drawing/2014/chart" uri="{C3380CC4-5D6E-409C-BE32-E72D297353CC}">
                  <c16:uniqueId val="{000000CE-F840-4D5C-B8F5-CBE0E3B9B154}"/>
                </c:ext>
              </c:extLst>
            </c:dLbl>
            <c:dLbl>
              <c:idx val="7"/>
              <c:tx>
                <c:strRef>
                  <c:f>'C13D'!$BL$60</c:f>
                  <c:strCache>
                    <c:ptCount val="1"/>
                    <c:pt idx="0">
                      <c:v>2018</c:v>
                    </c:pt>
                  </c:strCache>
                </c:strRef>
              </c:tx>
              <c:spPr>
                <a:noFill/>
                <a:ln>
                  <a:noFill/>
                </a:ln>
                <a:effectLst/>
              </c:spPr>
              <c:txPr>
                <a:bodyPr wrap="square" lIns="38100" tIns="19050" rIns="38100" bIns="19050" anchor="ctr">
                  <a:spAutoFit/>
                </a:bodyPr>
                <a:lstStyle/>
                <a:p>
                  <a:pPr>
                    <a:defRPr sz="900" b="1"/>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{A0717428-5CC4-4A83-9835-F3E11300A5DC}</c15:txfldGUID>
                      <c15:f>'C13D'!$BL$60</c15:f>
                      <c15:dlblFieldTableCache>
                        <c:ptCount val="1"/>
                        <c:pt idx="0">
                          <c:v>2018</c:v>
                        </c:pt>
                      </c15:dlblFieldTableCache>
                    </c15:dlblFTEntry>
                  </c15:dlblFieldTable>
                  <c15:showDataLabelsRange val="0"/>
                </c:ext>
                <c:ext xmlns:c16="http://schemas.microsoft.com/office/drawing/2014/chart" uri="{C3380CC4-5D6E-409C-BE32-E72D297353CC}">
                  <c16:uniqueId val="{000000CF-F840-4D5C-B8F5-CBE0E3B9B154}"/>
                </c:ext>
              </c:extLst>
            </c:dLbl>
            <c:dLbl>
              <c:idx val="8"/>
              <c:tx>
                <c:strRef>
                  <c:f>'C13D'!$BL$61</c:f>
                  <c:strCache>
                    <c:ptCount val="1"/>
                    <c:pt idx="0">
                      <c:v>2019</c:v>
                    </c:pt>
                  </c:strCache>
                </c:strRef>
              </c:tx>
              <c:spPr>
                <a:noFill/>
                <a:ln>
                  <a:noFill/>
                </a:ln>
                <a:effectLst/>
              </c:spPr>
              <c:txPr>
                <a:bodyPr wrap="square" lIns="38100" tIns="19050" rIns="38100" bIns="19050" anchor="ctr">
                  <a:spAutoFit/>
                </a:bodyPr>
                <a:lstStyle/>
                <a:p>
                  <a:pPr>
                    <a:defRPr sz="900" b="1"/>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{C6DC9B68-4BEF-475B-BD6B-A0FBB2F644B2}</c15:txfldGUID>
                      <c15:f>'C13D'!$BL$61</c15:f>
                      <c15:dlblFieldTableCache>
                        <c:ptCount val="1"/>
                        <c:pt idx="0">
                          <c:v>2019</c:v>
                        </c:pt>
                      </c15:dlblFieldTableCache>
                    </c15:dlblFTEntry>
                  </c15:dlblFieldTable>
                  <c15:showDataLabelsRange val="0"/>
                </c:ext>
                <c:ext xmlns:c16="http://schemas.microsoft.com/office/drawing/2014/chart" uri="{C3380CC4-5D6E-409C-BE32-E72D297353CC}">
                  <c16:uniqueId val="{000000D0-F840-4D5C-B8F5-CBE0E3B9B154}"/>
                </c:ext>
              </c:extLst>
            </c:dLbl>
            <c:dLbl>
              <c:idx val="9"/>
              <c:tx>
                <c:strRef>
                  <c:f>'C13D'!$BL$62</c:f>
                  <c:strCache>
                    <c:ptCount val="1"/>
                    <c:pt idx="0">
                      <c:v>2020</c:v>
                    </c:pt>
                  </c:strCache>
                </c:strRef>
              </c:tx>
              <c:spPr>
                <a:noFill/>
                <a:ln>
                  <a:noFill/>
                </a:ln>
                <a:effectLst/>
              </c:spPr>
              <c:txPr>
                <a:bodyPr wrap="square" lIns="38100" tIns="19050" rIns="38100" bIns="19050" anchor="ctr">
                  <a:spAutoFit/>
                </a:bodyPr>
                <a:lstStyle/>
                <a:p>
                  <a:pPr>
                    <a:defRPr sz="900" b="1"/>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{7E8A46EB-2781-4F8E-AA44-BE2A763156F8}</c15:txfldGUID>
                      <c15:f>'C13D'!$BL$62</c15:f>
                      <c15:dlblFieldTableCache>
                        <c:ptCount val="1"/>
                        <c:pt idx="0">
                          <c:v>2020</c:v>
                        </c:pt>
                      </c15:dlblFieldTableCache>
                    </c15:dlblFTEntry>
                  </c15:dlblFieldTable>
                  <c15:showDataLabelsRange val="0"/>
                </c:ext>
                <c:ext xmlns:c16="http://schemas.microsoft.com/office/drawing/2014/chart" uri="{C3380CC4-5D6E-409C-BE32-E72D297353CC}">
                  <c16:uniqueId val="{000000D1-F840-4D5C-B8F5-CBE0E3B9B154}"/>
                </c:ext>
              </c:extLst>
            </c:dLbl>
            <c:dLbl>
              <c:idx val="10"/>
              <c:tx>
                <c:strRef>
                  <c:f>'C13D'!$BL$63</c:f>
                  <c:strCache>
                    <c:ptCount val="1"/>
                    <c:pt idx="0">
                      <c:v>2021</c:v>
                    </c:pt>
                  </c:strCache>
                </c:strRef>
              </c:tx>
              <c:spPr>
                <a:noFill/>
                <a:ln>
                  <a:noFill/>
                </a:ln>
                <a:effectLst/>
              </c:spPr>
              <c:txPr>
                <a:bodyPr wrap="square" lIns="38100" tIns="19050" rIns="38100" bIns="19050" anchor="ctr">
                  <a:spAutoFit/>
                </a:bodyPr>
                <a:lstStyle/>
                <a:p>
                  <a:pPr>
                    <a:defRPr sz="900" b="1"/>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{828B9C91-11CD-43C8-A82C-9E909DA5F7F6}</c15:txfldGUID>
                      <c15:f>'C13D'!$BL$63</c15:f>
                      <c15:dlblFieldTableCache>
                        <c:ptCount val="1"/>
                        <c:pt idx="0">
                          <c:v>2021</c:v>
                        </c:pt>
                      </c15:dlblFieldTableCache>
                    </c15:dlblFTEntry>
                  </c15:dlblFieldTable>
                  <c15:showDataLabelsRange val="0"/>
                </c:ext>
                <c:ext xmlns:c16="http://schemas.microsoft.com/office/drawing/2014/chart" uri="{C3380CC4-5D6E-409C-BE32-E72D297353CC}">
                  <c16:uniqueId val="{000000D2-F840-4D5C-B8F5-CBE0E3B9B154}"/>
                </c:ext>
              </c:extLst>
            </c:dLbl>
            <c:dLbl>
              <c:idx val="11"/>
              <c:tx>
                <c:strRef>
                  <c:f>'C13D'!$BL$64</c:f>
                  <c:strCache>
                    <c:ptCount val="1"/>
                    <c:pt idx="0">
                      <c:v>2022</c:v>
                    </c:pt>
                  </c:strCache>
                </c:strRef>
              </c:tx>
              <c:spPr>
                <a:noFill/>
                <a:ln>
                  <a:noFill/>
                </a:ln>
                <a:effectLst/>
              </c:spPr>
              <c:txPr>
                <a:bodyPr wrap="square" lIns="38100" tIns="19050" rIns="38100" bIns="19050" anchor="ctr">
                  <a:spAutoFit/>
                </a:bodyPr>
                <a:lstStyle/>
                <a:p>
                  <a:pPr>
                    <a:defRPr sz="900" b="1"/>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{1BE9A24A-B74C-4EE9-840D-8BCBDF4A8BE3}</c15:txfldGUID>
                      <c15:f>'C13D'!$BL$64</c15:f>
                      <c15:dlblFieldTableCache>
                        <c:ptCount val="1"/>
                        <c:pt idx="0">
                          <c:v>2022</c:v>
                        </c:pt>
                      </c15:dlblFieldTableCache>
                    </c15:dlblFTEntry>
                  </c15:dlblFieldTable>
                  <c15:showDataLabelsRange val="0"/>
                </c:ext>
                <c:ext xmlns:c16="http://schemas.microsoft.com/office/drawing/2014/chart" uri="{C3380CC4-5D6E-409C-BE32-E72D297353CC}">
                  <c16:uniqueId val="{000000D3-F840-4D5C-B8F5-CBE0E3B9B154}"/>
                </c:ext>
              </c:extLst>
            </c:dLbl>
            <c:dLbl>
              <c:idx val="12"/>
              <c:tx>
                <c:strRef>
                  <c:f>'C13D'!$BL$65</c:f>
                  <c:strCache>
                    <c:ptCount val="1"/>
                    <c:pt idx="0">
                      <c:v>2023</c:v>
                    </c:pt>
                  </c:strCache>
                </c:strRef>
              </c:tx>
              <c:spPr>
                <a:noFill/>
                <a:ln>
                  <a:noFill/>
                </a:ln>
                <a:effectLst/>
              </c:spPr>
              <c:txPr>
                <a:bodyPr wrap="square" lIns="38100" tIns="19050" rIns="38100" bIns="19050" anchor="ctr">
                  <a:spAutoFit/>
                </a:bodyPr>
                <a:lstStyle/>
                <a:p>
                  <a:pPr>
                    <a:defRPr sz="900" b="1"/>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{5FDC22DF-48E5-49CD-8946-5B4070224A2D}</c15:txfldGUID>
                      <c15:f>'C13D'!$BL$65</c15:f>
                      <c15:dlblFieldTableCache>
                        <c:ptCount val="1"/>
                        <c:pt idx="0">
                          <c:v>2023</c:v>
                        </c:pt>
                      </c15:dlblFieldTableCache>
                    </c15:dlblFTEntry>
                  </c15:dlblFieldTable>
                  <c15:showDataLabelsRange val="0"/>
                </c:ext>
                <c:ext xmlns:c16="http://schemas.microsoft.com/office/drawing/2014/chart" uri="{C3380CC4-5D6E-409C-BE32-E72D297353CC}">
                  <c16:uniqueId val="{000000D4-F840-4D5C-B8F5-CBE0E3B9B154}"/>
                </c:ext>
              </c:extLst>
            </c:dLbl>
            <c:dLbl>
              <c:idx val="13"/>
              <c:tx>
                <c:strRef>
                  <c:f>'C13D'!$BL$66</c:f>
                  <c:strCache>
                    <c:ptCount val="1"/>
                    <c:pt idx="0">
                      <c:v>2024</c:v>
                    </c:pt>
                  </c:strCache>
                </c:strRef>
              </c:tx>
              <c:spPr>
                <a:noFill/>
                <a:ln>
                  <a:noFill/>
                </a:ln>
                <a:effectLst/>
              </c:spPr>
              <c:txPr>
                <a:bodyPr wrap="square" lIns="38100" tIns="19050" rIns="38100" bIns="19050" anchor="ctr">
                  <a:spAutoFit/>
                </a:bodyPr>
                <a:lstStyle/>
                <a:p>
                  <a:pPr>
                    <a:defRPr sz="900" b="1"/>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{D8B29E97-0F21-4CB4-90F7-FED8CCFCB44D}</c15:txfldGUID>
                      <c15:f>'C13D'!$BL$66</c15:f>
                      <c15:dlblFieldTableCache>
                        <c:ptCount val="1"/>
                        <c:pt idx="0">
                          <c:v>2024</c:v>
                        </c:pt>
                      </c15:dlblFieldTableCache>
                    </c15:dlblFTEntry>
                  </c15:dlblFieldTable>
                  <c15:showDataLabelsRange val="0"/>
                </c:ext>
                <c:ext xmlns:c16="http://schemas.microsoft.com/office/drawing/2014/chart" uri="{C3380CC4-5D6E-409C-BE32-E72D297353CC}">
                  <c16:uniqueId val="{000000D5-F840-4D5C-B8F5-CBE0E3B9B154}"/>
                </c:ext>
              </c:extLst>
            </c:dLbl>
            <c:dLbl>
              <c:idx val="14"/>
              <c:tx>
                <c:strRef>
                  <c:f>'C13D'!$BL$67</c:f>
                  <c:strCache>
                    <c:ptCount val="1"/>
                    <c:pt idx="0">
                      <c:v>2025</c:v>
                    </c:pt>
                  </c:strCache>
                </c:strRef>
              </c:tx>
              <c:spPr>
                <a:noFill/>
                <a:ln>
                  <a:noFill/>
                </a:ln>
                <a:effectLst/>
              </c:spPr>
              <c:txPr>
                <a:bodyPr wrap="square" lIns="38100" tIns="19050" rIns="38100" bIns="19050" anchor="ctr">
                  <a:spAutoFit/>
                </a:bodyPr>
                <a:lstStyle/>
                <a:p>
                  <a:pPr>
                    <a:defRPr sz="900" b="1"/>
                  </a:pPr>
                  <a:endParaRPr lang="en-US"/>
                </a:p>
              </c:txPr>
              <c:dLblPos val="r"/>
              <c:showLegendKey val="0"/>
              <c:showVal val="1"/>
              <c:showCatName val="0"/>
              <c:showSerName val="0"/>
              <c:showPercent val="0"/>
              <c:showBubbleSize val="0"/>
              <c:extLst>
                <c:ext xmlns:c15="http://schemas.microsoft.com/office/drawing/2012/chart" uri="{CE6537A1-D6FC-4f65-9D91-7224C49458BB}">
                  <c15:dlblFieldTable>
                    <c15:dlblFTEntry>
                      <c15:txfldGUID>{61C4AB5E-1A8E-4349-B0F8-FD456BB2829B}</c15:txfldGUID>
                      <c15:f>'C13D'!$BL$67</c15:f>
                      <c15:dlblFieldTableCache>
                        <c:ptCount val="1"/>
                        <c:pt idx="0">
                          <c:v>2025</c:v>
                        </c:pt>
                      </c15:dlblFieldTableCache>
                    </c15:dlblFTEntry>
                  </c15:dlblFieldTable>
                  <c15:showDataLabelsRange val="0"/>
                </c:ext>
                <c:ext xmlns:c16="http://schemas.microsoft.com/office/drawing/2014/chart" uri="{C3380CC4-5D6E-409C-BE32-E72D297353CC}">
                  <c16:uniqueId val="{000000D6-F840-4D5C-B8F5-CBE0E3B9B154}"/>
                </c:ext>
              </c:extLst>
            </c:dLbl>
            <c:dLbl>
              <c:idx val="15"/>
              <c:delete val="1"/>
              <c:extLst>
                <c:ext xmlns:c15="http://schemas.microsoft.com/office/drawing/2012/chart" uri="{CE6537A1-D6FC-4f65-9D91-7224C49458BB}"/>
                <c:ext xmlns:c16="http://schemas.microsoft.com/office/drawing/2014/chart" uri="{C3380CC4-5D6E-409C-BE32-E72D297353CC}">
                  <c16:uniqueId val="{000000D7-F840-4D5C-B8F5-CBE0E3B9B15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'C13D'!$BJ$53:$BJ$68</c:f>
              <c:numCache>
                <c:formatCode>General</c:formatCode>
                <c:ptCount val="16"/>
                <c:pt idx="0">
                  <c:v>4</c:v>
                </c:pt>
                <c:pt idx="1">
                  <c:v>17</c:v>
                </c:pt>
                <c:pt idx="2">
                  <c:v>30</c:v>
                </c:pt>
                <c:pt idx="3">
                  <c:v>43</c:v>
                </c:pt>
                <c:pt idx="4">
                  <c:v>4</c:v>
                </c:pt>
                <c:pt idx="5">
                  <c:v>17</c:v>
                </c:pt>
                <c:pt idx="6">
                  <c:v>30</c:v>
                </c:pt>
                <c:pt idx="7">
                  <c:v>43</c:v>
                </c:pt>
                <c:pt idx="8">
                  <c:v>4</c:v>
                </c:pt>
                <c:pt idx="9">
                  <c:v>17</c:v>
                </c:pt>
                <c:pt idx="10">
                  <c:v>30</c:v>
                </c:pt>
                <c:pt idx="11">
                  <c:v>43</c:v>
                </c:pt>
                <c:pt idx="12">
                  <c:v>4</c:v>
                </c:pt>
                <c:pt idx="13">
                  <c:v>17</c:v>
                </c:pt>
                <c:pt idx="14">
                  <c:v>30</c:v>
                </c:pt>
                <c:pt idx="15">
                  <c:v>43</c:v>
                </c:pt>
              </c:numCache>
            </c:numRef>
          </c:xVal>
          <c:yVal>
            <c:numRef>
              <c:f>'C13D'!$BK$53:$BK$68</c:f>
              <c:numCache>
                <c:formatCode>General</c:formatCode>
                <c:ptCount val="16"/>
                <c:pt idx="0">
                  <c:v>3.8499999999999996</c:v>
                </c:pt>
                <c:pt idx="1">
                  <c:v>3.8499999999999996</c:v>
                </c:pt>
                <c:pt idx="2">
                  <c:v>3.8499999999999996</c:v>
                </c:pt>
                <c:pt idx="3">
                  <c:v>3.8499999999999996</c:v>
                </c:pt>
                <c:pt idx="4">
                  <c:v>2.8499999999999996</c:v>
                </c:pt>
                <c:pt idx="5">
                  <c:v>2.8499999999999996</c:v>
                </c:pt>
                <c:pt idx="6">
                  <c:v>2.8499999999999996</c:v>
                </c:pt>
                <c:pt idx="7">
                  <c:v>2.8499999999999996</c:v>
                </c:pt>
                <c:pt idx="8">
                  <c:v>1.8499999999999999</c:v>
                </c:pt>
                <c:pt idx="9">
                  <c:v>1.8499999999999999</c:v>
                </c:pt>
                <c:pt idx="10">
                  <c:v>1.8499999999999999</c:v>
                </c:pt>
                <c:pt idx="11">
                  <c:v>1.8499999999999999</c:v>
                </c:pt>
                <c:pt idx="12">
                  <c:v>0.85</c:v>
                </c:pt>
                <c:pt idx="13">
                  <c:v>0.85</c:v>
                </c:pt>
                <c:pt idx="14">
                  <c:v>0.85</c:v>
                </c:pt>
                <c:pt idx="15">
                  <c:v>0.85</c:v>
                </c:pt>
              </c:numCache>
            </c:numRef>
          </c:yVal>
          <c:smooth val="0"/>
          <c:extLst>
            <c:ext xmlns:c16="http://schemas.microsoft.com/office/drawing/2014/chart" uri="{C3380CC4-5D6E-409C-BE32-E72D297353CC}">
              <c16:uniqueId val="{000000C6-F840-4D5C-B8F5-CBE0E3B9B154}"/>
            </c:ext>
          </c:extLst>
        </c:ser>
        <c:ser>
          <c:idx val="12"/>
          <c:order val="12"/>
          <c:tx>
            <c:v>ytick</c:v>
          </c:tx>
          <c:spPr>
            <a:ln w="38100">
              <a:noFill/>
            </a:ln>
          </c:spPr>
          <c:marker>
            <c:symbol val="none"/>
          </c:marker>
          <c:xVal>
            <c:numRef>
              <c:f>'C13D'!$BN$53:$BN$64</c:f>
              <c:numCache>
                <c:formatCode>General</c:formatCode>
                <c:ptCount val="12"/>
                <c:pt idx="0">
                  <c:v>3.35</c:v>
                </c:pt>
                <c:pt idx="1">
                  <c:v>3.35</c:v>
                </c:pt>
                <c:pt idx="2">
                  <c:v>3.35</c:v>
                </c:pt>
                <c:pt idx="3">
                  <c:v>3.35</c:v>
                </c:pt>
                <c:pt idx="4">
                  <c:v>3.35</c:v>
                </c:pt>
                <c:pt idx="5">
                  <c:v>3.35</c:v>
                </c:pt>
                <c:pt idx="6">
                  <c:v>3.35</c:v>
                </c:pt>
                <c:pt idx="7">
                  <c:v>3.35</c:v>
                </c:pt>
                <c:pt idx="8">
                  <c:v>3.35</c:v>
                </c:pt>
                <c:pt idx="9">
                  <c:v>3.35</c:v>
                </c:pt>
                <c:pt idx="10">
                  <c:v>3.35</c:v>
                </c:pt>
                <c:pt idx="11">
                  <c:v>3.35</c:v>
                </c:pt>
              </c:numCache>
            </c:numRef>
          </c:xVal>
          <c:yVal>
            <c:numRef>
              <c:f>'C13D'!$BO$53:$BO$64</c:f>
              <c:numCache>
                <c:formatCode>General</c:formatCode>
                <c:ptCount val="12"/>
                <c:pt idx="0">
                  <c:v>0</c:v>
                </c:pt>
                <c:pt idx="1">
                  <c:v>0.41</c:v>
                </c:pt>
                <c:pt idx="2">
                  <c:v>0.82</c:v>
                </c:pt>
                <c:pt idx="3">
                  <c:v>1</c:v>
                </c:pt>
                <c:pt idx="4">
                  <c:v>1.41</c:v>
                </c:pt>
                <c:pt idx="5">
                  <c:v>1.8199999999999998</c:v>
                </c:pt>
                <c:pt idx="6">
                  <c:v>2</c:v>
                </c:pt>
                <c:pt idx="7">
                  <c:v>2.41</c:v>
                </c:pt>
                <c:pt idx="8">
                  <c:v>2.82</c:v>
                </c:pt>
                <c:pt idx="9">
                  <c:v>3</c:v>
                </c:pt>
                <c:pt idx="10">
                  <c:v>3.41</c:v>
                </c:pt>
                <c:pt idx="11">
                  <c:v>3.82</c:v>
                </c:pt>
              </c:numCache>
            </c:numRef>
          </c:yVal>
          <c:smooth val="0"/>
          <c:extLst>
            <c:ext xmlns:c16="http://schemas.microsoft.com/office/drawing/2014/chart" uri="{C3380CC4-5D6E-409C-BE32-E72D297353CC}">
              <c16:uniqueId val="{000000C7-F840-4D5C-B8F5-CBE0E3B9B154}"/>
            </c:ext>
          </c:extLst>
        </c:ser>
        <c:dLbls>
          <c:showLegendKey val="0"/>
          <c:showVal val="0"/>
          <c:showCatName val="0"/>
          <c:showSerName val="0"/>
          <c:showPercent val="0"/>
          <c:showBubbleSize val="0"/>
        </c:dLbls>
        <c:axId val="1238322032"/>
        <c:axId val="1238314832"/>
      </c:scatterChart>
      <c:catAx>
        <c:axId val="1619158352"/>
        <c:scaling>
          <c:orientation val="minMax"/>
        </c:scaling>
        <c:delete val="0"/>
        <c:axPos val="b"/>
        <c:numFmt formatCode="General" sourceLinked="1"/>
        <c:majorTickMark val="none"/>
        <c:minorTickMark val="none"/>
        <c:tickLblPos val="low"/>
        <c:spPr>
          <a:ln>
            <a:solidFill>
              <a:srgbClr val="A6A6A6"/>
            </a:solidFill>
          </a:ln>
        </c:spPr>
        <c:txPr>
          <a:bodyPr/>
          <a:lstStyle/>
          <a:p>
            <a:pPr>
              <a:defRPr sz="800"/>
            </a:pPr>
            <a:endParaRPr lang="en-US"/>
          </a:p>
        </c:txPr>
        <c:crossAx val="1238321552"/>
        <c:crosses val="min"/>
        <c:auto val="1"/>
        <c:lblAlgn val="ctr"/>
        <c:lblOffset val="100"/>
        <c:noMultiLvlLbl val="0"/>
      </c:catAx>
      <c:valAx>
        <c:axId val="1238321552"/>
        <c:scaling>
          <c:orientation val="minMax"/>
          <c:max val="4"/>
          <c:min val="-9.0000000000000024E-2"/>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9158352"/>
        <c:crosses val="autoZero"/>
        <c:crossBetween val="between"/>
      </c:valAx>
      <c:valAx>
        <c:axId val="1238314832"/>
        <c:scaling>
          <c:orientation val="minMax"/>
          <c:max val="4"/>
          <c:min val="-9.0000000000000024E-2"/>
        </c:scaling>
        <c:delete val="0"/>
        <c:axPos val="r"/>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38322032"/>
        <c:crosses val="max"/>
        <c:crossBetween val="midCat"/>
      </c:valAx>
      <c:valAx>
        <c:axId val="1238322032"/>
        <c:scaling>
          <c:orientation val="minMax"/>
          <c:max val="54.5"/>
          <c:min val="0.5"/>
        </c:scaling>
        <c:delete val="1"/>
        <c:axPos val="b"/>
        <c:numFmt formatCode="General" sourceLinked="1"/>
        <c:majorTickMark val="none"/>
        <c:minorTickMark val="none"/>
        <c:tickLblPos val="none"/>
        <c:crossAx val="1238314832"/>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dPt>
            <c:idx val="0"/>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8-A4DA-4B7E-B21F-163082D3A71A}"/>
              </c:ext>
            </c:extLst>
          </c:dPt>
          <c:dPt>
            <c:idx val="1"/>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A4DA-4B7E-B21F-163082D3A71A}"/>
              </c:ext>
            </c:extLst>
          </c:dPt>
          <c:dPt>
            <c:idx val="2"/>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A-A4DA-4B7E-B21F-163082D3A71A}"/>
              </c:ext>
            </c:extLst>
          </c:dPt>
          <c:dPt>
            <c:idx val="3"/>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A4DA-4B7E-B21F-163082D3A71A}"/>
              </c:ext>
            </c:extLst>
          </c:dPt>
          <c:dPt>
            <c:idx val="4"/>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C-A4DA-4B7E-B21F-163082D3A71A}"/>
              </c:ext>
            </c:extLst>
          </c:dPt>
          <c:dPt>
            <c:idx val="5"/>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A4DA-4B7E-B21F-163082D3A71A}"/>
              </c:ext>
            </c:extLst>
          </c:dPt>
          <c:dPt>
            <c:idx val="6"/>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E-A4DA-4B7E-B21F-163082D3A71A}"/>
              </c:ext>
            </c:extLst>
          </c:dPt>
          <c:dPt>
            <c:idx val="7"/>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F-A4DA-4B7E-B21F-163082D3A71A}"/>
              </c:ext>
            </c:extLst>
          </c:dPt>
          <c:dPt>
            <c:idx val="8"/>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0-A4DA-4B7E-B21F-163082D3A71A}"/>
              </c:ext>
            </c:extLst>
          </c:dPt>
          <c:dPt>
            <c:idx val="9"/>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1-A4DA-4B7E-B21F-163082D3A71A}"/>
              </c:ext>
            </c:extLst>
          </c:dPt>
          <c:dPt>
            <c:idx val="10"/>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2-A4DA-4B7E-B21F-163082D3A71A}"/>
              </c:ext>
            </c:extLst>
          </c:dPt>
          <c:dPt>
            <c:idx val="11"/>
            <c:invertIfNegative val="0"/>
            <c:bubble3D val="0"/>
            <c:spPr>
              <a:solidFill>
                <a:srgbClr val="40404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13-A4DA-4B7E-B21F-163082D3A71A}"/>
              </c:ext>
            </c:extLst>
          </c:dPt>
          <c:dLbls>
            <c:numFmt formatCode="0" sourceLinked="0"/>
            <c:spPr>
              <a:noFill/>
              <a:ln>
                <a:noFill/>
              </a:ln>
              <a:effectLst/>
            </c:spPr>
            <c:txPr>
              <a:bodyPr wrap="square" lIns="38100" tIns="19050" rIns="38100" bIns="19050" anchor="ctr">
                <a:spAutoFit/>
              </a:bodyPr>
              <a:lstStyle/>
              <a:p>
                <a:pPr>
                  <a:defRPr sz="7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'C13D'!$B$12:$M$12</c:f>
              <c:numCache>
                <c:formatCode>0</c:formatCode>
                <c:ptCount val="12"/>
                <c:pt idx="0">
                  <c:v>1458.3</c:v>
                </c:pt>
                <c:pt idx="1">
                  <c:v>1379.2</c:v>
                </c:pt>
                <c:pt idx="2">
                  <c:v>1325</c:v>
                </c:pt>
                <c:pt idx="3">
                  <c:v>1672</c:v>
                </c:pt>
                <c:pt idx="4">
                  <c:v>1217.4000000000001</c:v>
                </c:pt>
                <c:pt idx="5">
                  <c:v>1239.7</c:v>
                </c:pt>
                <c:pt idx="6">
                  <c:v>1648</c:v>
                </c:pt>
                <c:pt idx="7">
                  <c:v>1285.5</c:v>
                </c:pt>
                <c:pt idx="8">
                  <c:v>1308.3</c:v>
                </c:pt>
                <c:pt idx="9">
                  <c:v>1571.9</c:v>
                </c:pt>
                <c:pt idx="10">
                  <c:v>1129.9000000000001</c:v>
                </c:pt>
                <c:pt idx="11">
                  <c:v>1137.5</c:v>
                </c:pt>
              </c:numCache>
            </c:numRef>
          </c:cat>
          <c:val>
            <c:numRef>
              <c:f>'C13D'!$B$26:$M$26</c:f>
              <c:numCache>
                <c:formatCode>0</c:formatCode>
                <c:ptCount val="12"/>
                <c:pt idx="0">
                  <c:v>3166.5133333333333</c:v>
                </c:pt>
                <c:pt idx="1">
                  <c:v>3179.1733333333336</c:v>
                </c:pt>
                <c:pt idx="2">
                  <c:v>3243.4533333333329</c:v>
                </c:pt>
                <c:pt idx="3">
                  <c:v>3532.44</c:v>
                </c:pt>
                <c:pt idx="4">
                  <c:v>2843.6933333333336</c:v>
                </c:pt>
                <c:pt idx="5">
                  <c:v>2881.6266666666661</c:v>
                </c:pt>
                <c:pt idx="6">
                  <c:v>3574.6866666666665</c:v>
                </c:pt>
                <c:pt idx="7">
                  <c:v>3102.1466666666665</c:v>
                </c:pt>
                <c:pt idx="8">
                  <c:v>3125.98</c:v>
                </c:pt>
                <c:pt idx="9">
                  <c:v>3516.0200000000009</c:v>
                </c:pt>
                <c:pt idx="10">
                  <c:v>2750.1933333333336</c:v>
                </c:pt>
                <c:pt idx="11">
                  <c:v>2814.3866666666663</c:v>
                </c:pt>
              </c:numCache>
            </c:numRef>
          </c:val>
          <c:extLst>
            <c:ext xmlns:c16="http://schemas.microsoft.com/office/drawing/2014/chart" uri="{C3380CC4-5D6E-409C-BE32-E72D297353CC}">
              <c16:uniqueId val="{00000007-A4DA-4B7E-B21F-163082D3A71A}"/>
            </c:ext>
          </c:extLst>
        </c:ser>
        <c:dLbls>
          <c:showLegendKey val="0"/>
          <c:showVal val="0"/>
          <c:showCatName val="0"/>
          <c:showSerName val="0"/>
          <c:showPercent val="0"/>
          <c:showBubbleSize val="0"/>
        </c:dLbls>
        <c:gapWidth val="40"/>
        <c:axId val="1619167168"/>
        <c:axId val="1238076272"/>
      </c:barChart>
      <c:catAx>
        <c:axId val="1619167168"/>
        <c:scaling>
          <c:orientation val="minMax"/>
        </c:scaling>
        <c:delete val="0"/>
        <c:axPos val="b"/>
        <c:numFmt formatCode="0" sourceLinked="1"/>
        <c:majorTickMark val="none"/>
        <c:minorTickMark val="none"/>
        <c:tickLblPos val="none"/>
        <c:crossAx val="1238076272"/>
        <c:crosses val="autoZero"/>
        <c:auto val="1"/>
        <c:lblAlgn val="ctr"/>
        <c:lblOffset val="100"/>
        <c:noMultiLvlLbl val="0"/>
      </c:catAx>
      <c:valAx>
        <c:axId val="1238076272"/>
        <c:scaling>
          <c:orientation val="minMax"/>
          <c:max val="5183.75"/>
          <c:min val="0"/>
        </c:scaling>
        <c:delete val="0"/>
        <c:axPos val="l"/>
        <c:numFmt formatCode="0"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9167168"/>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ECECEC"/>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837592320081036E-2"/>
          <c:y val="3.4482508950971484E-2"/>
          <c:w val="0.93162407679918968"/>
          <c:h val="0.96551749104902851"/>
        </c:manualLayout>
      </c:layout>
      <c:barChart>
        <c:barDir val="bar"/>
        <c:grouping val="clustered"/>
        <c:varyColors val="0"/>
        <c:ser>
          <c:idx val="0"/>
          <c:order val="0"/>
          <c:tx>
            <c:v>ΔPL</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dLbls>
            <c:dLbl>
              <c:idx val="0"/>
              <c:tx>
                <c:strRef>
                  <c:f>T02A!$P$15</c:f>
                  <c:strCache>
                    <c:ptCount val="1"/>
                    <c:pt idx="0">
                      <c:v>+323</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{E1F391B9-BF68-42F0-A928-C4537BF33D3F}</c15:txfldGUID>
                      <c15:f>T02A!$P$15</c15:f>
                      <c15:dlblFieldTableCache>
                        <c:ptCount val="1"/>
                        <c:pt idx="0">
                          <c:v>+323</c:v>
                        </c:pt>
                      </c15:dlblFieldTableCache>
                    </c15:dlblFTEntry>
                  </c15:dlblFieldTable>
                  <c15:showDataLabelsRange val="0"/>
                </c:ext>
                <c:ext xmlns:c16="http://schemas.microsoft.com/office/drawing/2014/chart" uri="{C3380CC4-5D6E-409C-BE32-E72D297353CC}">
                  <c16:uniqueId val="{00000002-7862-4B8B-A68E-C86398A952F9}"/>
                </c:ext>
              </c:extLst>
            </c:dLbl>
            <c:dLbl>
              <c:idx val="1"/>
              <c:tx>
                <c:strRef>
                  <c:f>T02A!$P$16</c:f>
                  <c:strCache>
                    <c:ptCount val="1"/>
                    <c:pt idx="0">
                      <c:v>+253</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{089AE51A-2F8C-4B57-BD55-E742F9833E5E}</c15:txfldGUID>
                      <c15:f>T02A!$P$16</c15:f>
                      <c15:dlblFieldTableCache>
                        <c:ptCount val="1"/>
                        <c:pt idx="0">
                          <c:v>+253</c:v>
                        </c:pt>
                      </c15:dlblFieldTableCache>
                    </c15:dlblFTEntry>
                  </c15:dlblFieldTable>
                  <c15:showDataLabelsRange val="0"/>
                </c:ext>
                <c:ext xmlns:c16="http://schemas.microsoft.com/office/drawing/2014/chart" uri="{C3380CC4-5D6E-409C-BE32-E72D297353CC}">
                  <c16:uniqueId val="{00000003-7862-4B8B-A68E-C86398A952F9}"/>
                </c:ext>
              </c:extLst>
            </c:dLbl>
            <c:dLbl>
              <c:idx val="2"/>
              <c:tx>
                <c:strRef>
                  <c:f>T02A!$P$17</c:f>
                  <c:strCache>
                    <c:ptCount val="1"/>
                    <c:pt idx="0">
                      <c:v>+43</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{12EE9F4A-0665-4C7D-BBEE-7882607D06F0}</c15:txfldGUID>
                      <c15:f>T02A!$P$17</c15:f>
                      <c15:dlblFieldTableCache>
                        <c:ptCount val="1"/>
                        <c:pt idx="0">
                          <c:v>+43</c:v>
                        </c:pt>
                      </c15:dlblFieldTableCache>
                    </c15:dlblFTEntry>
                  </c15:dlblFieldTable>
                  <c15:showDataLabelsRange val="0"/>
                </c:ext>
                <c:ext xmlns:c16="http://schemas.microsoft.com/office/drawing/2014/chart" uri="{C3380CC4-5D6E-409C-BE32-E72D297353CC}">
                  <c16:uniqueId val="{00000004-7862-4B8B-A68E-C86398A952F9}"/>
                </c:ext>
              </c:extLst>
            </c:dLbl>
            <c:dLbl>
              <c:idx val="3"/>
              <c:tx>
                <c:strRef>
                  <c:f>T02A!$P$18</c:f>
                  <c:strCache>
                    <c:ptCount val="1"/>
                    <c:pt idx="0">
                      <c:v>+619</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{94951697-597F-4AA3-AF92-0F0DF0EF097D}</c15:txfldGUID>
                      <c15:f>T02A!$P$18</c15:f>
                      <c15:dlblFieldTableCache>
                        <c:ptCount val="1"/>
                        <c:pt idx="0">
                          <c:v>+619</c:v>
                        </c:pt>
                      </c15:dlblFieldTableCache>
                    </c15:dlblFTEntry>
                  </c15:dlblFieldTable>
                  <c15:showDataLabelsRange val="0"/>
                </c:ext>
                <c:ext xmlns:c16="http://schemas.microsoft.com/office/drawing/2014/chart" uri="{C3380CC4-5D6E-409C-BE32-E72D297353CC}">
                  <c16:uniqueId val="{00000005-7862-4B8B-A68E-C86398A952F9}"/>
                </c:ext>
              </c:extLst>
            </c:dLbl>
            <c:dLbl>
              <c:idx val="4"/>
              <c:tx>
                <c:strRef>
                  <c:f>T02A!$P$19</c:f>
                  <c:strCache>
                    <c:ptCount val="1"/>
                    <c:pt idx="0">
                      <c:v>+58</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{3D502FD0-FF16-4CA8-8D8C-2D632CCBBF18}</c15:txfldGUID>
                      <c15:f>T02A!$P$19</c15:f>
                      <c15:dlblFieldTableCache>
                        <c:ptCount val="1"/>
                        <c:pt idx="0">
                          <c:v>+58</c:v>
                        </c:pt>
                      </c15:dlblFieldTableCache>
                    </c15:dlblFTEntry>
                  </c15:dlblFieldTable>
                  <c15:showDataLabelsRange val="0"/>
                </c:ext>
                <c:ext xmlns:c16="http://schemas.microsoft.com/office/drawing/2014/chart" uri="{C3380CC4-5D6E-409C-BE32-E72D297353CC}">
                  <c16:uniqueId val="{00000006-7862-4B8B-A68E-C86398A952F9}"/>
                </c:ext>
              </c:extLst>
            </c:dLbl>
            <c:dLbl>
              <c:idx val="5"/>
              <c:tx>
                <c:strRef>
                  <c:f>T02A!$P$20</c:f>
                  <c:strCache>
                    <c:ptCount val="1"/>
                    <c:pt idx="0">
                      <c:v>0</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{11C960F0-89DB-4F5C-8D32-11F5986A61D8}</c15:txfldGUID>
                      <c15:f>T02A!$P$20</c15:f>
                      <c15:dlblFieldTableCache>
                        <c:ptCount val="1"/>
                        <c:pt idx="0">
                          <c:v>0</c:v>
                        </c:pt>
                      </c15:dlblFieldTableCache>
                    </c15:dlblFTEntry>
                  </c15:dlblFieldTable>
                  <c15:showDataLabelsRange val="0"/>
                </c:ext>
                <c:ext xmlns:c16="http://schemas.microsoft.com/office/drawing/2014/chart" uri="{C3380CC4-5D6E-409C-BE32-E72D297353CC}">
                  <c16:uniqueId val="{00000007-7862-4B8B-A68E-C86398A952F9}"/>
                </c:ext>
              </c:extLst>
            </c:dLbl>
            <c:dLbl>
              <c:idx val="6"/>
              <c:tx>
                <c:strRef>
                  <c:f>T02A!$P$21</c:f>
                  <c:strCache>
                    <c:ptCount val="1"/>
                    <c:pt idx="0">
                      <c:v>+677</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{3D101144-3985-45D3-AFFB-8199A9F73D72}</c15:txfldGUID>
                      <c15:f>T02A!$P$21</c15:f>
                      <c15:dlblFieldTableCache>
                        <c:ptCount val="1"/>
                        <c:pt idx="0">
                          <c:v>+677</c:v>
                        </c:pt>
                      </c15:dlblFieldTableCache>
                    </c15:dlblFTEntry>
                  </c15:dlblFieldTable>
                  <c15:showDataLabelsRange val="0"/>
                </c:ext>
                <c:ext xmlns:c16="http://schemas.microsoft.com/office/drawing/2014/chart" uri="{C3380CC4-5D6E-409C-BE32-E72D297353CC}">
                  <c16:uniqueId val="{00000008-7862-4B8B-A68E-C86398A952F9}"/>
                </c:ext>
              </c:extLst>
            </c:dLbl>
            <c:numFmt formatCode="[&gt;0.5]\+0;[&lt;-0.5]\-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T02A!$F$15:$F$21</c:f>
              <c:strCache>
                <c:ptCount val="7"/>
                <c:pt idx="0">
                  <c:v>Agency</c:v>
                </c:pt>
                <c:pt idx="1">
                  <c:v>Direct</c:v>
                </c:pt>
                <c:pt idx="2">
                  <c:v>Property</c:v>
                </c:pt>
                <c:pt idx="3">
                  <c:v>Personal Lines</c:v>
                </c:pt>
                <c:pt idx="4">
                  <c:v>Commercial Lines</c:v>
                </c:pt>
                <c:pt idx="5">
                  <c:v>Other</c:v>
                </c:pt>
                <c:pt idx="6">
                  <c:v>Companywide</c:v>
                </c:pt>
              </c:strCache>
            </c:strRef>
          </c:cat>
          <c:val>
            <c:numRef>
              <c:f>T02A!$O$15:$O$21</c:f>
              <c:numCache>
                <c:formatCode>General</c:formatCode>
                <c:ptCount val="7"/>
                <c:pt idx="0">
                  <c:v>7.1145374449339202E-2</c:v>
                </c:pt>
                <c:pt idx="1">
                  <c:v>5.5726872246696035E-2</c:v>
                </c:pt>
                <c:pt idx="2">
                  <c:v>9.4713656387665195E-3</c:v>
                </c:pt>
                <c:pt idx="3">
                  <c:v>0.13634361233480177</c:v>
                </c:pt>
                <c:pt idx="4">
                  <c:v>1.277533039647577E-2</c:v>
                </c:pt>
                <c:pt idx="5">
                  <c:v>0</c:v>
                </c:pt>
                <c:pt idx="6">
                  <c:v>0.14911894273127754</c:v>
                </c:pt>
              </c:numCache>
            </c:numRef>
          </c:val>
          <c:extLst>
            <c:ext xmlns:c16="http://schemas.microsoft.com/office/drawing/2014/chart" uri="{C3380CC4-5D6E-409C-BE32-E72D297353CC}">
              <c16:uniqueId val="{00000001-7862-4B8B-A68E-C86398A952F9}"/>
            </c:ext>
          </c:extLst>
        </c:ser>
        <c:ser>
          <c:idx val="1"/>
          <c:order val="1"/>
          <c:tx>
            <c:v>ΔPL good</c:v>
          </c:tx>
          <c:spPr>
            <a:solidFill>
              <a:srgbClr val="8CB400"/>
            </a:solidFill>
            <a:ln>
              <a:noFill/>
            </a:ln>
            <a:effectLst/>
            <a:extLst>
              <a:ext uri="{91240B29-F687-4F45-9708-019B960494DF}">
                <a14:hiddenLine xmlns:a14="http://schemas.microsoft.com/office/drawing/2010/main">
                  <a:noFill/>
                </a14:hiddenLine>
              </a:ext>
            </a:extLst>
          </c:spPr>
          <c:invertIfNegative val="0"/>
          <c:cat>
            <c:strRef>
              <c:f>T02A!$F$15:$F$21</c:f>
              <c:strCache>
                <c:ptCount val="7"/>
                <c:pt idx="0">
                  <c:v>Agency</c:v>
                </c:pt>
                <c:pt idx="1">
                  <c:v>Direct</c:v>
                </c:pt>
                <c:pt idx="2">
                  <c:v>Property</c:v>
                </c:pt>
                <c:pt idx="3">
                  <c:v>Personal Lines</c:v>
                </c:pt>
                <c:pt idx="4">
                  <c:v>Commercial Lines</c:v>
                </c:pt>
                <c:pt idx="5">
                  <c:v>Other</c:v>
                </c:pt>
                <c:pt idx="6">
                  <c:v>Companywide</c:v>
                </c:pt>
              </c:strCache>
            </c:strRef>
          </c:cat>
          <c:val>
            <c:numRef>
              <c:f>T02A!$Q$15:$Q$21</c:f>
              <c:numCache>
                <c:formatCode>General</c:formatCode>
                <c:ptCount val="7"/>
                <c:pt idx="0">
                  <c:v>7.1145374449339202E-2</c:v>
                </c:pt>
                <c:pt idx="1">
                  <c:v>5.5726872246696035E-2</c:v>
                </c:pt>
                <c:pt idx="2">
                  <c:v>9.4713656387665195E-3</c:v>
                </c:pt>
                <c:pt idx="3">
                  <c:v>0.13634361233480177</c:v>
                </c:pt>
                <c:pt idx="4">
                  <c:v>1.277533039647577E-2</c:v>
                </c:pt>
                <c:pt idx="5">
                  <c:v>#N/A</c:v>
                </c:pt>
                <c:pt idx="6">
                  <c:v>0.14911894273127754</c:v>
                </c:pt>
              </c:numCache>
            </c:numRef>
          </c:val>
          <c:extLst>
            <c:ext xmlns:c16="http://schemas.microsoft.com/office/drawing/2014/chart" uri="{C3380CC4-5D6E-409C-BE32-E72D297353CC}">
              <c16:uniqueId val="{00000009-7862-4B8B-A68E-C86398A952F9}"/>
            </c:ext>
          </c:extLst>
        </c:ser>
        <c:ser>
          <c:idx val="2"/>
          <c:order val="2"/>
          <c:tx>
            <c:v>ΔPL bad</c:v>
          </c:tx>
          <c:spPr>
            <a:solidFill>
              <a:srgbClr val="FF0000"/>
            </a:solidFill>
            <a:ln>
              <a:noFill/>
            </a:ln>
            <a:effectLst/>
            <a:extLst>
              <a:ext uri="{91240B29-F687-4F45-9708-019B960494DF}">
                <a14:hiddenLine xmlns:a14="http://schemas.microsoft.com/office/drawing/2010/main">
                  <a:noFill/>
                </a14:hiddenLine>
              </a:ext>
            </a:extLst>
          </c:spPr>
          <c:invertIfNegative val="0"/>
          <c:cat>
            <c:strRef>
              <c:f>T02A!$F$15:$F$21</c:f>
              <c:strCache>
                <c:ptCount val="7"/>
                <c:pt idx="0">
                  <c:v>Agency</c:v>
                </c:pt>
                <c:pt idx="1">
                  <c:v>Direct</c:v>
                </c:pt>
                <c:pt idx="2">
                  <c:v>Property</c:v>
                </c:pt>
                <c:pt idx="3">
                  <c:v>Personal Lines</c:v>
                </c:pt>
                <c:pt idx="4">
                  <c:v>Commercial Lines</c:v>
                </c:pt>
                <c:pt idx="5">
                  <c:v>Other</c:v>
                </c:pt>
                <c:pt idx="6">
                  <c:v>Companywide</c:v>
                </c:pt>
              </c:strCache>
            </c:strRef>
          </c:cat>
          <c:val>
            <c:numRef>
              <c:f>T02A!$R$15:$R$21</c:f>
              <c:numCache>
                <c:formatCode>General</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A-7862-4B8B-A68E-C86398A952F9}"/>
            </c:ext>
          </c:extLst>
        </c:ser>
        <c:dLbls>
          <c:showLegendKey val="0"/>
          <c:showVal val="0"/>
          <c:showCatName val="0"/>
          <c:showSerName val="0"/>
          <c:showPercent val="0"/>
          <c:showBubbleSize val="0"/>
        </c:dLbls>
        <c:gapWidth val="118"/>
        <c:overlap val="100"/>
        <c:axId val="1619058592"/>
        <c:axId val="1238202992"/>
      </c:barChart>
      <c:catAx>
        <c:axId val="1619058592"/>
        <c:scaling>
          <c:orientation val="maxMin"/>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38202992"/>
        <c:crosses val="autoZero"/>
        <c:auto val="1"/>
        <c:lblAlgn val="ctr"/>
        <c:lblOffset val="100"/>
        <c:noMultiLvlLbl val="0"/>
      </c:catAx>
      <c:valAx>
        <c:axId val="1238202992"/>
        <c:scaling>
          <c:orientation val="minMax"/>
          <c:max val="0.44344100448377699"/>
          <c:min val="-3.4779686626178585E-2"/>
        </c:scaling>
        <c:delete val="0"/>
        <c:axPos val="t"/>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9058592"/>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8461100102738781E-2"/>
          <c:y val="3.4482508950971484E-2"/>
          <c:w val="0.96153889989726127"/>
          <c:h val="0.96551749104902851"/>
        </c:manualLayout>
      </c:layout>
      <c:barChart>
        <c:barDir val="bar"/>
        <c:grouping val="clustered"/>
        <c:varyColors val="0"/>
        <c:ser>
          <c:idx val="0"/>
          <c:order val="0"/>
          <c:tx>
            <c:v>ΔPL%</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dLbls>
            <c:dLbl>
              <c:idx val="0"/>
              <c:tx>
                <c:strRef>
                  <c:f>T02A!$T$15</c:f>
                  <c:strCache>
                    <c:ptCount val="1"/>
                    <c:pt idx="0">
                      <c:v>+310.6%</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{85F23687-DDCB-42E3-8B83-2BBD01911051}</c15:txfldGUID>
                      <c15:f>T02A!$T$15</c15:f>
                      <c15:dlblFieldTableCache>
                        <c:ptCount val="1"/>
                        <c:pt idx="0">
                          <c:v>+310.6%</c:v>
                        </c:pt>
                      </c15:dlblFieldTableCache>
                    </c15:dlblFTEntry>
                  </c15:dlblFieldTable>
                  <c15:showDataLabelsRange val="0"/>
                </c:ext>
                <c:ext xmlns:c16="http://schemas.microsoft.com/office/drawing/2014/chart" uri="{C3380CC4-5D6E-409C-BE32-E72D297353CC}">
                  <c16:uniqueId val="{00000002-0503-46F5-BC8C-AEBABD0B4299}"/>
                </c:ext>
              </c:extLst>
            </c:dLbl>
            <c:dLbl>
              <c:idx val="1"/>
              <c:tx>
                <c:strRef>
                  <c:f>T02A!$T$16</c:f>
                  <c:strCache>
                    <c:ptCount val="1"/>
                    <c:pt idx="0">
                      <c:v>+176.9%</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{FA220CC2-08B4-4D7E-B753-DDC802D3C604}</c15:txfldGUID>
                      <c15:f>T02A!$T$16</c15:f>
                      <c15:dlblFieldTableCache>
                        <c:ptCount val="1"/>
                        <c:pt idx="0">
                          <c:v>+176.9%</c:v>
                        </c:pt>
                      </c15:dlblFieldTableCache>
                    </c15:dlblFTEntry>
                  </c15:dlblFieldTable>
                  <c15:showDataLabelsRange val="0"/>
                </c:ext>
                <c:ext xmlns:c16="http://schemas.microsoft.com/office/drawing/2014/chart" uri="{C3380CC4-5D6E-409C-BE32-E72D297353CC}">
                  <c16:uniqueId val="{00000003-0503-46F5-BC8C-AEBABD0B4299}"/>
                </c:ext>
              </c:extLst>
            </c:dLbl>
            <c:dLbl>
              <c:idx val="2"/>
              <c:tx>
                <c:strRef>
                  <c:f>T02A!$T$17</c:f>
                  <c:strCache>
                    <c:ptCount val="1"/>
                    <c:pt idx="0">
                      <c:v>+390.9%</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{219DDB26-4DCA-4CD0-8ABD-8CDE93E3BE2A}</c15:txfldGUID>
                      <c15:f>T02A!$T$17</c15:f>
                      <c15:dlblFieldTableCache>
                        <c:ptCount val="1"/>
                        <c:pt idx="0">
                          <c:v>+390.9%</c:v>
                        </c:pt>
                      </c15:dlblFieldTableCache>
                    </c15:dlblFTEntry>
                  </c15:dlblFieldTable>
                  <c15:showDataLabelsRange val="0"/>
                </c:ext>
                <c:ext xmlns:c16="http://schemas.microsoft.com/office/drawing/2014/chart" uri="{C3380CC4-5D6E-409C-BE32-E72D297353CC}">
                  <c16:uniqueId val="{00000004-0503-46F5-BC8C-AEBABD0B4299}"/>
                </c:ext>
              </c:extLst>
            </c:dLbl>
            <c:dLbl>
              <c:idx val="3"/>
              <c:tx>
                <c:strRef>
                  <c:f>T02A!$T$18</c:f>
                  <c:strCache>
                    <c:ptCount val="1"/>
                    <c:pt idx="0">
                      <c:v>+239.9%</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{9C344786-E1E2-4611-92D0-F812F4F6F9ED}</c15:txfldGUID>
                      <c15:f>T02A!$T$18</c15:f>
                      <c15:dlblFieldTableCache>
                        <c:ptCount val="1"/>
                        <c:pt idx="0">
                          <c:v>+239.9%</c:v>
                        </c:pt>
                      </c15:dlblFieldTableCache>
                    </c15:dlblFTEntry>
                  </c15:dlblFieldTable>
                  <c15:showDataLabelsRange val="0"/>
                </c:ext>
                <c:ext xmlns:c16="http://schemas.microsoft.com/office/drawing/2014/chart" uri="{C3380CC4-5D6E-409C-BE32-E72D297353CC}">
                  <c16:uniqueId val="{00000005-0503-46F5-BC8C-AEBABD0B4299}"/>
                </c:ext>
              </c:extLst>
            </c:dLbl>
            <c:dLbl>
              <c:idx val="4"/>
              <c:tx>
                <c:strRef>
                  <c:f>T02A!$T$19</c:f>
                  <c:strCache>
                    <c:ptCount val="1"/>
                    <c:pt idx="0">
                      <c:v>+156.8%</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{0CEB6454-8367-4383-88D6-B50BE8461620}</c15:txfldGUID>
                      <c15:f>T02A!$T$19</c15:f>
                      <c15:dlblFieldTableCache>
                        <c:ptCount val="1"/>
                        <c:pt idx="0">
                          <c:v>+156.8%</c:v>
                        </c:pt>
                      </c15:dlblFieldTableCache>
                    </c15:dlblFTEntry>
                  </c15:dlblFieldTable>
                  <c15:showDataLabelsRange val="0"/>
                </c:ext>
                <c:ext xmlns:c16="http://schemas.microsoft.com/office/drawing/2014/chart" uri="{C3380CC4-5D6E-409C-BE32-E72D297353CC}">
                  <c16:uniqueId val="{00000006-0503-46F5-BC8C-AEBABD0B4299}"/>
                </c:ext>
              </c:extLst>
            </c:dLbl>
            <c:dLbl>
              <c:idx val="5"/>
              <c:tx>
                <c:strRef>
                  <c:f>T02A!$T$20</c:f>
                  <c:strCache>
                    <c:ptCount val="1"/>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{A4FD5A77-8AB0-4D1B-89A5-D25B8605E662}</c15:txfldGUID>
                      <c15:f>T02A!$T$20</c15:f>
                      <c15:dlblFieldTableCache>
                        <c:ptCount val="1"/>
                      </c15:dlblFieldTableCache>
                    </c15:dlblFTEntry>
                  </c15:dlblFieldTable>
                  <c15:showDataLabelsRange val="0"/>
                </c:ext>
                <c:ext xmlns:c16="http://schemas.microsoft.com/office/drawing/2014/chart" uri="{C3380CC4-5D6E-409C-BE32-E72D297353CC}">
                  <c16:uniqueId val="{00000007-0503-46F5-BC8C-AEBABD0B4299}"/>
                </c:ext>
              </c:extLst>
            </c:dLbl>
            <c:dLbl>
              <c:idx val="6"/>
              <c:tx>
                <c:strRef>
                  <c:f>T02A!$T$21</c:f>
                  <c:strCache>
                    <c:ptCount val="1"/>
                    <c:pt idx="0">
                      <c:v>+230.3%</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{BBFAE797-FE2D-45D7-B854-2415414D3350}</c15:txfldGUID>
                      <c15:f>T02A!$T$21</c15:f>
                      <c15:dlblFieldTableCache>
                        <c:ptCount val="1"/>
                        <c:pt idx="0">
                          <c:v>+230.3%</c:v>
                        </c:pt>
                      </c15:dlblFieldTableCache>
                    </c15:dlblFTEntry>
                  </c15:dlblFieldTable>
                  <c15:showDataLabelsRange val="0"/>
                </c:ext>
                <c:ext xmlns:c16="http://schemas.microsoft.com/office/drawing/2014/chart" uri="{C3380CC4-5D6E-409C-BE32-E72D297353CC}">
                  <c16:uniqueId val="{00000008-0503-46F5-BC8C-AEBABD0B4299}"/>
                </c:ext>
              </c:extLst>
            </c:dLbl>
            <c:numFmt formatCode="[&gt;0.05]\+0.0&quot;%&quot;;[&lt;-0.05]\-0.0&quot;%&quot;;0.0&quot;%&quot;"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T02A!$F$15:$F$21</c:f>
              <c:strCache>
                <c:ptCount val="7"/>
                <c:pt idx="0">
                  <c:v>Agency</c:v>
                </c:pt>
                <c:pt idx="1">
                  <c:v>Direct</c:v>
                </c:pt>
                <c:pt idx="2">
                  <c:v>Property</c:v>
                </c:pt>
                <c:pt idx="3">
                  <c:v>Personal Lines</c:v>
                </c:pt>
                <c:pt idx="4">
                  <c:v>Commercial Lines</c:v>
                </c:pt>
                <c:pt idx="5">
                  <c:v>Other</c:v>
                </c:pt>
                <c:pt idx="6">
                  <c:v>Companywide</c:v>
                </c:pt>
              </c:strCache>
            </c:strRef>
          </c:cat>
          <c:val>
            <c:numRef>
              <c:f>T02A!$S$15:$S$21</c:f>
              <c:numCache>
                <c:formatCode>General</c:formatCode>
                <c:ptCount val="7"/>
                <c:pt idx="0">
                  <c:v>0.71072462020737881</c:v>
                </c:pt>
                <c:pt idx="1">
                  <c:v>0.40487099107788754</c:v>
                </c:pt>
                <c:pt idx="2">
                  <c:v>0.89455685380450267</c:v>
                </c:pt>
                <c:pt idx="3">
                  <c:v>0.5490389054943986</c:v>
                </c:pt>
                <c:pt idx="4">
                  <c:v>0.35872235872235869</c:v>
                </c:pt>
                <c:pt idx="5">
                  <c:v>#N/A</c:v>
                </c:pt>
                <c:pt idx="6">
                  <c:v>0.52695498262000717</c:v>
                </c:pt>
              </c:numCache>
            </c:numRef>
          </c:val>
          <c:extLst>
            <c:ext xmlns:c16="http://schemas.microsoft.com/office/drawing/2014/chart" uri="{C3380CC4-5D6E-409C-BE32-E72D297353CC}">
              <c16:uniqueId val="{00000001-0503-46F5-BC8C-AEBABD0B4299}"/>
            </c:ext>
          </c:extLst>
        </c:ser>
        <c:ser>
          <c:idx val="1"/>
          <c:order val="1"/>
          <c:tx>
            <c:v>ΔPL% good</c:v>
          </c:tx>
          <c:spPr>
            <a:solidFill>
              <a:srgbClr val="8CB400"/>
            </a:solidFill>
            <a:ln>
              <a:noFill/>
            </a:ln>
            <a:effectLst/>
            <a:extLst>
              <a:ext uri="{91240B29-F687-4F45-9708-019B960494DF}">
                <a14:hiddenLine xmlns:a14="http://schemas.microsoft.com/office/drawing/2010/main">
                  <a:noFill/>
                </a14:hiddenLine>
              </a:ext>
            </a:extLst>
          </c:spPr>
          <c:invertIfNegative val="0"/>
          <c:cat>
            <c:strRef>
              <c:f>T02A!$F$15:$F$21</c:f>
              <c:strCache>
                <c:ptCount val="7"/>
                <c:pt idx="0">
                  <c:v>Agency</c:v>
                </c:pt>
                <c:pt idx="1">
                  <c:v>Direct</c:v>
                </c:pt>
                <c:pt idx="2">
                  <c:v>Property</c:v>
                </c:pt>
                <c:pt idx="3">
                  <c:v>Personal Lines</c:v>
                </c:pt>
                <c:pt idx="4">
                  <c:v>Commercial Lines</c:v>
                </c:pt>
                <c:pt idx="5">
                  <c:v>Other</c:v>
                </c:pt>
                <c:pt idx="6">
                  <c:v>Companywide</c:v>
                </c:pt>
              </c:strCache>
            </c:strRef>
          </c:cat>
          <c:val>
            <c:numRef>
              <c:f>T02A!$U$15:$U$21</c:f>
              <c:numCache>
                <c:formatCode>General</c:formatCode>
                <c:ptCount val="7"/>
                <c:pt idx="0">
                  <c:v>0.71072462020737881</c:v>
                </c:pt>
                <c:pt idx="1">
                  <c:v>0.40487099107788754</c:v>
                </c:pt>
                <c:pt idx="2">
                  <c:v>0.89455685380450267</c:v>
                </c:pt>
                <c:pt idx="3">
                  <c:v>0.5490389054943986</c:v>
                </c:pt>
                <c:pt idx="4">
                  <c:v>0.35872235872235869</c:v>
                </c:pt>
                <c:pt idx="5">
                  <c:v>#N/A</c:v>
                </c:pt>
                <c:pt idx="6">
                  <c:v>0.52695498262000717</c:v>
                </c:pt>
              </c:numCache>
            </c:numRef>
          </c:val>
          <c:extLst>
            <c:ext xmlns:c16="http://schemas.microsoft.com/office/drawing/2014/chart" uri="{C3380CC4-5D6E-409C-BE32-E72D297353CC}">
              <c16:uniqueId val="{00000009-0503-46F5-BC8C-AEBABD0B4299}"/>
            </c:ext>
          </c:extLst>
        </c:ser>
        <c:ser>
          <c:idx val="2"/>
          <c:order val="2"/>
          <c:tx>
            <c:v>ΔPL% bad</c:v>
          </c:tx>
          <c:spPr>
            <a:solidFill>
              <a:srgbClr val="FF0000"/>
            </a:solidFill>
            <a:ln>
              <a:noFill/>
            </a:ln>
            <a:effectLst/>
            <a:extLst>
              <a:ext uri="{91240B29-F687-4F45-9708-019B960494DF}">
                <a14:hiddenLine xmlns:a14="http://schemas.microsoft.com/office/drawing/2010/main">
                  <a:noFill/>
                </a14:hiddenLine>
              </a:ext>
            </a:extLst>
          </c:spPr>
          <c:invertIfNegative val="0"/>
          <c:cat>
            <c:strRef>
              <c:f>T02A!$F$15:$F$21</c:f>
              <c:strCache>
                <c:ptCount val="7"/>
                <c:pt idx="0">
                  <c:v>Agency</c:v>
                </c:pt>
                <c:pt idx="1">
                  <c:v>Direct</c:v>
                </c:pt>
                <c:pt idx="2">
                  <c:v>Property</c:v>
                </c:pt>
                <c:pt idx="3">
                  <c:v>Personal Lines</c:v>
                </c:pt>
                <c:pt idx="4">
                  <c:v>Commercial Lines</c:v>
                </c:pt>
                <c:pt idx="5">
                  <c:v>Other</c:v>
                </c:pt>
                <c:pt idx="6">
                  <c:v>Companywide</c:v>
                </c:pt>
              </c:strCache>
            </c:strRef>
          </c:cat>
          <c:val>
            <c:numRef>
              <c:f>T02A!$V$15:$V$21</c:f>
              <c:numCache>
                <c:formatCode>General</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A-0503-46F5-BC8C-AEBABD0B4299}"/>
            </c:ext>
          </c:extLst>
        </c:ser>
        <c:dLbls>
          <c:showLegendKey val="0"/>
          <c:showVal val="0"/>
          <c:showCatName val="0"/>
          <c:showSerName val="0"/>
          <c:showPercent val="0"/>
          <c:showBubbleSize val="0"/>
        </c:dLbls>
        <c:gapWidth val="500"/>
        <c:overlap val="100"/>
        <c:axId val="1619057200"/>
        <c:axId val="1238207312"/>
      </c:barChart>
      <c:catAx>
        <c:axId val="1619057200"/>
        <c:scaling>
          <c:orientation val="maxMin"/>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38207312"/>
        <c:crosses val="autoZero"/>
        <c:auto val="1"/>
        <c:lblAlgn val="ctr"/>
        <c:lblOffset val="100"/>
        <c:noMultiLvlLbl val="0"/>
      </c:catAx>
      <c:valAx>
        <c:axId val="1238207312"/>
        <c:scaling>
          <c:orientation val="minMax"/>
          <c:max val="0.93207126948775054"/>
          <c:min val="-3.4521158129175944E-2"/>
        </c:scaling>
        <c:delete val="0"/>
        <c:axPos val="t"/>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9057200"/>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5242378899484401E-2"/>
          <c:y val="3.4482508950971484E-2"/>
          <c:w val="0.96475762110051555"/>
          <c:h val="0.96551749104902851"/>
        </c:manualLayout>
      </c:layout>
      <c:barChart>
        <c:barDir val="bar"/>
        <c:grouping val="clustered"/>
        <c:varyColors val="0"/>
        <c:ser>
          <c:idx val="0"/>
          <c:order val="0"/>
          <c:tx>
            <c:v>ΔPL</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dLbls>
            <c:dLbl>
              <c:idx val="0"/>
              <c:tx>
                <c:strRef>
                  <c:f>T02A!$X$15</c:f>
                  <c:strCache>
                    <c:ptCount val="1"/>
                    <c:pt idx="0">
                      <c:v>+2037</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{B735611E-E084-4DAE-9DDD-812D6A263827}</c15:txfldGUID>
                      <c15:f>T02A!$X$15</c15:f>
                      <c15:dlblFieldTableCache>
                        <c:ptCount val="1"/>
                        <c:pt idx="0">
                          <c:v>+2037</c:v>
                        </c:pt>
                      </c15:dlblFieldTableCache>
                    </c15:dlblFTEntry>
                  </c15:dlblFieldTable>
                  <c15:showDataLabelsRange val="0"/>
                </c:ext>
                <c:ext xmlns:c16="http://schemas.microsoft.com/office/drawing/2014/chart" uri="{C3380CC4-5D6E-409C-BE32-E72D297353CC}">
                  <c16:uniqueId val="{00000002-B9C4-4E09-AAF0-DB95255852C4}"/>
                </c:ext>
              </c:extLst>
            </c:dLbl>
            <c:dLbl>
              <c:idx val="1"/>
              <c:tx>
                <c:strRef>
                  <c:f>T02A!$X$16</c:f>
                  <c:strCache>
                    <c:ptCount val="1"/>
                    <c:pt idx="0">
                      <c:v>+1692</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{229BBEDE-DA46-434B-86B2-B31A1AF58FE2}</c15:txfldGUID>
                      <c15:f>T02A!$X$16</c15:f>
                      <c15:dlblFieldTableCache>
                        <c:ptCount val="1"/>
                        <c:pt idx="0">
                          <c:v>+1692</c:v>
                        </c:pt>
                      </c15:dlblFieldTableCache>
                    </c15:dlblFTEntry>
                  </c15:dlblFieldTable>
                  <c15:showDataLabelsRange val="0"/>
                </c:ext>
                <c:ext xmlns:c16="http://schemas.microsoft.com/office/drawing/2014/chart" uri="{C3380CC4-5D6E-409C-BE32-E72D297353CC}">
                  <c16:uniqueId val="{00000003-B9C4-4E09-AAF0-DB95255852C4}"/>
                </c:ext>
              </c:extLst>
            </c:dLbl>
            <c:dLbl>
              <c:idx val="2"/>
              <c:tx>
                <c:strRef>
                  <c:f>T02A!$X$17</c:f>
                  <c:strCache>
                    <c:ptCount val="1"/>
                    <c:pt idx="0">
                      <c:v>+319</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{BE93FFD9-09CE-43A7-BF5B-0A2B72E38D16}</c15:txfldGUID>
                      <c15:f>T02A!$X$17</c15:f>
                      <c15:dlblFieldTableCache>
                        <c:ptCount val="1"/>
                        <c:pt idx="0">
                          <c:v>+319</c:v>
                        </c:pt>
                      </c15:dlblFieldTableCache>
                    </c15:dlblFTEntry>
                  </c15:dlblFieldTable>
                  <c15:showDataLabelsRange val="0"/>
                </c:ext>
                <c:ext xmlns:c16="http://schemas.microsoft.com/office/drawing/2014/chart" uri="{C3380CC4-5D6E-409C-BE32-E72D297353CC}">
                  <c16:uniqueId val="{00000004-B9C4-4E09-AAF0-DB95255852C4}"/>
                </c:ext>
              </c:extLst>
            </c:dLbl>
            <c:dLbl>
              <c:idx val="3"/>
              <c:tx>
                <c:strRef>
                  <c:f>T02A!$X$18</c:f>
                  <c:strCache>
                    <c:ptCount val="1"/>
                    <c:pt idx="0">
                      <c:v>+4048</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{66C3E0A4-8BE5-4302-A367-53BB62CB6E69}</c15:txfldGUID>
                      <c15:f>T02A!$X$18</c15:f>
                      <c15:dlblFieldTableCache>
                        <c:ptCount val="1"/>
                        <c:pt idx="0">
                          <c:v>+4048</c:v>
                        </c:pt>
                      </c15:dlblFieldTableCache>
                    </c15:dlblFTEntry>
                  </c15:dlblFieldTable>
                  <c15:showDataLabelsRange val="0"/>
                </c:ext>
                <c:ext xmlns:c16="http://schemas.microsoft.com/office/drawing/2014/chart" uri="{C3380CC4-5D6E-409C-BE32-E72D297353CC}">
                  <c16:uniqueId val="{00000005-B9C4-4E09-AAF0-DB95255852C4}"/>
                </c:ext>
              </c:extLst>
            </c:dLbl>
            <c:dLbl>
              <c:idx val="4"/>
              <c:tx>
                <c:strRef>
                  <c:f>T02A!$X$19</c:f>
                  <c:strCache>
                    <c:ptCount val="1"/>
                    <c:pt idx="0">
                      <c:v>+526</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{7A6C2FB1-F97E-427A-8CFD-B2C76ADE3660}</c15:txfldGUID>
                      <c15:f>T02A!$X$19</c15:f>
                      <c15:dlblFieldTableCache>
                        <c:ptCount val="1"/>
                        <c:pt idx="0">
                          <c:v>+526</c:v>
                        </c:pt>
                      </c15:dlblFieldTableCache>
                    </c15:dlblFTEntry>
                  </c15:dlblFieldTable>
                  <c15:showDataLabelsRange val="0"/>
                </c:ext>
                <c:ext xmlns:c16="http://schemas.microsoft.com/office/drawing/2014/chart" uri="{C3380CC4-5D6E-409C-BE32-E72D297353CC}">
                  <c16:uniqueId val="{00000006-B9C4-4E09-AAF0-DB95255852C4}"/>
                </c:ext>
              </c:extLst>
            </c:dLbl>
            <c:dLbl>
              <c:idx val="5"/>
              <c:tx>
                <c:strRef>
                  <c:f>T02A!$X$20</c:f>
                  <c:strCache>
                    <c:ptCount val="1"/>
                    <c:pt idx="0">
                      <c:v>-34</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{B3C02D0A-3567-4593-879D-EE1C88D453B5}</c15:txfldGUID>
                      <c15:f>T02A!$X$20</c15:f>
                      <c15:dlblFieldTableCache>
                        <c:ptCount val="1"/>
                        <c:pt idx="0">
                          <c:v>-34</c:v>
                        </c:pt>
                      </c15:dlblFieldTableCache>
                    </c15:dlblFTEntry>
                  </c15:dlblFieldTable>
                  <c15:showDataLabelsRange val="0"/>
                </c:ext>
                <c:ext xmlns:c16="http://schemas.microsoft.com/office/drawing/2014/chart" uri="{C3380CC4-5D6E-409C-BE32-E72D297353CC}">
                  <c16:uniqueId val="{00000007-B9C4-4E09-AAF0-DB95255852C4}"/>
                </c:ext>
              </c:extLst>
            </c:dLbl>
            <c:dLbl>
              <c:idx val="6"/>
              <c:tx>
                <c:strRef>
                  <c:f>T02A!$X$21</c:f>
                  <c:strCache>
                    <c:ptCount val="1"/>
                    <c:pt idx="0">
                      <c:v>+4540</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{DC1F66B0-5287-4155-983E-BA28115C65B4}</c15:txfldGUID>
                      <c15:f>T02A!$X$21</c15:f>
                      <c15:dlblFieldTableCache>
                        <c:ptCount val="1"/>
                        <c:pt idx="0">
                          <c:v>+4540</c:v>
                        </c:pt>
                      </c15:dlblFieldTableCache>
                    </c15:dlblFTEntry>
                  </c15:dlblFieldTable>
                  <c15:showDataLabelsRange val="0"/>
                </c:ext>
                <c:ext xmlns:c16="http://schemas.microsoft.com/office/drawing/2014/chart" uri="{C3380CC4-5D6E-409C-BE32-E72D297353CC}">
                  <c16:uniqueId val="{00000008-B9C4-4E09-AAF0-DB95255852C4}"/>
                </c:ext>
              </c:extLst>
            </c:dLbl>
            <c:numFmt formatCode="[&gt;0.5]\+0;[&lt;-0.5]\-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T02A!$F$15:$F$21</c:f>
              <c:strCache>
                <c:ptCount val="7"/>
                <c:pt idx="0">
                  <c:v>Agency</c:v>
                </c:pt>
                <c:pt idx="1">
                  <c:v>Direct</c:v>
                </c:pt>
                <c:pt idx="2">
                  <c:v>Property</c:v>
                </c:pt>
                <c:pt idx="3">
                  <c:v>Personal Lines</c:v>
                </c:pt>
                <c:pt idx="4">
                  <c:v>Commercial Lines</c:v>
                </c:pt>
                <c:pt idx="5">
                  <c:v>Other</c:v>
                </c:pt>
                <c:pt idx="6">
                  <c:v>Companywide</c:v>
                </c:pt>
              </c:strCache>
            </c:strRef>
          </c:cat>
          <c:val>
            <c:numRef>
              <c:f>T02A!$W$15:$W$21</c:f>
              <c:numCache>
                <c:formatCode>General</c:formatCode>
                <c:ptCount val="7"/>
                <c:pt idx="0">
                  <c:v>0.44867841409691628</c:v>
                </c:pt>
                <c:pt idx="1">
                  <c:v>0.37268722466960352</c:v>
                </c:pt>
                <c:pt idx="2">
                  <c:v>7.0264317180616737E-2</c:v>
                </c:pt>
                <c:pt idx="3">
                  <c:v>0.89162995594713657</c:v>
                </c:pt>
                <c:pt idx="4">
                  <c:v>0.11585903083700441</c:v>
                </c:pt>
                <c:pt idx="5">
                  <c:v>-7.4889867841409687E-3</c:v>
                </c:pt>
                <c:pt idx="6">
                  <c:v>1</c:v>
                </c:pt>
              </c:numCache>
            </c:numRef>
          </c:val>
          <c:extLst>
            <c:ext xmlns:c16="http://schemas.microsoft.com/office/drawing/2014/chart" uri="{C3380CC4-5D6E-409C-BE32-E72D297353CC}">
              <c16:uniqueId val="{00000001-B9C4-4E09-AAF0-DB95255852C4}"/>
            </c:ext>
          </c:extLst>
        </c:ser>
        <c:ser>
          <c:idx val="1"/>
          <c:order val="1"/>
          <c:tx>
            <c:v>ΔPL good</c:v>
          </c:tx>
          <c:spPr>
            <a:solidFill>
              <a:srgbClr val="8CB400"/>
            </a:solidFill>
            <a:ln>
              <a:noFill/>
            </a:ln>
            <a:effectLst/>
            <a:extLst>
              <a:ext uri="{91240B29-F687-4F45-9708-019B960494DF}">
                <a14:hiddenLine xmlns:a14="http://schemas.microsoft.com/office/drawing/2010/main">
                  <a:noFill/>
                </a14:hiddenLine>
              </a:ext>
            </a:extLst>
          </c:spPr>
          <c:invertIfNegative val="0"/>
          <c:cat>
            <c:strRef>
              <c:f>T02A!$F$15:$F$21</c:f>
              <c:strCache>
                <c:ptCount val="7"/>
                <c:pt idx="0">
                  <c:v>Agency</c:v>
                </c:pt>
                <c:pt idx="1">
                  <c:v>Direct</c:v>
                </c:pt>
                <c:pt idx="2">
                  <c:v>Property</c:v>
                </c:pt>
                <c:pt idx="3">
                  <c:v>Personal Lines</c:v>
                </c:pt>
                <c:pt idx="4">
                  <c:v>Commercial Lines</c:v>
                </c:pt>
                <c:pt idx="5">
                  <c:v>Other</c:v>
                </c:pt>
                <c:pt idx="6">
                  <c:v>Companywide</c:v>
                </c:pt>
              </c:strCache>
            </c:strRef>
          </c:cat>
          <c:val>
            <c:numRef>
              <c:f>T02A!$Y$15:$Y$21</c:f>
              <c:numCache>
                <c:formatCode>General</c:formatCode>
                <c:ptCount val="7"/>
                <c:pt idx="0">
                  <c:v>0.44867841409691628</c:v>
                </c:pt>
                <c:pt idx="1">
                  <c:v>0.37268722466960352</c:v>
                </c:pt>
                <c:pt idx="2">
                  <c:v>7.0264317180616737E-2</c:v>
                </c:pt>
                <c:pt idx="3">
                  <c:v>0.89162995594713657</c:v>
                </c:pt>
                <c:pt idx="4">
                  <c:v>0.11585903083700441</c:v>
                </c:pt>
                <c:pt idx="5">
                  <c:v>#N/A</c:v>
                </c:pt>
                <c:pt idx="6">
                  <c:v>1</c:v>
                </c:pt>
              </c:numCache>
            </c:numRef>
          </c:val>
          <c:extLst>
            <c:ext xmlns:c16="http://schemas.microsoft.com/office/drawing/2014/chart" uri="{C3380CC4-5D6E-409C-BE32-E72D297353CC}">
              <c16:uniqueId val="{00000009-B9C4-4E09-AAF0-DB95255852C4}"/>
            </c:ext>
          </c:extLst>
        </c:ser>
        <c:ser>
          <c:idx val="2"/>
          <c:order val="2"/>
          <c:tx>
            <c:v>ΔPL bad</c:v>
          </c:tx>
          <c:spPr>
            <a:solidFill>
              <a:srgbClr val="FF0000"/>
            </a:solidFill>
            <a:ln>
              <a:noFill/>
            </a:ln>
            <a:effectLst/>
            <a:extLst>
              <a:ext uri="{91240B29-F687-4F45-9708-019B960494DF}">
                <a14:hiddenLine xmlns:a14="http://schemas.microsoft.com/office/drawing/2010/main">
                  <a:noFill/>
                </a14:hiddenLine>
              </a:ext>
            </a:extLst>
          </c:spPr>
          <c:invertIfNegative val="0"/>
          <c:cat>
            <c:strRef>
              <c:f>T02A!$F$15:$F$21</c:f>
              <c:strCache>
                <c:ptCount val="7"/>
                <c:pt idx="0">
                  <c:v>Agency</c:v>
                </c:pt>
                <c:pt idx="1">
                  <c:v>Direct</c:v>
                </c:pt>
                <c:pt idx="2">
                  <c:v>Property</c:v>
                </c:pt>
                <c:pt idx="3">
                  <c:v>Personal Lines</c:v>
                </c:pt>
                <c:pt idx="4">
                  <c:v>Commercial Lines</c:v>
                </c:pt>
                <c:pt idx="5">
                  <c:v>Other</c:v>
                </c:pt>
                <c:pt idx="6">
                  <c:v>Companywide</c:v>
                </c:pt>
              </c:strCache>
            </c:strRef>
          </c:cat>
          <c:val>
            <c:numRef>
              <c:f>T02A!$Z$15:$Z$21</c:f>
              <c:numCache>
                <c:formatCode>General</c:formatCode>
                <c:ptCount val="7"/>
                <c:pt idx="0">
                  <c:v>#N/A</c:v>
                </c:pt>
                <c:pt idx="1">
                  <c:v>#N/A</c:v>
                </c:pt>
                <c:pt idx="2">
                  <c:v>#N/A</c:v>
                </c:pt>
                <c:pt idx="3">
                  <c:v>#N/A</c:v>
                </c:pt>
                <c:pt idx="4">
                  <c:v>#N/A</c:v>
                </c:pt>
                <c:pt idx="5">
                  <c:v>-7.4889867841409687E-3</c:v>
                </c:pt>
                <c:pt idx="6">
                  <c:v>#N/A</c:v>
                </c:pt>
              </c:numCache>
            </c:numRef>
          </c:val>
          <c:extLst>
            <c:ext xmlns:c16="http://schemas.microsoft.com/office/drawing/2014/chart" uri="{C3380CC4-5D6E-409C-BE32-E72D297353CC}">
              <c16:uniqueId val="{0000000A-B9C4-4E09-AAF0-DB95255852C4}"/>
            </c:ext>
          </c:extLst>
        </c:ser>
        <c:dLbls>
          <c:showLegendKey val="0"/>
          <c:showVal val="0"/>
          <c:showCatName val="0"/>
          <c:showSerName val="0"/>
          <c:showPercent val="0"/>
          <c:showBubbleSize val="0"/>
        </c:dLbls>
        <c:gapWidth val="118"/>
        <c:overlap val="100"/>
        <c:axId val="1619067872"/>
        <c:axId val="1238201552"/>
      </c:barChart>
      <c:catAx>
        <c:axId val="1619067872"/>
        <c:scaling>
          <c:orientation val="maxMin"/>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38201552"/>
        <c:crosses val="autoZero"/>
        <c:auto val="1"/>
        <c:lblAlgn val="ctr"/>
        <c:lblOffset val="100"/>
        <c:noMultiLvlLbl val="0"/>
      </c:catAx>
      <c:valAx>
        <c:axId val="1238201552"/>
        <c:scaling>
          <c:orientation val="minMax"/>
          <c:max val="1.0346956771288129"/>
          <c:min val="-4.3474608282723232E-2"/>
        </c:scaling>
        <c:delete val="0"/>
        <c:axPos val="t"/>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9067872"/>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5242378899484401E-2"/>
          <c:y val="3.4482508950971484E-2"/>
          <c:w val="0.96475762110051555"/>
          <c:h val="0.96551749104902851"/>
        </c:manualLayout>
      </c:layout>
      <c:barChart>
        <c:barDir val="bar"/>
        <c:grouping val="clustered"/>
        <c:varyColors val="0"/>
        <c:ser>
          <c:idx val="0"/>
          <c:order val="0"/>
          <c:tx>
            <c:v>ΔPL%</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dLbls>
            <c:dLbl>
              <c:idx val="0"/>
              <c:tx>
                <c:strRef>
                  <c:f>T02A!$AB$15</c:f>
                  <c:strCache>
                    <c:ptCount val="1"/>
                    <c:pt idx="0">
                      <c:v>+287.3%</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{6D5BDA53-37F5-47A3-95A4-C269735FCA6B}</c15:txfldGUID>
                      <c15:f>T02A!$AB$15</c15:f>
                      <c15:dlblFieldTableCache>
                        <c:ptCount val="1"/>
                        <c:pt idx="0">
                          <c:v>+287.3%</c:v>
                        </c:pt>
                      </c15:dlblFieldTableCache>
                    </c15:dlblFTEntry>
                  </c15:dlblFieldTable>
                  <c15:showDataLabelsRange val="0"/>
                </c:ext>
                <c:ext xmlns:c16="http://schemas.microsoft.com/office/drawing/2014/chart" uri="{C3380CC4-5D6E-409C-BE32-E72D297353CC}">
                  <c16:uniqueId val="{00000002-D442-48AD-801C-616484DA55A2}"/>
                </c:ext>
              </c:extLst>
            </c:dLbl>
            <c:dLbl>
              <c:idx val="1"/>
              <c:tx>
                <c:strRef>
                  <c:f>T02A!$AB$16</c:f>
                  <c:strCache>
                    <c:ptCount val="1"/>
                    <c:pt idx="0">
                      <c:v>+175.0%</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{D44422BF-30D2-4669-9FA6-7CA8BF2BFE0F}</c15:txfldGUID>
                      <c15:f>T02A!$AB$16</c15:f>
                      <c15:dlblFieldTableCache>
                        <c:ptCount val="1"/>
                        <c:pt idx="0">
                          <c:v>+175.0%</c:v>
                        </c:pt>
                      </c15:dlblFieldTableCache>
                    </c15:dlblFTEntry>
                  </c15:dlblFieldTable>
                  <c15:showDataLabelsRange val="0"/>
                </c:ext>
                <c:ext xmlns:c16="http://schemas.microsoft.com/office/drawing/2014/chart" uri="{C3380CC4-5D6E-409C-BE32-E72D297353CC}">
                  <c16:uniqueId val="{00000003-D442-48AD-801C-616484DA55A2}"/>
                </c:ext>
              </c:extLst>
            </c:dLbl>
            <c:dLbl>
              <c:idx val="2"/>
              <c:tx>
                <c:strRef>
                  <c:f>T02A!$AB$17</c:f>
                  <c:strCache>
                    <c:ptCount val="1"/>
                    <c:pt idx="0">
                      <c:v>+437.0%</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{3927DC6F-56A6-4BAF-B645-F10FE09A42A2}</c15:txfldGUID>
                      <c15:f>T02A!$AB$17</c15:f>
                      <c15:dlblFieldTableCache>
                        <c:ptCount val="1"/>
                        <c:pt idx="0">
                          <c:v>+437.0%</c:v>
                        </c:pt>
                      </c15:dlblFieldTableCache>
                    </c15:dlblFTEntry>
                  </c15:dlblFieldTable>
                  <c15:showDataLabelsRange val="0"/>
                </c:ext>
                <c:ext xmlns:c16="http://schemas.microsoft.com/office/drawing/2014/chart" uri="{C3380CC4-5D6E-409C-BE32-E72D297353CC}">
                  <c16:uniqueId val="{00000004-D442-48AD-801C-616484DA55A2}"/>
                </c:ext>
              </c:extLst>
            </c:dLbl>
            <c:dLbl>
              <c:idx val="3"/>
              <c:tx>
                <c:strRef>
                  <c:f>T02A!$AB$18</c:f>
                  <c:strCache>
                    <c:ptCount val="1"/>
                    <c:pt idx="0">
                      <c:v>+231.4%</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{282080A7-9140-4906-A02E-2AD44D523B8B}</c15:txfldGUID>
                      <c15:f>T02A!$AB$18</c15:f>
                      <c15:dlblFieldTableCache>
                        <c:ptCount val="1"/>
                        <c:pt idx="0">
                          <c:v>+231.4%</c:v>
                        </c:pt>
                      </c15:dlblFieldTableCache>
                    </c15:dlblFTEntry>
                  </c15:dlblFieldTable>
                  <c15:showDataLabelsRange val="0"/>
                </c:ext>
                <c:ext xmlns:c16="http://schemas.microsoft.com/office/drawing/2014/chart" uri="{C3380CC4-5D6E-409C-BE32-E72D297353CC}">
                  <c16:uniqueId val="{00000005-D442-48AD-801C-616484DA55A2}"/>
                </c:ext>
              </c:extLst>
            </c:dLbl>
            <c:dLbl>
              <c:idx val="4"/>
              <c:tx>
                <c:strRef>
                  <c:f>T02A!$AB$19</c:f>
                  <c:strCache>
                    <c:ptCount val="1"/>
                    <c:pt idx="0">
                      <c:v>+212.1%</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{398FC7AE-EBBE-45A4-87D0-F01117F44176}</c15:txfldGUID>
                      <c15:f>T02A!$AB$19</c15:f>
                      <c15:dlblFieldTableCache>
                        <c:ptCount val="1"/>
                        <c:pt idx="0">
                          <c:v>+212.1%</c:v>
                        </c:pt>
                      </c15:dlblFieldTableCache>
                    </c15:dlblFTEntry>
                  </c15:dlblFieldTable>
                  <c15:showDataLabelsRange val="0"/>
                </c:ext>
                <c:ext xmlns:c16="http://schemas.microsoft.com/office/drawing/2014/chart" uri="{C3380CC4-5D6E-409C-BE32-E72D297353CC}">
                  <c16:uniqueId val="{00000006-D442-48AD-801C-616484DA55A2}"/>
                </c:ext>
              </c:extLst>
            </c:dLbl>
            <c:dLbl>
              <c:idx val="5"/>
              <c:tx>
                <c:strRef>
                  <c:f>T02A!$AB$20</c:f>
                  <c:strCache>
                    <c:ptCount val="1"/>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dlblFTEntry>
                      <c15:txfldGUID>{001A4C44-4E2B-4B9C-B971-BE261A3750CC}</c15:txfldGUID>
                      <c15:f>T02A!$AB$20</c15:f>
                      <c15:dlblFieldTableCache>
                        <c:ptCount val="1"/>
                      </c15:dlblFieldTableCache>
                    </c15:dlblFTEntry>
                  </c15:dlblFieldTable>
                  <c15:showDataLabelsRange val="0"/>
                </c:ext>
                <c:ext xmlns:c16="http://schemas.microsoft.com/office/drawing/2014/chart" uri="{C3380CC4-5D6E-409C-BE32-E72D297353CC}">
                  <c16:uniqueId val="{00000007-D442-48AD-801C-616484DA55A2}"/>
                </c:ext>
              </c:extLst>
            </c:dLbl>
            <c:dLbl>
              <c:idx val="6"/>
              <c:tx>
                <c:strRef>
                  <c:f>T02A!$AB$21</c:f>
                  <c:strCache>
                    <c:ptCount val="1"/>
                    <c:pt idx="0">
                      <c:v>+227.5%</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{9E8D88FB-F26E-4010-9FA5-363E1F9E3C28}</c15:txfldGUID>
                      <c15:f>T02A!$AB$21</c15:f>
                      <c15:dlblFieldTableCache>
                        <c:ptCount val="1"/>
                        <c:pt idx="0">
                          <c:v>+227.5%</c:v>
                        </c:pt>
                      </c15:dlblFieldTableCache>
                    </c15:dlblFTEntry>
                  </c15:dlblFieldTable>
                  <c15:showDataLabelsRange val="0"/>
                </c:ext>
                <c:ext xmlns:c16="http://schemas.microsoft.com/office/drawing/2014/chart" uri="{C3380CC4-5D6E-409C-BE32-E72D297353CC}">
                  <c16:uniqueId val="{00000008-D442-48AD-801C-616484DA55A2}"/>
                </c:ext>
              </c:extLst>
            </c:dLbl>
            <c:numFmt formatCode="[&gt;0.05]\+0.0&quot;%&quot;;[&lt;-0.05]\-0.0&quot;%&quot;;0.0&quot;%&quot;"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T02A!$F$15:$F$21</c:f>
              <c:strCache>
                <c:ptCount val="7"/>
                <c:pt idx="0">
                  <c:v>Agency</c:v>
                </c:pt>
                <c:pt idx="1">
                  <c:v>Direct</c:v>
                </c:pt>
                <c:pt idx="2">
                  <c:v>Property</c:v>
                </c:pt>
                <c:pt idx="3">
                  <c:v>Personal Lines</c:v>
                </c:pt>
                <c:pt idx="4">
                  <c:v>Commercial Lines</c:v>
                </c:pt>
                <c:pt idx="5">
                  <c:v>Other</c:v>
                </c:pt>
                <c:pt idx="6">
                  <c:v>Companywide</c:v>
                </c:pt>
              </c:strCache>
            </c:strRef>
          </c:cat>
          <c:val>
            <c:numRef>
              <c:f>T02A!$AA$15:$AA$21</c:f>
              <c:numCache>
                <c:formatCode>General</c:formatCode>
                <c:ptCount val="7"/>
                <c:pt idx="0">
                  <c:v>0.65747155913003874</c:v>
                </c:pt>
                <c:pt idx="1">
                  <c:v>0.40041105704551128</c:v>
                </c:pt>
                <c:pt idx="2">
                  <c:v>1</c:v>
                </c:pt>
                <c:pt idx="3">
                  <c:v>0.52964255436604157</c:v>
                </c:pt>
                <c:pt idx="4">
                  <c:v>0.48536252401658408</c:v>
                </c:pt>
                <c:pt idx="5">
                  <c:v>#N/A</c:v>
                </c:pt>
                <c:pt idx="6">
                  <c:v>0.52050810084118082</c:v>
                </c:pt>
              </c:numCache>
            </c:numRef>
          </c:val>
          <c:extLst>
            <c:ext xmlns:c16="http://schemas.microsoft.com/office/drawing/2014/chart" uri="{C3380CC4-5D6E-409C-BE32-E72D297353CC}">
              <c16:uniqueId val="{00000001-D442-48AD-801C-616484DA55A2}"/>
            </c:ext>
          </c:extLst>
        </c:ser>
        <c:ser>
          <c:idx val="1"/>
          <c:order val="1"/>
          <c:tx>
            <c:v>ΔPL% good</c:v>
          </c:tx>
          <c:spPr>
            <a:solidFill>
              <a:srgbClr val="8CB400"/>
            </a:solidFill>
            <a:ln>
              <a:noFill/>
            </a:ln>
            <a:effectLst/>
            <a:extLst>
              <a:ext uri="{91240B29-F687-4F45-9708-019B960494DF}">
                <a14:hiddenLine xmlns:a14="http://schemas.microsoft.com/office/drawing/2010/main">
                  <a:noFill/>
                </a14:hiddenLine>
              </a:ext>
            </a:extLst>
          </c:spPr>
          <c:invertIfNegative val="0"/>
          <c:cat>
            <c:strRef>
              <c:f>T02A!$F$15:$F$21</c:f>
              <c:strCache>
                <c:ptCount val="7"/>
                <c:pt idx="0">
                  <c:v>Agency</c:v>
                </c:pt>
                <c:pt idx="1">
                  <c:v>Direct</c:v>
                </c:pt>
                <c:pt idx="2">
                  <c:v>Property</c:v>
                </c:pt>
                <c:pt idx="3">
                  <c:v>Personal Lines</c:v>
                </c:pt>
                <c:pt idx="4">
                  <c:v>Commercial Lines</c:v>
                </c:pt>
                <c:pt idx="5">
                  <c:v>Other</c:v>
                </c:pt>
                <c:pt idx="6">
                  <c:v>Companywide</c:v>
                </c:pt>
              </c:strCache>
            </c:strRef>
          </c:cat>
          <c:val>
            <c:numRef>
              <c:f>T02A!$AC$15:$AC$21</c:f>
              <c:numCache>
                <c:formatCode>General</c:formatCode>
                <c:ptCount val="7"/>
                <c:pt idx="0">
                  <c:v>0.65747155913003874</c:v>
                </c:pt>
                <c:pt idx="1">
                  <c:v>0.40041105704551128</c:v>
                </c:pt>
                <c:pt idx="2">
                  <c:v>1</c:v>
                </c:pt>
                <c:pt idx="3">
                  <c:v>0.52964255436604157</c:v>
                </c:pt>
                <c:pt idx="4">
                  <c:v>0.48536252401658408</c:v>
                </c:pt>
                <c:pt idx="5">
                  <c:v>#N/A</c:v>
                </c:pt>
                <c:pt idx="6">
                  <c:v>0.52050810084118082</c:v>
                </c:pt>
              </c:numCache>
            </c:numRef>
          </c:val>
          <c:extLst>
            <c:ext xmlns:c16="http://schemas.microsoft.com/office/drawing/2014/chart" uri="{C3380CC4-5D6E-409C-BE32-E72D297353CC}">
              <c16:uniqueId val="{00000009-D442-48AD-801C-616484DA55A2}"/>
            </c:ext>
          </c:extLst>
        </c:ser>
        <c:ser>
          <c:idx val="2"/>
          <c:order val="2"/>
          <c:tx>
            <c:v>ΔPL% bad</c:v>
          </c:tx>
          <c:spPr>
            <a:solidFill>
              <a:srgbClr val="FF0000"/>
            </a:solidFill>
            <a:ln>
              <a:noFill/>
            </a:ln>
            <a:effectLst/>
            <a:extLst>
              <a:ext uri="{91240B29-F687-4F45-9708-019B960494DF}">
                <a14:hiddenLine xmlns:a14="http://schemas.microsoft.com/office/drawing/2010/main">
                  <a:noFill/>
                </a14:hiddenLine>
              </a:ext>
            </a:extLst>
          </c:spPr>
          <c:invertIfNegative val="0"/>
          <c:cat>
            <c:strRef>
              <c:f>T02A!$F$15:$F$21</c:f>
              <c:strCache>
                <c:ptCount val="7"/>
                <c:pt idx="0">
                  <c:v>Agency</c:v>
                </c:pt>
                <c:pt idx="1">
                  <c:v>Direct</c:v>
                </c:pt>
                <c:pt idx="2">
                  <c:v>Property</c:v>
                </c:pt>
                <c:pt idx="3">
                  <c:v>Personal Lines</c:v>
                </c:pt>
                <c:pt idx="4">
                  <c:v>Commercial Lines</c:v>
                </c:pt>
                <c:pt idx="5">
                  <c:v>Other</c:v>
                </c:pt>
                <c:pt idx="6">
                  <c:v>Companywide</c:v>
                </c:pt>
              </c:strCache>
            </c:strRef>
          </c:cat>
          <c:val>
            <c:numRef>
              <c:f>T02A!$AD$15:$AD$21</c:f>
              <c:numCache>
                <c:formatCode>General</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A-D442-48AD-801C-616484DA55A2}"/>
            </c:ext>
          </c:extLst>
        </c:ser>
        <c:dLbls>
          <c:showLegendKey val="0"/>
          <c:showVal val="0"/>
          <c:showCatName val="0"/>
          <c:showSerName val="0"/>
          <c:showPercent val="0"/>
          <c:showBubbleSize val="0"/>
        </c:dLbls>
        <c:gapWidth val="500"/>
        <c:overlap val="100"/>
        <c:axId val="1619077152"/>
        <c:axId val="1238214512"/>
      </c:barChart>
      <c:catAx>
        <c:axId val="1619077152"/>
        <c:scaling>
          <c:orientation val="maxMin"/>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38214512"/>
        <c:crosses val="autoZero"/>
        <c:auto val="1"/>
        <c:lblAlgn val="ctr"/>
        <c:lblOffset val="100"/>
        <c:noMultiLvlLbl val="0"/>
      </c:catAx>
      <c:valAx>
        <c:axId val="1238214512"/>
        <c:scaling>
          <c:orientation val="minMax"/>
          <c:max val="1.0356347438752784"/>
          <c:min val="-3.4521158129175944E-2"/>
        </c:scaling>
        <c:delete val="0"/>
        <c:axPos val="t"/>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9077152"/>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5242378899484401E-2"/>
          <c:y val="3.0534215178431138E-2"/>
          <c:w val="0.96475762110051555"/>
          <c:h val="0.96946578482156887"/>
        </c:manualLayout>
      </c:layout>
      <c:barChart>
        <c:barDir val="bar"/>
        <c:grouping val="clustered"/>
        <c:varyColors val="0"/>
        <c:ser>
          <c:idx val="0"/>
          <c:order val="0"/>
          <c:tx>
            <c:v>ΔPL</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dLbls>
            <c:dLbl>
              <c:idx val="0"/>
              <c:tx>
                <c:strRef>
                  <c:f>T04A!$K$15</c:f>
                  <c:strCache>
                    <c:ptCount val="1"/>
                    <c:pt idx="0">
                      <c:v>0</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{38425E6A-BC7E-4210-B858-53E084FC08FB}</c15:txfldGUID>
                      <c15:f>T04A!$K$15</c15:f>
                      <c15:dlblFieldTableCache>
                        <c:ptCount val="1"/>
                        <c:pt idx="0">
                          <c:v>0</c:v>
                        </c:pt>
                      </c15:dlblFieldTableCache>
                    </c15:dlblFTEntry>
                  </c15:dlblFieldTable>
                  <c15:showDataLabelsRange val="0"/>
                </c:ext>
                <c:ext xmlns:c16="http://schemas.microsoft.com/office/drawing/2014/chart" uri="{C3380CC4-5D6E-409C-BE32-E72D297353CC}">
                  <c16:uniqueId val="{00000002-482F-41D4-9BE9-D9B08FDDA323}"/>
                </c:ext>
              </c:extLst>
            </c:dLbl>
            <c:dLbl>
              <c:idx val="1"/>
              <c:tx>
                <c:strRef>
                  <c:f>T04A!$K$16</c:f>
                  <c:strCache>
                    <c:ptCount val="1"/>
                    <c:pt idx="0">
                      <c:v>-7023</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{F015A86A-F808-4187-9DF9-1A6CB2D33878}</c15:txfldGUID>
                      <c15:f>T04A!$K$16</c15:f>
                      <c15:dlblFieldTableCache>
                        <c:ptCount val="1"/>
                        <c:pt idx="0">
                          <c:v>-7023</c:v>
                        </c:pt>
                      </c15:dlblFieldTableCache>
                    </c15:dlblFTEntry>
                  </c15:dlblFieldTable>
                  <c15:showDataLabelsRange val="0"/>
                </c:ext>
                <c:ext xmlns:c16="http://schemas.microsoft.com/office/drawing/2014/chart" uri="{C3380CC4-5D6E-409C-BE32-E72D297353CC}">
                  <c16:uniqueId val="{00000003-482F-41D4-9BE9-D9B08FDDA323}"/>
                </c:ext>
              </c:extLst>
            </c:dLbl>
            <c:dLbl>
              <c:idx val="2"/>
              <c:tx>
                <c:strRef>
                  <c:f>T04A!$K$17</c:f>
                  <c:strCache>
                    <c:ptCount val="1"/>
                    <c:pt idx="0">
                      <c:v>0</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{59CCB21A-7B60-407B-9AC9-1CF3DFB4FC15}</c15:txfldGUID>
                      <c15:f>T04A!$K$17</c15:f>
                      <c15:dlblFieldTableCache>
                        <c:ptCount val="1"/>
                        <c:pt idx="0">
                          <c:v>0</c:v>
                        </c:pt>
                      </c15:dlblFieldTableCache>
                    </c15:dlblFTEntry>
                  </c15:dlblFieldTable>
                  <c15:showDataLabelsRange val="0"/>
                </c:ext>
                <c:ext xmlns:c16="http://schemas.microsoft.com/office/drawing/2014/chart" uri="{C3380CC4-5D6E-409C-BE32-E72D297353CC}">
                  <c16:uniqueId val="{00000004-482F-41D4-9BE9-D9B08FDDA323}"/>
                </c:ext>
              </c:extLst>
            </c:dLbl>
            <c:dLbl>
              <c:idx val="3"/>
              <c:tx>
                <c:strRef>
                  <c:f>T04A!$K$18</c:f>
                  <c:strCache>
                    <c:ptCount val="1"/>
                    <c:pt idx="0">
                      <c:v>0</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{3F3B4155-B054-4706-B9FD-A9CC5BD0C537}</c15:txfldGUID>
                      <c15:f>T04A!$K$18</c15:f>
                      <c15:dlblFieldTableCache>
                        <c:ptCount val="1"/>
                        <c:pt idx="0">
                          <c:v>0</c:v>
                        </c:pt>
                      </c15:dlblFieldTableCache>
                    </c15:dlblFTEntry>
                  </c15:dlblFieldTable>
                  <c15:showDataLabelsRange val="0"/>
                </c:ext>
                <c:ext xmlns:c16="http://schemas.microsoft.com/office/drawing/2014/chart" uri="{C3380CC4-5D6E-409C-BE32-E72D297353CC}">
                  <c16:uniqueId val="{00000005-482F-41D4-9BE9-D9B08FDDA323}"/>
                </c:ext>
              </c:extLst>
            </c:dLbl>
            <c:dLbl>
              <c:idx val="4"/>
              <c:tx>
                <c:strRef>
                  <c:f>T04A!$K$19</c:f>
                  <c:strCache>
                    <c:ptCount val="1"/>
                    <c:pt idx="0">
                      <c:v>-7023</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{E4AFD89C-E237-48A0-B5A4-374DFBBFF6CA}</c15:txfldGUID>
                      <c15:f>T04A!$K$19</c15:f>
                      <c15:dlblFieldTableCache>
                        <c:ptCount val="1"/>
                        <c:pt idx="0">
                          <c:v>-7023</c:v>
                        </c:pt>
                      </c15:dlblFieldTableCache>
                    </c15:dlblFTEntry>
                  </c15:dlblFieldTable>
                  <c15:showDataLabelsRange val="0"/>
                </c:ext>
                <c:ext xmlns:c16="http://schemas.microsoft.com/office/drawing/2014/chart" uri="{C3380CC4-5D6E-409C-BE32-E72D297353CC}">
                  <c16:uniqueId val="{00000006-482F-41D4-9BE9-D9B08FDDA323}"/>
                </c:ext>
              </c:extLst>
            </c:dLbl>
            <c:dLbl>
              <c:idx val="5"/>
              <c:tx>
                <c:strRef>
                  <c:f>T04A!$K$20</c:f>
                  <c:strCache>
                    <c:ptCount val="1"/>
                    <c:pt idx="0">
                      <c:v>+7023</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{00DD2B01-BD4C-47E1-8FFB-8FDC40173BAA}</c15:txfldGUID>
                      <c15:f>T04A!$K$20</c15:f>
                      <c15:dlblFieldTableCache>
                        <c:ptCount val="1"/>
                        <c:pt idx="0">
                          <c:v>+7023</c:v>
                        </c:pt>
                      </c15:dlblFieldTableCache>
                    </c15:dlblFTEntry>
                  </c15:dlblFieldTable>
                  <c15:showDataLabelsRange val="0"/>
                </c:ext>
                <c:ext xmlns:c16="http://schemas.microsoft.com/office/drawing/2014/chart" uri="{C3380CC4-5D6E-409C-BE32-E72D297353CC}">
                  <c16:uniqueId val="{00000007-482F-41D4-9BE9-D9B08FDDA323}"/>
                </c:ext>
              </c:extLst>
            </c:dLbl>
            <c:dLbl>
              <c:idx val="6"/>
              <c:tx>
                <c:strRef>
                  <c:f>T04A!$K$21</c:f>
                  <c:strCache>
                    <c:ptCount val="1"/>
                    <c:pt idx="0">
                      <c:v>-9</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{10D5ED10-77E0-4964-AF77-A2F66633CBA0}</c15:txfldGUID>
                      <c15:f>T04A!$K$21</c15:f>
                      <c15:dlblFieldTableCache>
                        <c:ptCount val="1"/>
                        <c:pt idx="0">
                          <c:v>-9</c:v>
                        </c:pt>
                      </c15:dlblFieldTableCache>
                    </c15:dlblFTEntry>
                  </c15:dlblFieldTable>
                  <c15:showDataLabelsRange val="0"/>
                </c:ext>
                <c:ext xmlns:c16="http://schemas.microsoft.com/office/drawing/2014/chart" uri="{C3380CC4-5D6E-409C-BE32-E72D297353CC}">
                  <c16:uniqueId val="{00000008-482F-41D4-9BE9-D9B08FDDA323}"/>
                </c:ext>
              </c:extLst>
            </c:dLbl>
            <c:dLbl>
              <c:idx val="7"/>
              <c:tx>
                <c:strRef>
                  <c:f>T04A!$K$22</c:f>
                  <c:strCache>
                    <c:ptCount val="1"/>
                    <c:pt idx="0">
                      <c:v>-9</c:v>
                    </c:pt>
                  </c:strCache>
                </c:strRef>
              </c:tx>
              <c:numFmt formatCode="[&gt;0.5]\+0;[&lt;-0.5]\-0;0"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{07A331B8-4530-43DA-8C19-0195A1A9FAC2}</c15:txfldGUID>
                      <c15:f>T04A!$K$22</c15:f>
                      <c15:dlblFieldTableCache>
                        <c:ptCount val="1"/>
                        <c:pt idx="0">
                          <c:v>-9</c:v>
                        </c:pt>
                      </c15:dlblFieldTableCache>
                    </c15:dlblFTEntry>
                  </c15:dlblFieldTable>
                  <c15:showDataLabelsRange val="0"/>
                </c:ext>
                <c:ext xmlns:c16="http://schemas.microsoft.com/office/drawing/2014/chart" uri="{C3380CC4-5D6E-409C-BE32-E72D297353CC}">
                  <c16:uniqueId val="{00000009-482F-41D4-9BE9-D9B08FDDA323}"/>
                </c:ext>
              </c:extLst>
            </c:dLbl>
            <c:numFmt formatCode="[&gt;0.5]\+0;[&lt;-0.5]\-0;0"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T04A!$A$15:$A$22</c:f>
              <c:strCache>
                <c:ptCount val="8"/>
                <c:pt idx="0">
                  <c:v>Net premiums earned</c:v>
                </c:pt>
                <c:pt idx="1">
                  <c:v>Losses and loss adjustment expense</c:v>
                </c:pt>
                <c:pt idx="2">
                  <c:v>Policy acquisition costs</c:v>
                </c:pt>
                <c:pt idx="3">
                  <c:v>Other underwriting expenses</c:v>
                </c:pt>
                <c:pt idx="4">
                  <c:v>Underwriting expenses</c:v>
                </c:pt>
                <c:pt idx="5">
                  <c:v>Underwriting result</c:v>
                </c:pt>
                <c:pt idx="6">
                  <c:v>Loss and LAE ratio</c:v>
                </c:pt>
                <c:pt idx="7">
                  <c:v>Combined ratio</c:v>
                </c:pt>
              </c:strCache>
            </c:strRef>
          </c:cat>
          <c:val>
            <c:numRef>
              <c:f>T04A!$J$15:$J$22</c:f>
              <c:numCache>
                <c:formatCode>General</c:formatCode>
                <c:ptCount val="8"/>
                <c:pt idx="0">
                  <c:v>0</c:v>
                </c:pt>
                <c:pt idx="1">
                  <c:v>-1</c:v>
                </c:pt>
                <c:pt idx="2">
                  <c:v>0</c:v>
                </c:pt>
                <c:pt idx="3">
                  <c:v>0</c:v>
                </c:pt>
                <c:pt idx="4">
                  <c:v>-1</c:v>
                </c:pt>
                <c:pt idx="5">
                  <c:v>1</c:v>
                </c:pt>
                <c:pt idx="6">
                  <c:v>-1.2245747664123637E-3</c:v>
                </c:pt>
                <c:pt idx="7">
                  <c:v>-1.2245747664123637E-3</c:v>
                </c:pt>
              </c:numCache>
            </c:numRef>
          </c:val>
          <c:extLst>
            <c:ext xmlns:c16="http://schemas.microsoft.com/office/drawing/2014/chart" uri="{C3380CC4-5D6E-409C-BE32-E72D297353CC}">
              <c16:uniqueId val="{00000001-482F-41D4-9BE9-D9B08FDDA323}"/>
            </c:ext>
          </c:extLst>
        </c:ser>
        <c:ser>
          <c:idx val="1"/>
          <c:order val="1"/>
          <c:tx>
            <c:v>ΔPL good</c:v>
          </c:tx>
          <c:spPr>
            <a:solidFill>
              <a:srgbClr val="8CB400"/>
            </a:solidFill>
            <a:ln>
              <a:noFill/>
            </a:ln>
            <a:effectLst/>
            <a:extLst>
              <a:ext uri="{91240B29-F687-4F45-9708-019B960494DF}">
                <a14:hiddenLine xmlns:a14="http://schemas.microsoft.com/office/drawing/2010/main">
                  <a:noFill/>
                </a14:hiddenLine>
              </a:ext>
            </a:extLst>
          </c:spPr>
          <c:invertIfNegative val="0"/>
          <c:cat>
            <c:strRef>
              <c:f>T04A!$A$15:$A$22</c:f>
              <c:strCache>
                <c:ptCount val="8"/>
                <c:pt idx="0">
                  <c:v>Net premiums earned</c:v>
                </c:pt>
                <c:pt idx="1">
                  <c:v>Losses and loss adjustment expense</c:v>
                </c:pt>
                <c:pt idx="2">
                  <c:v>Policy acquisition costs</c:v>
                </c:pt>
                <c:pt idx="3">
                  <c:v>Other underwriting expenses</c:v>
                </c:pt>
                <c:pt idx="4">
                  <c:v>Underwriting expenses</c:v>
                </c:pt>
                <c:pt idx="5">
                  <c:v>Underwriting result</c:v>
                </c:pt>
                <c:pt idx="6">
                  <c:v>Loss and LAE ratio</c:v>
                </c:pt>
                <c:pt idx="7">
                  <c:v>Combined ratio</c:v>
                </c:pt>
              </c:strCache>
            </c:strRef>
          </c:cat>
          <c:val>
            <c:numRef>
              <c:f>T04A!$L$15:$L$22</c:f>
              <c:numCache>
                <c:formatCode>General</c:formatCode>
                <c:ptCount val="8"/>
                <c:pt idx="0">
                  <c:v>#N/A</c:v>
                </c:pt>
                <c:pt idx="1">
                  <c:v>-1</c:v>
                </c:pt>
                <c:pt idx="2">
                  <c:v>#N/A</c:v>
                </c:pt>
                <c:pt idx="3">
                  <c:v>#N/A</c:v>
                </c:pt>
                <c:pt idx="4">
                  <c:v>-1</c:v>
                </c:pt>
                <c:pt idx="5">
                  <c:v>1</c:v>
                </c:pt>
                <c:pt idx="6">
                  <c:v>#N/A</c:v>
                </c:pt>
                <c:pt idx="7">
                  <c:v>#N/A</c:v>
                </c:pt>
              </c:numCache>
            </c:numRef>
          </c:val>
          <c:extLst>
            <c:ext xmlns:c16="http://schemas.microsoft.com/office/drawing/2014/chart" uri="{C3380CC4-5D6E-409C-BE32-E72D297353CC}">
              <c16:uniqueId val="{0000000A-482F-41D4-9BE9-D9B08FDDA323}"/>
            </c:ext>
          </c:extLst>
        </c:ser>
        <c:ser>
          <c:idx val="2"/>
          <c:order val="2"/>
          <c:tx>
            <c:v>ΔPL bad</c:v>
          </c:tx>
          <c:spPr>
            <a:solidFill>
              <a:srgbClr val="FF0000"/>
            </a:solidFill>
            <a:ln>
              <a:noFill/>
            </a:ln>
            <a:effectLst/>
            <a:extLst>
              <a:ext uri="{91240B29-F687-4F45-9708-019B960494DF}">
                <a14:hiddenLine xmlns:a14="http://schemas.microsoft.com/office/drawing/2010/main">
                  <a:noFill/>
                </a14:hiddenLine>
              </a:ext>
            </a:extLst>
          </c:spPr>
          <c:invertIfNegative val="0"/>
          <c:cat>
            <c:strRef>
              <c:f>T04A!$A$15:$A$22</c:f>
              <c:strCache>
                <c:ptCount val="8"/>
                <c:pt idx="0">
                  <c:v>Net premiums earned</c:v>
                </c:pt>
                <c:pt idx="1">
                  <c:v>Losses and loss adjustment expense</c:v>
                </c:pt>
                <c:pt idx="2">
                  <c:v>Policy acquisition costs</c:v>
                </c:pt>
                <c:pt idx="3">
                  <c:v>Other underwriting expenses</c:v>
                </c:pt>
                <c:pt idx="4">
                  <c:v>Underwriting expenses</c:v>
                </c:pt>
                <c:pt idx="5">
                  <c:v>Underwriting result</c:v>
                </c:pt>
                <c:pt idx="6">
                  <c:v>Loss and LAE ratio</c:v>
                </c:pt>
                <c:pt idx="7">
                  <c:v>Combined ratio</c:v>
                </c:pt>
              </c:strCache>
            </c:strRef>
          </c:cat>
          <c:val>
            <c:numRef>
              <c:f>T04A!$M$15:$M$22</c:f>
              <c:numCache>
                <c:formatCode>General</c:formatCode>
                <c:ptCount val="8"/>
                <c:pt idx="0">
                  <c:v>#N/A</c:v>
                </c:pt>
                <c:pt idx="1">
                  <c:v>#N/A</c:v>
                </c:pt>
                <c:pt idx="2">
                  <c:v>#N/A</c:v>
                </c:pt>
                <c:pt idx="3">
                  <c:v>#N/A</c:v>
                </c:pt>
                <c:pt idx="4">
                  <c:v>#N/A</c:v>
                </c:pt>
                <c:pt idx="5">
                  <c:v>#N/A</c:v>
                </c:pt>
                <c:pt idx="6">
                  <c:v>-1.2245747664123637E-3</c:v>
                </c:pt>
                <c:pt idx="7">
                  <c:v>-1.2245747664123637E-3</c:v>
                </c:pt>
              </c:numCache>
            </c:numRef>
          </c:val>
          <c:extLst>
            <c:ext xmlns:c16="http://schemas.microsoft.com/office/drawing/2014/chart" uri="{C3380CC4-5D6E-409C-BE32-E72D297353CC}">
              <c16:uniqueId val="{0000000B-482F-41D4-9BE9-D9B08FDDA323}"/>
            </c:ext>
          </c:extLst>
        </c:ser>
        <c:dLbls>
          <c:showLegendKey val="0"/>
          <c:showVal val="0"/>
          <c:showCatName val="0"/>
          <c:showSerName val="0"/>
          <c:showPercent val="0"/>
          <c:showBubbleSize val="0"/>
        </c:dLbls>
        <c:gapWidth val="118"/>
        <c:overlap val="100"/>
        <c:axId val="1619123552"/>
        <c:axId val="1238167472"/>
      </c:barChart>
      <c:catAx>
        <c:axId val="1619123552"/>
        <c:scaling>
          <c:orientation val="maxMin"/>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38167472"/>
        <c:crosses val="autoZero"/>
        <c:auto val="1"/>
        <c:lblAlgn val="ctr"/>
        <c:lblOffset val="100"/>
        <c:noMultiLvlLbl val="0"/>
      </c:catAx>
      <c:valAx>
        <c:axId val="1238167472"/>
        <c:scaling>
          <c:orientation val="minMax"/>
          <c:max val="1.0849056603773584"/>
          <c:min val="-1.0849056603773584"/>
        </c:scaling>
        <c:delete val="0"/>
        <c:axPos val="t"/>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9123552"/>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5242378899484401E-2"/>
          <c:y val="3.0534215178431138E-2"/>
          <c:w val="0.96475762110051555"/>
          <c:h val="0.96946578482156887"/>
        </c:manualLayout>
      </c:layout>
      <c:barChart>
        <c:barDir val="bar"/>
        <c:grouping val="clustered"/>
        <c:varyColors val="0"/>
        <c:ser>
          <c:idx val="0"/>
          <c:order val="0"/>
          <c:tx>
            <c:v>ΔPL%</c:v>
          </c:tx>
          <c:spPr>
            <a:noFill/>
            <a:ln>
              <a:noFill/>
            </a:ln>
            <a:effectLst/>
            <a:extLst>
              <a:ext uri="{909E8E84-426E-40DD-AFC4-6F175D3DCCD1}">
                <a14:hiddenFill xmlns:a14="http://schemas.microsoft.com/office/drawing/2010/main">
                  <a:solidFill>
                    <a:srgbClr val="156082"/>
                  </a:solidFill>
                </a14:hiddenFill>
              </a:ext>
              <a:ext uri="{91240B29-F687-4F45-9708-019B960494DF}">
                <a14:hiddenLine xmlns:a14="http://schemas.microsoft.com/office/drawing/2010/main">
                  <a:noFill/>
                </a14:hiddenLine>
              </a:ext>
            </a:extLst>
          </c:spPr>
          <c:invertIfNegative val="0"/>
          <c:dLbls>
            <c:dLbl>
              <c:idx val="0"/>
              <c:tx>
                <c:strRef>
                  <c:f>T04A!$O$15</c:f>
                  <c:strCache>
                    <c:ptCount val="1"/>
                    <c:pt idx="0">
                      <c:v>0.0%</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{36F061FA-4A02-4F6A-858A-FA34BF06E664}</c15:txfldGUID>
                      <c15:f>T04A!$O$15</c15:f>
                      <c15:dlblFieldTableCache>
                        <c:ptCount val="1"/>
                        <c:pt idx="0">
                          <c:v>0.0%</c:v>
                        </c:pt>
                      </c15:dlblFieldTableCache>
                    </c15:dlblFTEntry>
                  </c15:dlblFieldTable>
                  <c15:showDataLabelsRange val="0"/>
                </c:ext>
                <c:ext xmlns:c16="http://schemas.microsoft.com/office/drawing/2014/chart" uri="{C3380CC4-5D6E-409C-BE32-E72D297353CC}">
                  <c16:uniqueId val="{00000002-A9A3-4D42-A1FF-5E997C524535}"/>
                </c:ext>
              </c:extLst>
            </c:dLbl>
            <c:dLbl>
              <c:idx val="1"/>
              <c:tx>
                <c:strRef>
                  <c:f>T04A!$O$16</c:f>
                  <c:strCache>
                    <c:ptCount val="1"/>
                    <c:pt idx="0">
                      <c:v>-11.5%</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{7116C596-B24C-414C-AA44-158E179E4934}</c15:txfldGUID>
                      <c15:f>T04A!$O$16</c15:f>
                      <c15:dlblFieldTableCache>
                        <c:ptCount val="1"/>
                        <c:pt idx="0">
                          <c:v>-11.5%</c:v>
                        </c:pt>
                      </c15:dlblFieldTableCache>
                    </c15:dlblFTEntry>
                  </c15:dlblFieldTable>
                  <c15:showDataLabelsRange val="0"/>
                </c:ext>
                <c:ext xmlns:c16="http://schemas.microsoft.com/office/drawing/2014/chart" uri="{C3380CC4-5D6E-409C-BE32-E72D297353CC}">
                  <c16:uniqueId val="{00000003-A9A3-4D42-A1FF-5E997C524535}"/>
                </c:ext>
              </c:extLst>
            </c:dLbl>
            <c:dLbl>
              <c:idx val="2"/>
              <c:tx>
                <c:strRef>
                  <c:f>T04A!$O$17</c:f>
                  <c:strCache>
                    <c:ptCount val="1"/>
                    <c:pt idx="0">
                      <c:v>0.0%</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{48203D7E-2589-49D0-A89D-A8A6D468CA54}</c15:txfldGUID>
                      <c15:f>T04A!$O$17</c15:f>
                      <c15:dlblFieldTableCache>
                        <c:ptCount val="1"/>
                        <c:pt idx="0">
                          <c:v>0.0%</c:v>
                        </c:pt>
                      </c15:dlblFieldTableCache>
                    </c15:dlblFTEntry>
                  </c15:dlblFieldTable>
                  <c15:showDataLabelsRange val="0"/>
                </c:ext>
                <c:ext xmlns:c16="http://schemas.microsoft.com/office/drawing/2014/chart" uri="{C3380CC4-5D6E-409C-BE32-E72D297353CC}">
                  <c16:uniqueId val="{00000004-A9A3-4D42-A1FF-5E997C524535}"/>
                </c:ext>
              </c:extLst>
            </c:dLbl>
            <c:dLbl>
              <c:idx val="3"/>
              <c:tx>
                <c:strRef>
                  <c:f>T04A!$O$18</c:f>
                  <c:strCache>
                    <c:ptCount val="1"/>
                    <c:pt idx="0">
                      <c:v>0.0%</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{B282192F-6CC2-466A-9259-B92D5503E9D1}</c15:txfldGUID>
                      <c15:f>T04A!$O$18</c15:f>
                      <c15:dlblFieldTableCache>
                        <c:ptCount val="1"/>
                        <c:pt idx="0">
                          <c:v>0.0%</c:v>
                        </c:pt>
                      </c15:dlblFieldTableCache>
                    </c15:dlblFTEntry>
                  </c15:dlblFieldTable>
                  <c15:showDataLabelsRange val="0"/>
                </c:ext>
                <c:ext xmlns:c16="http://schemas.microsoft.com/office/drawing/2014/chart" uri="{C3380CC4-5D6E-409C-BE32-E72D297353CC}">
                  <c16:uniqueId val="{00000005-A9A3-4D42-A1FF-5E997C524535}"/>
                </c:ext>
              </c:extLst>
            </c:dLbl>
            <c:dLbl>
              <c:idx val="4"/>
              <c:tx>
                <c:strRef>
                  <c:f>T04A!$O$19</c:f>
                  <c:strCache>
                    <c:ptCount val="1"/>
                    <c:pt idx="0">
                      <c:v>-9.0%</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{23D74055-109C-489F-856B-927614BAEFB4}</c15:txfldGUID>
                      <c15:f>T04A!$O$19</c15:f>
                      <c15:dlblFieldTableCache>
                        <c:ptCount val="1"/>
                        <c:pt idx="0">
                          <c:v>-9.0%</c:v>
                        </c:pt>
                      </c15:dlblFieldTableCache>
                    </c15:dlblFTEntry>
                  </c15:dlblFieldTable>
                  <c15:showDataLabelsRange val="0"/>
                </c:ext>
                <c:ext xmlns:c16="http://schemas.microsoft.com/office/drawing/2014/chart" uri="{C3380CC4-5D6E-409C-BE32-E72D297353CC}">
                  <c16:uniqueId val="{00000006-A9A3-4D42-A1FF-5E997C524535}"/>
                </c:ext>
              </c:extLst>
            </c:dLbl>
            <c:dLbl>
              <c:idx val="5"/>
              <c:tx>
                <c:strRef>
                  <c:f>T04A!$O$20</c:f>
                  <c:strCache>
                    <c:ptCount val="1"/>
                    <c:pt idx="0">
                      <c:v>+215.0%</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{7E8BE72D-64F0-40AB-819B-F73AC980CB17}</c15:txfldGUID>
                      <c15:f>T04A!$O$20</c15:f>
                      <c15:dlblFieldTableCache>
                        <c:ptCount val="1"/>
                        <c:pt idx="0">
                          <c:v>+215.0%</c:v>
                        </c:pt>
                      </c15:dlblFieldTableCache>
                    </c15:dlblFTEntry>
                  </c15:dlblFieldTable>
                  <c15:showDataLabelsRange val="0"/>
                </c:ext>
                <c:ext xmlns:c16="http://schemas.microsoft.com/office/drawing/2014/chart" uri="{C3380CC4-5D6E-409C-BE32-E72D297353CC}">
                  <c16:uniqueId val="{00000007-A9A3-4D42-A1FF-5E997C524535}"/>
                </c:ext>
              </c:extLst>
            </c:dLbl>
            <c:dLbl>
              <c:idx val="6"/>
              <c:tx>
                <c:strRef>
                  <c:f>T04A!$O$21</c:f>
                  <c:strCache>
                    <c:ptCount val="1"/>
                    <c:pt idx="0">
                      <c:v>-11.5%</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{965D3475-F3D1-4A2A-915E-7D83976684D4}</c15:txfldGUID>
                      <c15:f>T04A!$O$21</c15:f>
                      <c15:dlblFieldTableCache>
                        <c:ptCount val="1"/>
                        <c:pt idx="0">
                          <c:v>-11.5%</c:v>
                        </c:pt>
                      </c15:dlblFieldTableCache>
                    </c15:dlblFTEntry>
                  </c15:dlblFieldTable>
                  <c15:showDataLabelsRange val="0"/>
                </c:ext>
                <c:ext xmlns:c16="http://schemas.microsoft.com/office/drawing/2014/chart" uri="{C3380CC4-5D6E-409C-BE32-E72D297353CC}">
                  <c16:uniqueId val="{00000008-A9A3-4D42-A1FF-5E997C524535}"/>
                </c:ext>
              </c:extLst>
            </c:dLbl>
            <c:dLbl>
              <c:idx val="7"/>
              <c:tx>
                <c:strRef>
                  <c:f>T04A!$O$22</c:f>
                  <c:strCache>
                    <c:ptCount val="1"/>
                    <c:pt idx="0">
                      <c:v>-9.0%</c:v>
                    </c:pt>
                  </c:strCache>
                </c:strRef>
              </c:tx>
              <c:numFmt formatCode="[&gt;0.05]\+0.0&quot;%&quot;;[&lt;-0.05]\-0.0&quot;%&quot;;0.0&quot;%&quot;" sourceLinked="0"/>
              <c:spPr>
                <a:noFill/>
                <a:ln>
                  <a:noFill/>
                </a:ln>
                <a:effectLst/>
              </c:spPr>
              <c:txPr>
                <a:bodyPr wrap="non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dlblFTEntry>
                      <c15:txfldGUID>{2511458A-A461-4D41-9DF7-F06A9CF94289}</c15:txfldGUID>
                      <c15:f>T04A!$O$22</c15:f>
                      <c15:dlblFieldTableCache>
                        <c:ptCount val="1"/>
                        <c:pt idx="0">
                          <c:v>-9.0%</c:v>
                        </c:pt>
                      </c15:dlblFieldTableCache>
                    </c15:dlblFTEntry>
                  </c15:dlblFieldTable>
                  <c15:showDataLabelsRange val="0"/>
                </c:ext>
                <c:ext xmlns:c16="http://schemas.microsoft.com/office/drawing/2014/chart" uri="{C3380CC4-5D6E-409C-BE32-E72D297353CC}">
                  <c16:uniqueId val="{00000009-A9A3-4D42-A1FF-5E997C524535}"/>
                </c:ext>
              </c:extLst>
            </c:dLbl>
            <c:numFmt formatCode="[&gt;0.05]\+0.0&quot;%&quot;;[&lt;-0.05]\-0.0&quot;%&quot;;0.0&quot;%&quot;" sourceLinked="0"/>
            <c:spPr>
              <a:noFill/>
              <a:ln>
                <a:noFill/>
              </a:ln>
              <a:effectLst/>
            </c:spPr>
            <c:txPr>
              <a:bodyPr wrap="square" lIns="38100" tIns="19050" rIns="38100" bIns="19050" anchor="ctr">
                <a:spAutoFit/>
              </a:bodyPr>
              <a:lstStyle/>
              <a:p>
                <a:pPr>
                  <a:defRPr sz="900">
                    <a:latin typeface="Arial"/>
                    <a:ea typeface="Arial"/>
                    <a:cs typeface="Aria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T04A!$A$15:$A$22</c:f>
              <c:strCache>
                <c:ptCount val="8"/>
                <c:pt idx="0">
                  <c:v>Net premiums earned</c:v>
                </c:pt>
                <c:pt idx="1">
                  <c:v>Losses and loss adjustment expense</c:v>
                </c:pt>
                <c:pt idx="2">
                  <c:v>Policy acquisition costs</c:v>
                </c:pt>
                <c:pt idx="3">
                  <c:v>Other underwriting expenses</c:v>
                </c:pt>
                <c:pt idx="4">
                  <c:v>Underwriting expenses</c:v>
                </c:pt>
                <c:pt idx="5">
                  <c:v>Underwriting result</c:v>
                </c:pt>
                <c:pt idx="6">
                  <c:v>Loss and LAE ratio</c:v>
                </c:pt>
                <c:pt idx="7">
                  <c:v>Combined ratio</c:v>
                </c:pt>
              </c:strCache>
            </c:strRef>
          </c:cat>
          <c:val>
            <c:numRef>
              <c:f>T04A!$N$15:$N$22</c:f>
              <c:numCache>
                <c:formatCode>General</c:formatCode>
                <c:ptCount val="8"/>
                <c:pt idx="0">
                  <c:v>0</c:v>
                </c:pt>
                <c:pt idx="1">
                  <c:v>-5.3556787248696329E-2</c:v>
                </c:pt>
                <c:pt idx="2">
                  <c:v>0</c:v>
                </c:pt>
                <c:pt idx="3">
                  <c:v>0</c:v>
                </c:pt>
                <c:pt idx="4">
                  <c:v>-4.1660820205370236E-2</c:v>
                </c:pt>
                <c:pt idx="5">
                  <c:v>1</c:v>
                </c:pt>
                <c:pt idx="6">
                  <c:v>-5.3556787248696343E-2</c:v>
                </c:pt>
                <c:pt idx="7">
                  <c:v>-4.166082020537025E-2</c:v>
                </c:pt>
              </c:numCache>
            </c:numRef>
          </c:val>
          <c:extLst>
            <c:ext xmlns:c16="http://schemas.microsoft.com/office/drawing/2014/chart" uri="{C3380CC4-5D6E-409C-BE32-E72D297353CC}">
              <c16:uniqueId val="{00000001-A9A3-4D42-A1FF-5E997C524535}"/>
            </c:ext>
          </c:extLst>
        </c:ser>
        <c:ser>
          <c:idx val="1"/>
          <c:order val="1"/>
          <c:tx>
            <c:v>ΔPL% good</c:v>
          </c:tx>
          <c:spPr>
            <a:solidFill>
              <a:srgbClr val="8CB400"/>
            </a:solidFill>
            <a:ln>
              <a:noFill/>
            </a:ln>
            <a:effectLst/>
            <a:extLst>
              <a:ext uri="{91240B29-F687-4F45-9708-019B960494DF}">
                <a14:hiddenLine xmlns:a14="http://schemas.microsoft.com/office/drawing/2010/main">
                  <a:noFill/>
                </a14:hiddenLine>
              </a:ext>
            </a:extLst>
          </c:spPr>
          <c:invertIfNegative val="0"/>
          <c:cat>
            <c:strRef>
              <c:f>T04A!$A$15:$A$22</c:f>
              <c:strCache>
                <c:ptCount val="8"/>
                <c:pt idx="0">
                  <c:v>Net premiums earned</c:v>
                </c:pt>
                <c:pt idx="1">
                  <c:v>Losses and loss adjustment expense</c:v>
                </c:pt>
                <c:pt idx="2">
                  <c:v>Policy acquisition costs</c:v>
                </c:pt>
                <c:pt idx="3">
                  <c:v>Other underwriting expenses</c:v>
                </c:pt>
                <c:pt idx="4">
                  <c:v>Underwriting expenses</c:v>
                </c:pt>
                <c:pt idx="5">
                  <c:v>Underwriting result</c:v>
                </c:pt>
                <c:pt idx="6">
                  <c:v>Loss and LAE ratio</c:v>
                </c:pt>
                <c:pt idx="7">
                  <c:v>Combined ratio</c:v>
                </c:pt>
              </c:strCache>
            </c:strRef>
          </c:cat>
          <c:val>
            <c:numRef>
              <c:f>T04A!$P$15:$P$22</c:f>
              <c:numCache>
                <c:formatCode>General</c:formatCode>
                <c:ptCount val="8"/>
                <c:pt idx="0">
                  <c:v>#N/A</c:v>
                </c:pt>
                <c:pt idx="1">
                  <c:v>-5.3556787248696329E-2</c:v>
                </c:pt>
                <c:pt idx="2">
                  <c:v>#N/A</c:v>
                </c:pt>
                <c:pt idx="3">
                  <c:v>#N/A</c:v>
                </c:pt>
                <c:pt idx="4">
                  <c:v>-4.1660820205370236E-2</c:v>
                </c:pt>
                <c:pt idx="5">
                  <c:v>1</c:v>
                </c:pt>
                <c:pt idx="6">
                  <c:v>#N/A</c:v>
                </c:pt>
                <c:pt idx="7">
                  <c:v>#N/A</c:v>
                </c:pt>
              </c:numCache>
            </c:numRef>
          </c:val>
          <c:extLst>
            <c:ext xmlns:c16="http://schemas.microsoft.com/office/drawing/2014/chart" uri="{C3380CC4-5D6E-409C-BE32-E72D297353CC}">
              <c16:uniqueId val="{0000000A-A9A3-4D42-A1FF-5E997C524535}"/>
            </c:ext>
          </c:extLst>
        </c:ser>
        <c:ser>
          <c:idx val="2"/>
          <c:order val="2"/>
          <c:tx>
            <c:v>ΔPL% bad</c:v>
          </c:tx>
          <c:spPr>
            <a:solidFill>
              <a:srgbClr val="FF0000"/>
            </a:solidFill>
            <a:ln>
              <a:noFill/>
            </a:ln>
            <a:effectLst/>
            <a:extLst>
              <a:ext uri="{91240B29-F687-4F45-9708-019B960494DF}">
                <a14:hiddenLine xmlns:a14="http://schemas.microsoft.com/office/drawing/2010/main">
                  <a:noFill/>
                </a14:hiddenLine>
              </a:ext>
            </a:extLst>
          </c:spPr>
          <c:invertIfNegative val="0"/>
          <c:cat>
            <c:strRef>
              <c:f>T04A!$A$15:$A$22</c:f>
              <c:strCache>
                <c:ptCount val="8"/>
                <c:pt idx="0">
                  <c:v>Net premiums earned</c:v>
                </c:pt>
                <c:pt idx="1">
                  <c:v>Losses and loss adjustment expense</c:v>
                </c:pt>
                <c:pt idx="2">
                  <c:v>Policy acquisition costs</c:v>
                </c:pt>
                <c:pt idx="3">
                  <c:v>Other underwriting expenses</c:v>
                </c:pt>
                <c:pt idx="4">
                  <c:v>Underwriting expenses</c:v>
                </c:pt>
                <c:pt idx="5">
                  <c:v>Underwriting result</c:v>
                </c:pt>
                <c:pt idx="6">
                  <c:v>Loss and LAE ratio</c:v>
                </c:pt>
                <c:pt idx="7">
                  <c:v>Combined ratio</c:v>
                </c:pt>
              </c:strCache>
            </c:strRef>
          </c:cat>
          <c:val>
            <c:numRef>
              <c:f>T04A!$Q$15:$Q$22</c:f>
              <c:numCache>
                <c:formatCode>General</c:formatCode>
                <c:ptCount val="8"/>
                <c:pt idx="0">
                  <c:v>#N/A</c:v>
                </c:pt>
                <c:pt idx="1">
                  <c:v>#N/A</c:v>
                </c:pt>
                <c:pt idx="2">
                  <c:v>#N/A</c:v>
                </c:pt>
                <c:pt idx="3">
                  <c:v>#N/A</c:v>
                </c:pt>
                <c:pt idx="4">
                  <c:v>#N/A</c:v>
                </c:pt>
                <c:pt idx="5">
                  <c:v>#N/A</c:v>
                </c:pt>
                <c:pt idx="6">
                  <c:v>-5.3556787248696343E-2</c:v>
                </c:pt>
                <c:pt idx="7">
                  <c:v>-4.166082020537025E-2</c:v>
                </c:pt>
              </c:numCache>
            </c:numRef>
          </c:val>
          <c:extLst>
            <c:ext xmlns:c16="http://schemas.microsoft.com/office/drawing/2014/chart" uri="{C3380CC4-5D6E-409C-BE32-E72D297353CC}">
              <c16:uniqueId val="{0000000B-A9A3-4D42-A1FF-5E997C524535}"/>
            </c:ext>
          </c:extLst>
        </c:ser>
        <c:dLbls>
          <c:showLegendKey val="0"/>
          <c:showVal val="0"/>
          <c:showCatName val="0"/>
          <c:showSerName val="0"/>
          <c:showPercent val="0"/>
          <c:showBubbleSize val="0"/>
        </c:dLbls>
        <c:gapWidth val="500"/>
        <c:overlap val="100"/>
        <c:axId val="1619130048"/>
        <c:axId val="1238154992"/>
      </c:barChart>
      <c:catAx>
        <c:axId val="1619130048"/>
        <c:scaling>
          <c:orientation val="maxMin"/>
        </c:scaling>
        <c:delete val="0"/>
        <c:axPos val="l"/>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238154992"/>
        <c:crosses val="autoZero"/>
        <c:auto val="1"/>
        <c:lblAlgn val="ctr"/>
        <c:lblOffset val="100"/>
        <c:noMultiLvlLbl val="0"/>
      </c:catAx>
      <c:valAx>
        <c:axId val="1238154992"/>
        <c:scaling>
          <c:orientation val="minMax"/>
          <c:max val="1.0401388470337365"/>
          <c:min val="-0.10287087498135854"/>
        </c:scaling>
        <c:delete val="0"/>
        <c:axPos val="t"/>
        <c:numFmt formatCode="General" sourceLinked="1"/>
        <c:majorTickMark val="none"/>
        <c:minorTickMark val="none"/>
        <c:tickLblPos val="none"/>
        <c:spPr>
          <a:no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crossAx val="1619130048"/>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4" Type="http://schemas.openxmlformats.org/officeDocument/2006/relationships/chart" Target="../charts/chart31.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 Id="rId4" Type="http://schemas.openxmlformats.org/officeDocument/2006/relationships/chart" Target="../charts/chart3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6</xdr:col>
      <xdr:colOff>228600</xdr:colOff>
      <xdr:row>5</xdr:row>
      <xdr:rowOff>107950</xdr:rowOff>
    </xdr:from>
    <xdr:to>
      <xdr:col>12</xdr:col>
      <xdr:colOff>381000</xdr:colOff>
      <xdr:row>85</xdr:row>
      <xdr:rowOff>171450</xdr:rowOff>
    </xdr:to>
    <xdr:graphicFrame macro="">
      <xdr:nvGraphicFramePr>
        <xdr:cNvPr id="2" name="panel_segment">
          <a:extLst>
            <a:ext uri="{FF2B5EF4-FFF2-40B4-BE49-F238E27FC236}">
              <a16:creationId xmlns:a16="http://schemas.microsoft.com/office/drawing/2014/main" id="{0B3DE84B-DBE6-2179-4C97-608719657A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76200</xdr:colOff>
      <xdr:row>5</xdr:row>
      <xdr:rowOff>107950</xdr:rowOff>
    </xdr:from>
    <xdr:to>
      <xdr:col>15</xdr:col>
      <xdr:colOff>76200</xdr:colOff>
      <xdr:row>85</xdr:row>
      <xdr:rowOff>171450</xdr:rowOff>
    </xdr:to>
    <xdr:graphicFrame macro="">
      <xdr:nvGraphicFramePr>
        <xdr:cNvPr id="3" name="panel_state">
          <a:extLst>
            <a:ext uri="{FF2B5EF4-FFF2-40B4-BE49-F238E27FC236}">
              <a16:creationId xmlns:a16="http://schemas.microsoft.com/office/drawing/2014/main" id="{BCBC7DC1-D3F5-D279-05FF-5B1F6D73D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228600</xdr:colOff>
      <xdr:row>0</xdr:row>
      <xdr:rowOff>127000</xdr:rowOff>
    </xdr:from>
    <xdr:to>
      <xdr:col>15</xdr:col>
      <xdr:colOff>76200</xdr:colOff>
      <xdr:row>1</xdr:row>
      <xdr:rowOff>133350</xdr:rowOff>
    </xdr:to>
    <xdr:sp macro="" textlink="'C01A'!$B$1">
      <xdr:nvSpPr>
        <xdr:cNvPr id="4" name="title_C01A_entity">
          <a:extLst>
            <a:ext uri="{FF2B5EF4-FFF2-40B4-BE49-F238E27FC236}">
              <a16:creationId xmlns:a16="http://schemas.microsoft.com/office/drawing/2014/main" id="{4CCBC16E-CCF9-89BF-17AE-42525A28E6AF}"/>
            </a:ext>
          </a:extLst>
        </xdr:cNvPr>
        <xdr:cNvSpPr txBox="1"/>
      </xdr:nvSpPr>
      <xdr:spPr>
        <a:xfrm>
          <a:off x="5175250" y="127000"/>
          <a:ext cx="5334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D30F70DD-B0A3-44D0-9E99-98820ECC8627}" type="TxLink">
            <a:rPr lang="en-US" sz="1100" b="0" i="0" u="none" strike="noStrike">
              <a:solidFill>
                <a:srgbClr val="000000"/>
              </a:solidFill>
              <a:latin typeface="Arial" panose="020B0604020202020204" pitchFamily="34" charset="0"/>
            </a:rPr>
            <a:pPr algn="l"/>
            <a:t>The Progressive Corporation</a:t>
          </a:fld>
          <a:endParaRPr lang="en-US" sz="1100" b="0">
            <a:latin typeface="Arial" panose="020B0604020202020204" pitchFamily="34" charset="0"/>
          </a:endParaRPr>
        </a:p>
      </xdr:txBody>
    </xdr:sp>
    <xdr:clientData/>
  </xdr:twoCellAnchor>
  <xdr:twoCellAnchor editAs="absolute">
    <xdr:from>
      <xdr:col>6</xdr:col>
      <xdr:colOff>228600</xdr:colOff>
      <xdr:row>1</xdr:row>
      <xdr:rowOff>133350</xdr:rowOff>
    </xdr:from>
    <xdr:to>
      <xdr:col>15</xdr:col>
      <xdr:colOff>76200</xdr:colOff>
      <xdr:row>2</xdr:row>
      <xdr:rowOff>139700</xdr:rowOff>
    </xdr:to>
    <xdr:sp macro="" textlink="'C01A'!$B$7">
      <xdr:nvSpPr>
        <xdr:cNvPr id="5" name="title_C01A_subject">
          <a:extLst>
            <a:ext uri="{FF2B5EF4-FFF2-40B4-BE49-F238E27FC236}">
              <a16:creationId xmlns:a16="http://schemas.microsoft.com/office/drawing/2014/main" id="{70D2643A-3AAD-92B3-5C77-840A5EB11B29}"/>
            </a:ext>
          </a:extLst>
        </xdr:cNvPr>
        <xdr:cNvSpPr txBox="1"/>
      </xdr:nvSpPr>
      <xdr:spPr>
        <a:xfrm>
          <a:off x="5175250" y="317500"/>
          <a:ext cx="5334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CA734D69-F7A8-47FB-9633-6C17AA7DAB46}" type="TxLink">
            <a:rPr lang="en-US" sz="1100" b="1" i="0" u="none" strike="noStrike">
              <a:solidFill>
                <a:srgbClr val="808080"/>
              </a:solidFill>
              <a:latin typeface="Arial" panose="020B0604020202020204" pitchFamily="34" charset="0"/>
            </a:rPr>
            <a:pPr algn="l"/>
            <a:t>Net premiums written in $m</a:t>
          </a:fld>
          <a:endParaRPr lang="en-US" sz="1100" b="1">
            <a:latin typeface="Arial" panose="020B0604020202020204" pitchFamily="34" charset="0"/>
          </a:endParaRPr>
        </a:p>
      </xdr:txBody>
    </xdr:sp>
    <xdr:clientData/>
  </xdr:twoCellAnchor>
  <xdr:twoCellAnchor editAs="absolute">
    <xdr:from>
      <xdr:col>6</xdr:col>
      <xdr:colOff>228600</xdr:colOff>
      <xdr:row>2</xdr:row>
      <xdr:rowOff>139700</xdr:rowOff>
    </xdr:from>
    <xdr:to>
      <xdr:col>15</xdr:col>
      <xdr:colOff>76200</xdr:colOff>
      <xdr:row>3</xdr:row>
      <xdr:rowOff>146050</xdr:rowOff>
    </xdr:to>
    <xdr:sp macro="" textlink="'C01A'!$B$4">
      <xdr:nvSpPr>
        <xdr:cNvPr id="6" name="title_C01A_period">
          <a:extLst>
            <a:ext uri="{FF2B5EF4-FFF2-40B4-BE49-F238E27FC236}">
              <a16:creationId xmlns:a16="http://schemas.microsoft.com/office/drawing/2014/main" id="{979D7B6A-94DB-3CDF-BFE1-701013ABC6C6}"/>
            </a:ext>
          </a:extLst>
        </xdr:cNvPr>
        <xdr:cNvSpPr txBox="1"/>
      </xdr:nvSpPr>
      <xdr:spPr>
        <a:xfrm>
          <a:off x="5175250" y="508000"/>
          <a:ext cx="5334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40720477-D2CF-42EB-989A-36C176D36CA8}" type="TxLink">
            <a:rPr lang="en-US" sz="1100" b="0" i="0" u="none" strike="noStrike">
              <a:solidFill>
                <a:srgbClr val="000000"/>
              </a:solidFill>
              <a:latin typeface="Arial" panose="020B0604020202020204" pitchFamily="34" charset="0"/>
            </a:rPr>
            <a:pPr algn="l"/>
            <a:t>2021..2025</a:t>
          </a:fld>
          <a:endParaRPr lang="en-US" sz="1100" b="0">
            <a:latin typeface="Arial" panose="020B0604020202020204" pitchFamily="34" charset="0"/>
          </a:endParaRPr>
        </a:p>
      </xdr:txBody>
    </xdr:sp>
    <xdr:clientData/>
  </xdr:twoCellAnchor>
  <xdr:twoCellAnchor editAs="absolute">
    <xdr:from>
      <xdr:col>6</xdr:col>
      <xdr:colOff>228600</xdr:colOff>
      <xdr:row>3</xdr:row>
      <xdr:rowOff>146050</xdr:rowOff>
    </xdr:from>
    <xdr:to>
      <xdr:col>15</xdr:col>
      <xdr:colOff>76200</xdr:colOff>
      <xdr:row>5</xdr:row>
      <xdr:rowOff>107950</xdr:rowOff>
    </xdr:to>
    <xdr:sp macro="" textlink="'C01A'!$B$6">
      <xdr:nvSpPr>
        <xdr:cNvPr id="7" name="title_C01A_message">
          <a:extLst>
            <a:ext uri="{FF2B5EF4-FFF2-40B4-BE49-F238E27FC236}">
              <a16:creationId xmlns:a16="http://schemas.microsoft.com/office/drawing/2014/main" id="{501D440F-6698-8383-1A81-563D5E7AA44D}"/>
            </a:ext>
          </a:extLst>
        </xdr:cNvPr>
        <xdr:cNvSpPr txBox="1"/>
      </xdr:nvSpPr>
      <xdr:spPr>
        <a:xfrm>
          <a:off x="5175250" y="698500"/>
          <a:ext cx="5334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F88653A3-C512-4226-AEF7-3A9E98826D87}" type="TxLink">
            <a:rPr lang="en-US" sz="1000" b="0" i="0" u="none" strike="noStrike">
              <a:solidFill>
                <a:srgbClr val="000000"/>
              </a:solidFill>
              <a:latin typeface="Arial" panose="020B0604020202020204" pitchFamily="34" charset="0"/>
            </a:rPr>
            <a:pPr algn="l"/>
            <a:t>Direct auto has grown from 18,911 to 39,631 $m since 2021, +110%, and now writes 48% of premium; Texas and Florida together account for 25% of the 2025 book</a:t>
          </a:fld>
          <a:endParaRPr lang="en-US" sz="1000" b="0">
            <a:latin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228600</xdr:colOff>
      <xdr:row>5</xdr:row>
      <xdr:rowOff>107950</xdr:rowOff>
    </xdr:from>
    <xdr:to>
      <xdr:col>34</xdr:col>
      <xdr:colOff>25400</xdr:colOff>
      <xdr:row>12</xdr:row>
      <xdr:rowOff>127907</xdr:rowOff>
    </xdr:to>
    <xdr:graphicFrame macro="">
      <xdr:nvGraphicFramePr>
        <xdr:cNvPr id="2" name="panel_premium">
          <a:extLst>
            <a:ext uri="{FF2B5EF4-FFF2-40B4-BE49-F238E27FC236}">
              <a16:creationId xmlns:a16="http://schemas.microsoft.com/office/drawing/2014/main" id="{EBB37E98-187B-6648-3877-CB9C44953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22</xdr:col>
      <xdr:colOff>228600</xdr:colOff>
      <xdr:row>0</xdr:row>
      <xdr:rowOff>127000</xdr:rowOff>
    </xdr:from>
    <xdr:to>
      <xdr:col>34</xdr:col>
      <xdr:colOff>25400</xdr:colOff>
      <xdr:row>1</xdr:row>
      <xdr:rowOff>133350</xdr:rowOff>
    </xdr:to>
    <xdr:sp macro="" textlink="'C02A'!$B$1">
      <xdr:nvSpPr>
        <xdr:cNvPr id="3" name="title_C02A_entity">
          <a:extLst>
            <a:ext uri="{FF2B5EF4-FFF2-40B4-BE49-F238E27FC236}">
              <a16:creationId xmlns:a16="http://schemas.microsoft.com/office/drawing/2014/main" id="{22711D7F-8D84-698F-14B5-65637081264F}"/>
            </a:ext>
          </a:extLst>
        </xdr:cNvPr>
        <xdr:cNvSpPr txBox="1"/>
      </xdr:nvSpPr>
      <xdr:spPr>
        <a:xfrm>
          <a:off x="14928850" y="127000"/>
          <a:ext cx="7112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93AA9A46-3CBA-47FF-8C69-DCD73C2A0715}" type="TxLink">
            <a:rPr lang="en-US" sz="1100" b="0" i="0" u="none" strike="noStrike">
              <a:solidFill>
                <a:srgbClr val="000000"/>
              </a:solidFill>
              <a:latin typeface="Arial" panose="020B0604020202020204" pitchFamily="34" charset="0"/>
            </a:rPr>
            <a:pPr algn="l"/>
            <a:t>The Progressive Corporation</a:t>
          </a:fld>
          <a:endParaRPr lang="en-US" sz="1100" b="0">
            <a:latin typeface="Arial" panose="020B0604020202020204" pitchFamily="34" charset="0"/>
          </a:endParaRPr>
        </a:p>
      </xdr:txBody>
    </xdr:sp>
    <xdr:clientData/>
  </xdr:twoCellAnchor>
  <xdr:twoCellAnchor editAs="absolute">
    <xdr:from>
      <xdr:col>22</xdr:col>
      <xdr:colOff>228600</xdr:colOff>
      <xdr:row>1</xdr:row>
      <xdr:rowOff>133350</xdr:rowOff>
    </xdr:from>
    <xdr:to>
      <xdr:col>34</xdr:col>
      <xdr:colOff>25400</xdr:colOff>
      <xdr:row>2</xdr:row>
      <xdr:rowOff>139700</xdr:rowOff>
    </xdr:to>
    <xdr:sp macro="" textlink="'C02A'!$B$7">
      <xdr:nvSpPr>
        <xdr:cNvPr id="4" name="title_C02A_subject">
          <a:extLst>
            <a:ext uri="{FF2B5EF4-FFF2-40B4-BE49-F238E27FC236}">
              <a16:creationId xmlns:a16="http://schemas.microsoft.com/office/drawing/2014/main" id="{D1BC64F5-ADE5-CD45-3346-14DA1D191A6D}"/>
            </a:ext>
          </a:extLst>
        </xdr:cNvPr>
        <xdr:cNvSpPr txBox="1"/>
      </xdr:nvSpPr>
      <xdr:spPr>
        <a:xfrm>
          <a:off x="14928850" y="317500"/>
          <a:ext cx="7112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CA0C1086-444B-48DF-8B16-7A7EB2C23362}" type="TxLink">
            <a:rPr lang="en-US" sz="1100" b="1" i="0" u="none" strike="noStrike">
              <a:solidFill>
                <a:srgbClr val="808080"/>
              </a:solidFill>
              <a:latin typeface="Arial" panose="020B0604020202020204" pitchFamily="34" charset="0"/>
            </a:rPr>
            <a:pPr algn="l"/>
            <a:t>Net premiums earned in $m</a:t>
          </a:fld>
          <a:endParaRPr lang="en-US" sz="1100" b="1">
            <a:latin typeface="Arial" panose="020B0604020202020204" pitchFamily="34" charset="0"/>
          </a:endParaRPr>
        </a:p>
      </xdr:txBody>
    </xdr:sp>
    <xdr:clientData/>
  </xdr:twoCellAnchor>
  <xdr:twoCellAnchor editAs="absolute">
    <xdr:from>
      <xdr:col>22</xdr:col>
      <xdr:colOff>228600</xdr:colOff>
      <xdr:row>2</xdr:row>
      <xdr:rowOff>139700</xdr:rowOff>
    </xdr:from>
    <xdr:to>
      <xdr:col>34</xdr:col>
      <xdr:colOff>25400</xdr:colOff>
      <xdr:row>3</xdr:row>
      <xdr:rowOff>146050</xdr:rowOff>
    </xdr:to>
    <xdr:sp macro="" textlink="'C02A'!$B$4">
      <xdr:nvSpPr>
        <xdr:cNvPr id="5" name="title_C02A_period">
          <a:extLst>
            <a:ext uri="{FF2B5EF4-FFF2-40B4-BE49-F238E27FC236}">
              <a16:creationId xmlns:a16="http://schemas.microsoft.com/office/drawing/2014/main" id="{578A4991-F85C-1F16-E7EA-C2C7BF3BD0BD}"/>
            </a:ext>
          </a:extLst>
        </xdr:cNvPr>
        <xdr:cNvSpPr txBox="1"/>
      </xdr:nvSpPr>
      <xdr:spPr>
        <a:xfrm>
          <a:off x="14928850" y="508000"/>
          <a:ext cx="7112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50842704-57B7-4BBC-B512-424EFE2B1A4C}" type="TxLink">
            <a:rPr lang="en-US" sz="1100" b="0" i="0" u="none" strike="noStrike">
              <a:solidFill>
                <a:srgbClr val="000000"/>
              </a:solidFill>
              <a:latin typeface="Arial" panose="020B0604020202020204" pitchFamily="34" charset="0"/>
            </a:rPr>
            <a:pPr algn="l"/>
            <a:t>2025</a:t>
          </a:fld>
          <a:endParaRPr lang="en-US" sz="1100" b="0">
            <a:latin typeface="Arial" panose="020B0604020202020204" pitchFamily="34" charset="0"/>
          </a:endParaRPr>
        </a:p>
      </xdr:txBody>
    </xdr:sp>
    <xdr:clientData/>
  </xdr:twoCellAnchor>
  <xdr:twoCellAnchor editAs="absolute">
    <xdr:from>
      <xdr:col>22</xdr:col>
      <xdr:colOff>228600</xdr:colOff>
      <xdr:row>3</xdr:row>
      <xdr:rowOff>146050</xdr:rowOff>
    </xdr:from>
    <xdr:to>
      <xdr:col>34</xdr:col>
      <xdr:colOff>25400</xdr:colOff>
      <xdr:row>5</xdr:row>
      <xdr:rowOff>107950</xdr:rowOff>
    </xdr:to>
    <xdr:sp macro="" textlink="'C02A'!$B$6">
      <xdr:nvSpPr>
        <xdr:cNvPr id="6" name="title_C02A_message">
          <a:extLst>
            <a:ext uri="{FF2B5EF4-FFF2-40B4-BE49-F238E27FC236}">
              <a16:creationId xmlns:a16="http://schemas.microsoft.com/office/drawing/2014/main" id="{397FE76F-CC56-51AE-99D1-6017CD53F144}"/>
            </a:ext>
          </a:extLst>
        </xdr:cNvPr>
        <xdr:cNvSpPr txBox="1"/>
      </xdr:nvSpPr>
      <xdr:spPr>
        <a:xfrm>
          <a:off x="14928850" y="698500"/>
          <a:ext cx="7112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1AF1167A-179E-44D1-8BE3-D6B3088F2D90}" type="TxLink">
            <a:rPr lang="en-US" sz="1000" b="0" i="0" u="none" strike="noStrike">
              <a:solidFill>
                <a:srgbClr val="000000"/>
              </a:solidFill>
              <a:latin typeface="Arial" panose="020B0604020202020204" pitchFamily="34" charset="0"/>
            </a:rPr>
            <a:pPr algn="l"/>
            <a:t>Of 81,659 $m earned in 2025, 53,866 went to losses and 17,523 to expenses, leaving an underwriting result of 10,270 $m (12.6%); Property keeps the largest share of its premium at 24.9% and Direct auto the smallest at 9.9%</a:t>
          </a:fld>
          <a:endParaRPr lang="en-US" sz="1000" b="0">
            <a:latin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29</xdr:col>
      <xdr:colOff>228600</xdr:colOff>
      <xdr:row>0</xdr:row>
      <xdr:rowOff>127000</xdr:rowOff>
    </xdr:from>
    <xdr:to>
      <xdr:col>40</xdr:col>
      <xdr:colOff>127000</xdr:colOff>
      <xdr:row>1</xdr:row>
      <xdr:rowOff>127000</xdr:rowOff>
    </xdr:to>
    <xdr:sp macro="" textlink="'C03A'!$B$1">
      <xdr:nvSpPr>
        <xdr:cNvPr id="2" name="title_C03A_entity">
          <a:extLst>
            <a:ext uri="{FF2B5EF4-FFF2-40B4-BE49-F238E27FC236}">
              <a16:creationId xmlns:a16="http://schemas.microsoft.com/office/drawing/2014/main" id="{A5B654DB-9FDB-BD94-BBC3-5CEBBFBBC62A}"/>
            </a:ext>
          </a:extLst>
        </xdr:cNvPr>
        <xdr:cNvSpPr txBox="1"/>
      </xdr:nvSpPr>
      <xdr:spPr>
        <a:xfrm>
          <a:off x="8674100" y="127000"/>
          <a:ext cx="6604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34EC15E9-A530-4296-B3DE-F5DCFB613633}" type="TxLink">
            <a:rPr lang="en-US" sz="1100" b="0" i="0" u="none" strike="noStrike">
              <a:solidFill>
                <a:srgbClr val="000000"/>
              </a:solidFill>
              <a:latin typeface="Arial" panose="020B0604020202020204" pitchFamily="34" charset="0"/>
            </a:rPr>
            <a:pPr algn="l"/>
            <a:t>The Progressive Corporation</a:t>
          </a:fld>
          <a:endParaRPr lang="en-US" sz="1100" b="0">
            <a:latin typeface="Arial" panose="020B0604020202020204" pitchFamily="34" charset="0"/>
          </a:endParaRPr>
        </a:p>
      </xdr:txBody>
    </xdr:sp>
    <xdr:clientData/>
  </xdr:twoCellAnchor>
  <xdr:twoCellAnchor editAs="absolute">
    <xdr:from>
      <xdr:col>29</xdr:col>
      <xdr:colOff>228600</xdr:colOff>
      <xdr:row>1</xdr:row>
      <xdr:rowOff>127000</xdr:rowOff>
    </xdr:from>
    <xdr:to>
      <xdr:col>40</xdr:col>
      <xdr:colOff>127000</xdr:colOff>
      <xdr:row>2</xdr:row>
      <xdr:rowOff>127000</xdr:rowOff>
    </xdr:to>
    <xdr:sp macro="" textlink="'C03A'!$B$7">
      <xdr:nvSpPr>
        <xdr:cNvPr id="3" name="title_C03A_subject">
          <a:extLst>
            <a:ext uri="{FF2B5EF4-FFF2-40B4-BE49-F238E27FC236}">
              <a16:creationId xmlns:a16="http://schemas.microsoft.com/office/drawing/2014/main" id="{1A249EF9-FE09-43D6-9E4A-349057038856}"/>
            </a:ext>
          </a:extLst>
        </xdr:cNvPr>
        <xdr:cNvSpPr txBox="1"/>
      </xdr:nvSpPr>
      <xdr:spPr>
        <a:xfrm>
          <a:off x="8674100" y="317500"/>
          <a:ext cx="6604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9C79A37F-EB1F-4A53-AED0-E5708A2F2C25}" type="TxLink">
            <a:rPr lang="en-US" sz="1100" b="1" i="0" u="none" strike="noStrike">
              <a:solidFill>
                <a:srgbClr val="000000"/>
              </a:solidFill>
              <a:latin typeface="Arial" panose="020B0604020202020204" pitchFamily="34" charset="0"/>
            </a:rPr>
            <a:pPr algn="l"/>
            <a:t>Net premiums written in $m</a:t>
          </a:fld>
          <a:endParaRPr lang="en-US" sz="1100" b="1">
            <a:latin typeface="Arial" panose="020B0604020202020204" pitchFamily="34" charset="0"/>
          </a:endParaRPr>
        </a:p>
      </xdr:txBody>
    </xdr:sp>
    <xdr:clientData/>
  </xdr:twoCellAnchor>
  <xdr:twoCellAnchor editAs="absolute">
    <xdr:from>
      <xdr:col>29</xdr:col>
      <xdr:colOff>228600</xdr:colOff>
      <xdr:row>2</xdr:row>
      <xdr:rowOff>127000</xdr:rowOff>
    </xdr:from>
    <xdr:to>
      <xdr:col>40</xdr:col>
      <xdr:colOff>127000</xdr:colOff>
      <xdr:row>3</xdr:row>
      <xdr:rowOff>127000</xdr:rowOff>
    </xdr:to>
    <xdr:sp macro="" textlink="'C03A'!$B$4">
      <xdr:nvSpPr>
        <xdr:cNvPr id="4" name="title_C03A_period">
          <a:extLst>
            <a:ext uri="{FF2B5EF4-FFF2-40B4-BE49-F238E27FC236}">
              <a16:creationId xmlns:a16="http://schemas.microsoft.com/office/drawing/2014/main" id="{8F5D5437-EBD6-1E59-36E9-1BCB10AB6E48}"/>
            </a:ext>
          </a:extLst>
        </xdr:cNvPr>
        <xdr:cNvSpPr txBox="1"/>
      </xdr:nvSpPr>
      <xdr:spPr>
        <a:xfrm>
          <a:off x="8674100" y="508000"/>
          <a:ext cx="6604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896C57AC-5CB9-4771-819B-B5A081FA4391}" type="TxLink">
            <a:rPr lang="en-US" sz="1100" b="0" i="0" u="none" strike="noStrike">
              <a:solidFill>
                <a:srgbClr val="000000"/>
              </a:solidFill>
              <a:latin typeface="Arial" panose="020B0604020202020204" pitchFamily="34" charset="0"/>
            </a:rPr>
            <a:pPr algn="l"/>
            <a:t>2026</a:t>
          </a:fld>
          <a:endParaRPr lang="en-US" sz="1100" b="0">
            <a:latin typeface="Arial" panose="020B0604020202020204" pitchFamily="34" charset="0"/>
          </a:endParaRPr>
        </a:p>
      </xdr:txBody>
    </xdr:sp>
    <xdr:clientData/>
  </xdr:twoCellAnchor>
  <xdr:twoCellAnchor editAs="absolute">
    <xdr:from>
      <xdr:col>29</xdr:col>
      <xdr:colOff>228600</xdr:colOff>
      <xdr:row>3</xdr:row>
      <xdr:rowOff>127000</xdr:rowOff>
    </xdr:from>
    <xdr:to>
      <xdr:col>40</xdr:col>
      <xdr:colOff>127000</xdr:colOff>
      <xdr:row>5</xdr:row>
      <xdr:rowOff>76200</xdr:rowOff>
    </xdr:to>
    <xdr:sp macro="" textlink="'C03A'!$B$6">
      <xdr:nvSpPr>
        <xdr:cNvPr id="5" name="title_C03A_message">
          <a:extLst>
            <a:ext uri="{FF2B5EF4-FFF2-40B4-BE49-F238E27FC236}">
              <a16:creationId xmlns:a16="http://schemas.microsoft.com/office/drawing/2014/main" id="{0DE3E61C-3245-43A7-DCAA-77E7485FED51}"/>
            </a:ext>
          </a:extLst>
        </xdr:cNvPr>
        <xdr:cNvSpPr txBox="1"/>
      </xdr:nvSpPr>
      <xdr:spPr>
        <a:xfrm>
          <a:off x="8674100" y="698500"/>
          <a:ext cx="6604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2BD501D6-10C3-4AB5-80C2-B6EAD3104F5B}" type="TxLink">
            <a:rPr lang="en-US" sz="1000" b="0" i="0" u="none" strike="noStrike">
              <a:solidFill>
                <a:srgbClr val="000000"/>
              </a:solidFill>
              <a:latin typeface="Arial" panose="020B0604020202020204" pitchFamily="34" charset="0"/>
            </a:rPr>
            <a:pPr algn="l"/>
            <a:t>Net premiums written are running +2.5% to +9.6% above prior year through Jul; on that pace the year closes +4,753 $m (+5.7%) above 2025</a:t>
          </a:fld>
          <a:endParaRPr lang="en-US" sz="1000" b="0">
            <a:latin typeface="Arial" panose="020B0604020202020204" pitchFamily="34" charset="0"/>
          </a:endParaRPr>
        </a:p>
      </xdr:txBody>
    </xdr:sp>
    <xdr:clientData/>
  </xdr:twoCellAnchor>
  <xdr:twoCellAnchor editAs="absolute">
    <xdr:from>
      <xdr:col>29</xdr:col>
      <xdr:colOff>228600</xdr:colOff>
      <xdr:row>5</xdr:row>
      <xdr:rowOff>266700</xdr:rowOff>
    </xdr:from>
    <xdr:to>
      <xdr:col>40</xdr:col>
      <xdr:colOff>127000</xdr:colOff>
      <xdr:row>11</xdr:row>
      <xdr:rowOff>260350</xdr:rowOff>
    </xdr:to>
    <xdr:graphicFrame macro="">
      <xdr:nvGraphicFramePr>
        <xdr:cNvPr id="6" name="tier_var_rel">
          <a:extLst>
            <a:ext uri="{FF2B5EF4-FFF2-40B4-BE49-F238E27FC236}">
              <a16:creationId xmlns:a16="http://schemas.microsoft.com/office/drawing/2014/main" id="{A60798D7-5517-BE42-34B0-A18CC0F19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29</xdr:col>
      <xdr:colOff>228600</xdr:colOff>
      <xdr:row>11</xdr:row>
      <xdr:rowOff>311150</xdr:rowOff>
    </xdr:from>
    <xdr:to>
      <xdr:col>40</xdr:col>
      <xdr:colOff>127000</xdr:colOff>
      <xdr:row>18</xdr:row>
      <xdr:rowOff>171450</xdr:rowOff>
    </xdr:to>
    <xdr:graphicFrame macro="">
      <xdr:nvGraphicFramePr>
        <xdr:cNvPr id="7" name="tier_var_abs">
          <a:extLst>
            <a:ext uri="{FF2B5EF4-FFF2-40B4-BE49-F238E27FC236}">
              <a16:creationId xmlns:a16="http://schemas.microsoft.com/office/drawing/2014/main" id="{8FA834AA-7B97-5B64-A6AD-1F8113843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29</xdr:col>
      <xdr:colOff>228600</xdr:colOff>
      <xdr:row>19</xdr:row>
      <xdr:rowOff>38100</xdr:rowOff>
    </xdr:from>
    <xdr:to>
      <xdr:col>40</xdr:col>
      <xdr:colOff>127000</xdr:colOff>
      <xdr:row>35</xdr:row>
      <xdr:rowOff>69850</xdr:rowOff>
    </xdr:to>
    <xdr:graphicFrame macro="">
      <xdr:nvGraphicFramePr>
        <xdr:cNvPr id="8" name="tier_measure">
          <a:extLst>
            <a:ext uri="{FF2B5EF4-FFF2-40B4-BE49-F238E27FC236}">
              <a16:creationId xmlns:a16="http://schemas.microsoft.com/office/drawing/2014/main" id="{464E423D-834A-8711-89F0-48F6A5FAEC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29</xdr:col>
      <xdr:colOff>228600</xdr:colOff>
      <xdr:row>8</xdr:row>
      <xdr:rowOff>39591</xdr:rowOff>
    </xdr:from>
    <xdr:to>
      <xdr:col>30</xdr:col>
      <xdr:colOff>127000</xdr:colOff>
      <xdr:row>9</xdr:row>
      <xdr:rowOff>1491</xdr:rowOff>
    </xdr:to>
    <xdr:sp macro="" textlink="'C03A'!$B$9">
      <xdr:nvSpPr>
        <xdr:cNvPr id="9" name="caption_var_rel">
          <a:extLst>
            <a:ext uri="{FF2B5EF4-FFF2-40B4-BE49-F238E27FC236}">
              <a16:creationId xmlns:a16="http://schemas.microsoft.com/office/drawing/2014/main" id="{36F38132-86F1-C8E8-C941-B33A2877BDF6}"/>
            </a:ext>
          </a:extLst>
        </xdr:cNvPr>
        <xdr:cNvSpPr txBox="1"/>
      </xdr:nvSpPr>
      <xdr:spPr>
        <a:xfrm>
          <a:off x="8674100" y="1747741"/>
          <a:ext cx="508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lstStyle/>
        <a:p>
          <a:pPr algn="r"/>
          <a:fld id="{3727058D-787C-46B2-B41E-FEE363829D07}" type="TxLink">
            <a:rPr lang="el-GR" sz="900" b="0" i="0" u="none" strike="noStrike">
              <a:solidFill>
                <a:srgbClr val="808080"/>
              </a:solidFill>
              <a:latin typeface="Arial" panose="020B0604020202020204" pitchFamily="34" charset="0"/>
            </a:rPr>
            <a:pPr algn="r"/>
            <a:t>ΔPY%</a:t>
          </a:fld>
          <a:endParaRPr lang="en-US" sz="900" b="0">
            <a:latin typeface="Arial" panose="020B0604020202020204" pitchFamily="34" charset="0"/>
          </a:endParaRPr>
        </a:p>
      </xdr:txBody>
    </xdr:sp>
    <xdr:clientData/>
  </xdr:twoCellAnchor>
  <xdr:twoCellAnchor editAs="absolute">
    <xdr:from>
      <xdr:col>29</xdr:col>
      <xdr:colOff>228600</xdr:colOff>
      <xdr:row>14</xdr:row>
      <xdr:rowOff>167309</xdr:rowOff>
    </xdr:from>
    <xdr:to>
      <xdr:col>30</xdr:col>
      <xdr:colOff>127000</xdr:colOff>
      <xdr:row>15</xdr:row>
      <xdr:rowOff>135559</xdr:rowOff>
    </xdr:to>
    <xdr:sp macro="" textlink="'C03A'!$B$10">
      <xdr:nvSpPr>
        <xdr:cNvPr id="10" name="caption_var_abs">
          <a:extLst>
            <a:ext uri="{FF2B5EF4-FFF2-40B4-BE49-F238E27FC236}">
              <a16:creationId xmlns:a16="http://schemas.microsoft.com/office/drawing/2014/main" id="{F617A1BC-05D3-EF4D-215C-3756054E1A7F}"/>
            </a:ext>
          </a:extLst>
        </xdr:cNvPr>
        <xdr:cNvSpPr txBox="1"/>
      </xdr:nvSpPr>
      <xdr:spPr>
        <a:xfrm>
          <a:off x="8674100" y="3170859"/>
          <a:ext cx="508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lstStyle/>
        <a:p>
          <a:pPr algn="r"/>
          <a:fld id="{1EC49F9B-A7CA-4687-AE6C-48BB94556133}" type="TxLink">
            <a:rPr lang="el-GR" sz="900" b="0" i="0" u="none" strike="noStrike">
              <a:solidFill>
                <a:srgbClr val="808080"/>
              </a:solidFill>
              <a:latin typeface="Arial" panose="020B0604020202020204" pitchFamily="34" charset="0"/>
            </a:rPr>
            <a:pPr algn="r"/>
            <a:t>ΔPY $m</a:t>
          </a:fld>
          <a:endParaRPr lang="en-US" sz="900" b="0">
            <a:latin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25</xdr:col>
      <xdr:colOff>228600</xdr:colOff>
      <xdr:row>0</xdr:row>
      <xdr:rowOff>127000</xdr:rowOff>
    </xdr:from>
    <xdr:to>
      <xdr:col>33</xdr:col>
      <xdr:colOff>431800</xdr:colOff>
      <xdr:row>1</xdr:row>
      <xdr:rowOff>127000</xdr:rowOff>
    </xdr:to>
    <xdr:sp macro="" textlink="'C04A'!$B$1">
      <xdr:nvSpPr>
        <xdr:cNvPr id="2" name="title_C04A_entity">
          <a:extLst>
            <a:ext uri="{FF2B5EF4-FFF2-40B4-BE49-F238E27FC236}">
              <a16:creationId xmlns:a16="http://schemas.microsoft.com/office/drawing/2014/main" id="{667A67A6-496D-6228-7CF1-419715BB5945}"/>
            </a:ext>
          </a:extLst>
        </xdr:cNvPr>
        <xdr:cNvSpPr txBox="1"/>
      </xdr:nvSpPr>
      <xdr:spPr>
        <a:xfrm>
          <a:off x="8020050" y="127000"/>
          <a:ext cx="5080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83B148A7-2794-490B-A45C-FAFE4108FAD8}" type="TxLink">
            <a:rPr lang="en-US" sz="1100" b="0" i="0" u="none" strike="noStrike">
              <a:solidFill>
                <a:srgbClr val="000000"/>
              </a:solidFill>
              <a:latin typeface="Arial" panose="020B0604020202020204" pitchFamily="34" charset="0"/>
            </a:rPr>
            <a:pPr algn="l"/>
            <a:t>The Progressive Corporation</a:t>
          </a:fld>
          <a:endParaRPr lang="en-US" sz="1100" b="0">
            <a:latin typeface="Arial" panose="020B0604020202020204" pitchFamily="34" charset="0"/>
          </a:endParaRPr>
        </a:p>
      </xdr:txBody>
    </xdr:sp>
    <xdr:clientData/>
  </xdr:twoCellAnchor>
  <xdr:twoCellAnchor editAs="absolute">
    <xdr:from>
      <xdr:col>25</xdr:col>
      <xdr:colOff>228600</xdr:colOff>
      <xdr:row>1</xdr:row>
      <xdr:rowOff>127000</xdr:rowOff>
    </xdr:from>
    <xdr:to>
      <xdr:col>33</xdr:col>
      <xdr:colOff>431800</xdr:colOff>
      <xdr:row>2</xdr:row>
      <xdr:rowOff>127000</xdr:rowOff>
    </xdr:to>
    <xdr:sp macro="" textlink="'C04A'!$B$7">
      <xdr:nvSpPr>
        <xdr:cNvPr id="3" name="title_C04A_subject">
          <a:extLst>
            <a:ext uri="{FF2B5EF4-FFF2-40B4-BE49-F238E27FC236}">
              <a16:creationId xmlns:a16="http://schemas.microsoft.com/office/drawing/2014/main" id="{D4F03B77-C350-9198-A44C-D2CDE8C4EF48}"/>
            </a:ext>
          </a:extLst>
        </xdr:cNvPr>
        <xdr:cNvSpPr txBox="1"/>
      </xdr:nvSpPr>
      <xdr:spPr>
        <a:xfrm>
          <a:off x="8020050" y="317500"/>
          <a:ext cx="5080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BC69A6D5-697D-47B2-93D2-0DBB4ADC9777}" type="TxLink">
            <a:rPr lang="en-US" sz="1100" b="1" i="0" u="none" strike="noStrike">
              <a:solidFill>
                <a:srgbClr val="000000"/>
              </a:solidFill>
              <a:latin typeface="Arial" panose="020B0604020202020204" pitchFamily="34" charset="0"/>
            </a:rPr>
            <a:pPr algn="l"/>
            <a:t>Underwriting result in $m</a:t>
          </a:fld>
          <a:endParaRPr lang="en-US" sz="1100" b="1">
            <a:latin typeface="Arial" panose="020B0604020202020204" pitchFamily="34" charset="0"/>
          </a:endParaRPr>
        </a:p>
      </xdr:txBody>
    </xdr:sp>
    <xdr:clientData/>
  </xdr:twoCellAnchor>
  <xdr:twoCellAnchor editAs="absolute">
    <xdr:from>
      <xdr:col>25</xdr:col>
      <xdr:colOff>228600</xdr:colOff>
      <xdr:row>2</xdr:row>
      <xdr:rowOff>127000</xdr:rowOff>
    </xdr:from>
    <xdr:to>
      <xdr:col>33</xdr:col>
      <xdr:colOff>431800</xdr:colOff>
      <xdr:row>3</xdr:row>
      <xdr:rowOff>127000</xdr:rowOff>
    </xdr:to>
    <xdr:sp macro="" textlink="'C04A'!$B$4">
      <xdr:nvSpPr>
        <xdr:cNvPr id="4" name="title_C04A_period">
          <a:extLst>
            <a:ext uri="{FF2B5EF4-FFF2-40B4-BE49-F238E27FC236}">
              <a16:creationId xmlns:a16="http://schemas.microsoft.com/office/drawing/2014/main" id="{89F02F7F-B57D-048F-D454-B6BA3CCD466B}"/>
            </a:ext>
          </a:extLst>
        </xdr:cNvPr>
        <xdr:cNvSpPr txBox="1"/>
      </xdr:nvSpPr>
      <xdr:spPr>
        <a:xfrm>
          <a:off x="8020050" y="508000"/>
          <a:ext cx="5080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688305E1-A1B7-4D1D-BE9C-1F1A5817DFF3}" type="TxLink">
            <a:rPr lang="en-US" sz="1100" b="0" i="0" u="none" strike="noStrike">
              <a:solidFill>
                <a:srgbClr val="000000"/>
              </a:solidFill>
              <a:latin typeface="Arial" panose="020B0604020202020204" pitchFamily="34" charset="0"/>
            </a:rPr>
            <a:pPr algn="l"/>
            <a:t>2023</a:t>
          </a:fld>
          <a:endParaRPr lang="en-US" sz="1100" b="0">
            <a:latin typeface="Arial" panose="020B0604020202020204" pitchFamily="34" charset="0"/>
          </a:endParaRPr>
        </a:p>
      </xdr:txBody>
    </xdr:sp>
    <xdr:clientData/>
  </xdr:twoCellAnchor>
  <xdr:twoCellAnchor editAs="absolute">
    <xdr:from>
      <xdr:col>25</xdr:col>
      <xdr:colOff>228600</xdr:colOff>
      <xdr:row>3</xdr:row>
      <xdr:rowOff>127000</xdr:rowOff>
    </xdr:from>
    <xdr:to>
      <xdr:col>33</xdr:col>
      <xdr:colOff>431800</xdr:colOff>
      <xdr:row>5</xdr:row>
      <xdr:rowOff>76200</xdr:rowOff>
    </xdr:to>
    <xdr:sp macro="" textlink="'C04A'!$B$6">
      <xdr:nvSpPr>
        <xdr:cNvPr id="5" name="title_C04A_message">
          <a:extLst>
            <a:ext uri="{FF2B5EF4-FFF2-40B4-BE49-F238E27FC236}">
              <a16:creationId xmlns:a16="http://schemas.microsoft.com/office/drawing/2014/main" id="{37A53BB4-17A8-AA91-7675-474D88DD9459}"/>
            </a:ext>
          </a:extLst>
        </xdr:cNvPr>
        <xdr:cNvSpPr txBox="1"/>
      </xdr:nvSpPr>
      <xdr:spPr>
        <a:xfrm>
          <a:off x="8020050" y="698500"/>
          <a:ext cx="5080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3F51AFBD-C40A-4B13-8AE0-33FE9079E678}" type="TxLink">
            <a:rPr lang="en-US" sz="1000" b="0" i="0" u="none" strike="noStrike">
              <a:solidFill>
                <a:srgbClr val="000000"/>
              </a:solidFill>
              <a:latin typeface="Arial" panose="020B0604020202020204" pitchFamily="34" charset="0"/>
            </a:rPr>
            <a:pPr algn="l"/>
            <a:t>6 of 12 months beat the 96 combined ratio target in 2023; Dec by +670 $m and Mar missed it by 441 $m, a spread of 1,111 $m across the year</a:t>
          </a:fld>
          <a:endParaRPr lang="en-US" sz="1000" b="0">
            <a:latin typeface="Arial" panose="020B0604020202020204" pitchFamily="34" charset="0"/>
          </a:endParaRPr>
        </a:p>
      </xdr:txBody>
    </xdr:sp>
    <xdr:clientData/>
  </xdr:twoCellAnchor>
  <xdr:twoCellAnchor editAs="absolute">
    <xdr:from>
      <xdr:col>25</xdr:col>
      <xdr:colOff>228600</xdr:colOff>
      <xdr:row>5</xdr:row>
      <xdr:rowOff>139700</xdr:rowOff>
    </xdr:from>
    <xdr:to>
      <xdr:col>34</xdr:col>
      <xdr:colOff>203200</xdr:colOff>
      <xdr:row>29</xdr:row>
      <xdr:rowOff>133350</xdr:rowOff>
    </xdr:to>
    <xdr:graphicFrame macro="">
      <xdr:nvGraphicFramePr>
        <xdr:cNvPr id="6" name="tier_measure">
          <a:extLst>
            <a:ext uri="{FF2B5EF4-FFF2-40B4-BE49-F238E27FC236}">
              <a16:creationId xmlns:a16="http://schemas.microsoft.com/office/drawing/2014/main" id="{4E3CAF13-B894-72BA-6666-3C4CF6B07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34</xdr:col>
      <xdr:colOff>266700</xdr:colOff>
      <xdr:row>5</xdr:row>
      <xdr:rowOff>139700</xdr:rowOff>
    </xdr:from>
    <xdr:to>
      <xdr:col>39</xdr:col>
      <xdr:colOff>393700</xdr:colOff>
      <xdr:row>29</xdr:row>
      <xdr:rowOff>133350</xdr:rowOff>
    </xdr:to>
    <xdr:graphicFrame macro="">
      <xdr:nvGraphicFramePr>
        <xdr:cNvPr id="7" name="tier_var_abs">
          <a:extLst>
            <a:ext uri="{FF2B5EF4-FFF2-40B4-BE49-F238E27FC236}">
              <a16:creationId xmlns:a16="http://schemas.microsoft.com/office/drawing/2014/main" id="{92A22AAB-DDF7-5ECC-FCFF-8C636B418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39</xdr:col>
      <xdr:colOff>457200</xdr:colOff>
      <xdr:row>5</xdr:row>
      <xdr:rowOff>139700</xdr:rowOff>
    </xdr:from>
    <xdr:to>
      <xdr:col>43</xdr:col>
      <xdr:colOff>177800</xdr:colOff>
      <xdr:row>29</xdr:row>
      <xdr:rowOff>133350</xdr:rowOff>
    </xdr:to>
    <xdr:graphicFrame macro="">
      <xdr:nvGraphicFramePr>
        <xdr:cNvPr id="8" name="tier_var_rel">
          <a:extLst>
            <a:ext uri="{FF2B5EF4-FFF2-40B4-BE49-F238E27FC236}">
              <a16:creationId xmlns:a16="http://schemas.microsoft.com/office/drawing/2014/main" id="{F9FB45FB-C725-7679-0BF7-D1ECBDFE0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37</xdr:col>
      <xdr:colOff>527050</xdr:colOff>
      <xdr:row>6</xdr:row>
      <xdr:rowOff>19050</xdr:rowOff>
    </xdr:from>
    <xdr:to>
      <xdr:col>37</xdr:col>
      <xdr:colOff>527050</xdr:colOff>
      <xdr:row>28</xdr:row>
      <xdr:rowOff>127000</xdr:rowOff>
    </xdr:to>
    <xdr:cxnSp macro="">
      <xdr:nvCxnSpPr>
        <xdr:cNvPr id="9" name="rule_var_abs_0">
          <a:extLst>
            <a:ext uri="{FF2B5EF4-FFF2-40B4-BE49-F238E27FC236}">
              <a16:creationId xmlns:a16="http://schemas.microsoft.com/office/drawing/2014/main" id="{86307930-9232-C2EA-369B-B95F5CFB9451}"/>
            </a:ext>
          </a:extLst>
        </xdr:cNvPr>
        <xdr:cNvCxnSpPr/>
      </xdr:nvCxnSpPr>
      <xdr:spPr>
        <a:xfrm>
          <a:off x="15633700" y="1346200"/>
          <a:ext cx="0" cy="463550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37</xdr:col>
      <xdr:colOff>565150</xdr:colOff>
      <xdr:row>6</xdr:row>
      <xdr:rowOff>19050</xdr:rowOff>
    </xdr:from>
    <xdr:to>
      <xdr:col>37</xdr:col>
      <xdr:colOff>565150</xdr:colOff>
      <xdr:row>28</xdr:row>
      <xdr:rowOff>127000</xdr:rowOff>
    </xdr:to>
    <xdr:cxnSp macro="">
      <xdr:nvCxnSpPr>
        <xdr:cNvPr id="10" name="rule_var_abs_1">
          <a:extLst>
            <a:ext uri="{FF2B5EF4-FFF2-40B4-BE49-F238E27FC236}">
              <a16:creationId xmlns:a16="http://schemas.microsoft.com/office/drawing/2014/main" id="{A2DD4775-4D50-8A53-9D98-965376C96F16}"/>
            </a:ext>
          </a:extLst>
        </xdr:cNvPr>
        <xdr:cNvCxnSpPr/>
      </xdr:nvCxnSpPr>
      <xdr:spPr>
        <a:xfrm>
          <a:off x="15671800" y="1346200"/>
          <a:ext cx="0" cy="463550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41</xdr:col>
      <xdr:colOff>536575</xdr:colOff>
      <xdr:row>6</xdr:row>
      <xdr:rowOff>19050</xdr:rowOff>
    </xdr:from>
    <xdr:to>
      <xdr:col>41</xdr:col>
      <xdr:colOff>536575</xdr:colOff>
      <xdr:row>28</xdr:row>
      <xdr:rowOff>127000</xdr:rowOff>
    </xdr:to>
    <xdr:cxnSp macro="">
      <xdr:nvCxnSpPr>
        <xdr:cNvPr id="11" name="rule_var_rel_0">
          <a:extLst>
            <a:ext uri="{FF2B5EF4-FFF2-40B4-BE49-F238E27FC236}">
              <a16:creationId xmlns:a16="http://schemas.microsoft.com/office/drawing/2014/main" id="{8F62C7AD-A393-C8B9-FA89-49FCC695C2C8}"/>
            </a:ext>
          </a:extLst>
        </xdr:cNvPr>
        <xdr:cNvCxnSpPr/>
      </xdr:nvCxnSpPr>
      <xdr:spPr>
        <a:xfrm>
          <a:off x="18081625" y="1346200"/>
          <a:ext cx="0" cy="463550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41</xdr:col>
      <xdr:colOff>574675</xdr:colOff>
      <xdr:row>6</xdr:row>
      <xdr:rowOff>19050</xdr:rowOff>
    </xdr:from>
    <xdr:to>
      <xdr:col>41</xdr:col>
      <xdr:colOff>574675</xdr:colOff>
      <xdr:row>28</xdr:row>
      <xdr:rowOff>127000</xdr:rowOff>
    </xdr:to>
    <xdr:cxnSp macro="">
      <xdr:nvCxnSpPr>
        <xdr:cNvPr id="12" name="rule_var_rel_1">
          <a:extLst>
            <a:ext uri="{FF2B5EF4-FFF2-40B4-BE49-F238E27FC236}">
              <a16:creationId xmlns:a16="http://schemas.microsoft.com/office/drawing/2014/main" id="{47A124E3-3150-9AA5-1872-0F05EDC995FE}"/>
            </a:ext>
          </a:extLst>
        </xdr:cNvPr>
        <xdr:cNvCxnSpPr/>
      </xdr:nvCxnSpPr>
      <xdr:spPr>
        <a:xfrm>
          <a:off x="18119725" y="1346200"/>
          <a:ext cx="0" cy="463550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37</xdr:col>
      <xdr:colOff>584200</xdr:colOff>
      <xdr:row>5</xdr:row>
      <xdr:rowOff>152400</xdr:rowOff>
    </xdr:from>
    <xdr:to>
      <xdr:col>39</xdr:col>
      <xdr:colOff>12700</xdr:colOff>
      <xdr:row>5</xdr:row>
      <xdr:rowOff>304800</xdr:rowOff>
    </xdr:to>
    <xdr:sp macro="" textlink="'C04A'!$B$9">
      <xdr:nvSpPr>
        <xdr:cNvPr id="13" name="caption_var_abs">
          <a:extLst>
            <a:ext uri="{FF2B5EF4-FFF2-40B4-BE49-F238E27FC236}">
              <a16:creationId xmlns:a16="http://schemas.microsoft.com/office/drawing/2014/main" id="{14A7012D-6619-40A1-D92E-B2CE18B9260F}"/>
            </a:ext>
          </a:extLst>
        </xdr:cNvPr>
        <xdr:cNvSpPr txBox="1"/>
      </xdr:nvSpPr>
      <xdr:spPr>
        <a:xfrm>
          <a:off x="15690850" y="1104900"/>
          <a:ext cx="6477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lstStyle/>
        <a:p>
          <a:pPr algn="l"/>
          <a:fld id="{F267D19C-CAEE-4DED-97F4-BC255EBD761E}" type="TxLink">
            <a:rPr lang="el-GR" sz="900" b="0" i="0" u="none" strike="noStrike">
              <a:solidFill>
                <a:srgbClr val="808080"/>
              </a:solidFill>
              <a:latin typeface="Arial" panose="020B0604020202020204" pitchFamily="34" charset="0"/>
            </a:rPr>
            <a:pPr algn="l"/>
            <a:t>ΔPL $m</a:t>
          </a:fld>
          <a:endParaRPr lang="en-US" sz="900" b="0">
            <a:latin typeface="Arial" panose="020B0604020202020204" pitchFamily="34" charset="0"/>
          </a:endParaRPr>
        </a:p>
      </xdr:txBody>
    </xdr:sp>
    <xdr:clientData/>
  </xdr:twoCellAnchor>
  <xdr:twoCellAnchor editAs="absolute">
    <xdr:from>
      <xdr:col>41</xdr:col>
      <xdr:colOff>593725</xdr:colOff>
      <xdr:row>5</xdr:row>
      <xdr:rowOff>152400</xdr:rowOff>
    </xdr:from>
    <xdr:to>
      <xdr:col>42</xdr:col>
      <xdr:colOff>279400</xdr:colOff>
      <xdr:row>5</xdr:row>
      <xdr:rowOff>304800</xdr:rowOff>
    </xdr:to>
    <xdr:sp macro="" textlink="'C04A'!$B$10">
      <xdr:nvSpPr>
        <xdr:cNvPr id="14" name="caption_var_rel">
          <a:extLst>
            <a:ext uri="{FF2B5EF4-FFF2-40B4-BE49-F238E27FC236}">
              <a16:creationId xmlns:a16="http://schemas.microsoft.com/office/drawing/2014/main" id="{780C5431-F5AD-CD35-FEFD-61E174843AD5}"/>
            </a:ext>
          </a:extLst>
        </xdr:cNvPr>
        <xdr:cNvSpPr txBox="1"/>
      </xdr:nvSpPr>
      <xdr:spPr>
        <a:xfrm>
          <a:off x="18138775" y="1104900"/>
          <a:ext cx="295275"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lstStyle/>
        <a:p>
          <a:pPr algn="l"/>
          <a:fld id="{F05C2693-C045-4761-941C-ED9E6A78B33D}" type="TxLink">
            <a:rPr lang="el-GR" sz="900" b="0" i="0" u="none" strike="noStrike">
              <a:solidFill>
                <a:srgbClr val="808080"/>
              </a:solidFill>
              <a:latin typeface="Arial" panose="020B0604020202020204" pitchFamily="34" charset="0"/>
            </a:rPr>
            <a:pPr algn="l"/>
            <a:t>ΔPL%</a:t>
          </a:fld>
          <a:endParaRPr lang="en-US" sz="900" b="0">
            <a:latin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47</xdr:col>
      <xdr:colOff>228600</xdr:colOff>
      <xdr:row>0</xdr:row>
      <xdr:rowOff>127000</xdr:rowOff>
    </xdr:from>
    <xdr:to>
      <xdr:col>60</xdr:col>
      <xdr:colOff>177800</xdr:colOff>
      <xdr:row>1</xdr:row>
      <xdr:rowOff>127000</xdr:rowOff>
    </xdr:to>
    <xdr:sp macro="" textlink="'C05X'!$B$1">
      <xdr:nvSpPr>
        <xdr:cNvPr id="2" name="title_C05X_entity">
          <a:extLst>
            <a:ext uri="{FF2B5EF4-FFF2-40B4-BE49-F238E27FC236}">
              <a16:creationId xmlns:a16="http://schemas.microsoft.com/office/drawing/2014/main" id="{8842A1A9-EDE4-9CA9-E6DB-A0A3F6B42646}"/>
            </a:ext>
          </a:extLst>
        </xdr:cNvPr>
        <xdr:cNvSpPr txBox="1"/>
      </xdr:nvSpPr>
      <xdr:spPr>
        <a:xfrm>
          <a:off x="13188950" y="127000"/>
          <a:ext cx="7874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FDF55C5E-05C6-492F-A2F8-09AD5A364118}" type="TxLink">
            <a:rPr lang="en-US" sz="1100" b="0" i="0" u="none" strike="noStrike">
              <a:solidFill>
                <a:srgbClr val="000000"/>
              </a:solidFill>
              <a:latin typeface="Arial" panose="020B0604020202020204" pitchFamily="34" charset="0"/>
            </a:rPr>
            <a:pPr algn="l"/>
            <a:t>The Progressive Corporation</a:t>
          </a:fld>
          <a:endParaRPr lang="en-US" sz="1100" b="0">
            <a:latin typeface="Arial" panose="020B0604020202020204" pitchFamily="34" charset="0"/>
          </a:endParaRPr>
        </a:p>
      </xdr:txBody>
    </xdr:sp>
    <xdr:clientData/>
  </xdr:twoCellAnchor>
  <xdr:twoCellAnchor editAs="absolute">
    <xdr:from>
      <xdr:col>47</xdr:col>
      <xdr:colOff>228600</xdr:colOff>
      <xdr:row>1</xdr:row>
      <xdr:rowOff>127000</xdr:rowOff>
    </xdr:from>
    <xdr:to>
      <xdr:col>60</xdr:col>
      <xdr:colOff>177800</xdr:colOff>
      <xdr:row>2</xdr:row>
      <xdr:rowOff>127000</xdr:rowOff>
    </xdr:to>
    <xdr:sp macro="" textlink="'C05X'!$B$7">
      <xdr:nvSpPr>
        <xdr:cNvPr id="3" name="title_C05X_subject">
          <a:extLst>
            <a:ext uri="{FF2B5EF4-FFF2-40B4-BE49-F238E27FC236}">
              <a16:creationId xmlns:a16="http://schemas.microsoft.com/office/drawing/2014/main" id="{1D48741B-3634-F6A4-69CC-056E9C3717FA}"/>
            </a:ext>
          </a:extLst>
        </xdr:cNvPr>
        <xdr:cNvSpPr txBox="1"/>
      </xdr:nvSpPr>
      <xdr:spPr>
        <a:xfrm>
          <a:off x="13188950" y="317500"/>
          <a:ext cx="7874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4C347D0C-A125-4417-9C90-B5431BCC262B}" type="TxLink">
            <a:rPr lang="en-US" sz="1100" b="1" i="0" u="none" strike="noStrike">
              <a:solidFill>
                <a:srgbClr val="000000"/>
              </a:solidFill>
              <a:latin typeface="Arial" panose="020B0604020202020204" pitchFamily="34" charset="0"/>
            </a:rPr>
            <a:pPr algn="l"/>
            <a:t>Underwriting result in $m</a:t>
          </a:fld>
          <a:endParaRPr lang="en-US" sz="1100" b="1">
            <a:latin typeface="Arial" panose="020B0604020202020204" pitchFamily="34" charset="0"/>
          </a:endParaRPr>
        </a:p>
      </xdr:txBody>
    </xdr:sp>
    <xdr:clientData/>
  </xdr:twoCellAnchor>
  <xdr:twoCellAnchor editAs="absolute">
    <xdr:from>
      <xdr:col>47</xdr:col>
      <xdr:colOff>228600</xdr:colOff>
      <xdr:row>2</xdr:row>
      <xdr:rowOff>127000</xdr:rowOff>
    </xdr:from>
    <xdr:to>
      <xdr:col>60</xdr:col>
      <xdr:colOff>177800</xdr:colOff>
      <xdr:row>3</xdr:row>
      <xdr:rowOff>127000</xdr:rowOff>
    </xdr:to>
    <xdr:sp macro="" textlink="'C05X'!$B$4">
      <xdr:nvSpPr>
        <xdr:cNvPr id="4" name="title_C05X_period">
          <a:extLst>
            <a:ext uri="{FF2B5EF4-FFF2-40B4-BE49-F238E27FC236}">
              <a16:creationId xmlns:a16="http://schemas.microsoft.com/office/drawing/2014/main" id="{F5F6C262-2AF0-676D-5550-F9995B71B2CA}"/>
            </a:ext>
          </a:extLst>
        </xdr:cNvPr>
        <xdr:cNvSpPr txBox="1"/>
      </xdr:nvSpPr>
      <xdr:spPr>
        <a:xfrm>
          <a:off x="13188950" y="508000"/>
          <a:ext cx="7874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B550AC4D-1DF7-42B3-9F28-57BC9CB568D5}" type="TxLink">
            <a:rPr lang="en-US" sz="1100" b="0" i="0" u="none" strike="noStrike">
              <a:solidFill>
                <a:srgbClr val="000000"/>
              </a:solidFill>
              <a:latin typeface="Arial" panose="020B0604020202020204" pitchFamily="34" charset="0"/>
            </a:rPr>
            <a:pPr algn="l"/>
            <a:t>2026</a:t>
          </a:fld>
          <a:endParaRPr lang="en-US" sz="1100" b="0">
            <a:latin typeface="Arial" panose="020B0604020202020204" pitchFamily="34" charset="0"/>
          </a:endParaRPr>
        </a:p>
      </xdr:txBody>
    </xdr:sp>
    <xdr:clientData/>
  </xdr:twoCellAnchor>
  <xdr:twoCellAnchor editAs="absolute">
    <xdr:from>
      <xdr:col>47</xdr:col>
      <xdr:colOff>228600</xdr:colOff>
      <xdr:row>3</xdr:row>
      <xdr:rowOff>127000</xdr:rowOff>
    </xdr:from>
    <xdr:to>
      <xdr:col>60</xdr:col>
      <xdr:colOff>177800</xdr:colOff>
      <xdr:row>5</xdr:row>
      <xdr:rowOff>76200</xdr:rowOff>
    </xdr:to>
    <xdr:sp macro="" textlink="'C05X'!$B$6">
      <xdr:nvSpPr>
        <xdr:cNvPr id="5" name="title_C05X_message">
          <a:extLst>
            <a:ext uri="{FF2B5EF4-FFF2-40B4-BE49-F238E27FC236}">
              <a16:creationId xmlns:a16="http://schemas.microsoft.com/office/drawing/2014/main" id="{34FB51F1-DD72-9E64-8D12-3FCC0E261A14}"/>
            </a:ext>
          </a:extLst>
        </xdr:cNvPr>
        <xdr:cNvSpPr txBox="1"/>
      </xdr:nvSpPr>
      <xdr:spPr>
        <a:xfrm>
          <a:off x="13188950" y="698500"/>
          <a:ext cx="7874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1F61D5D4-DDAB-4E73-982E-7D6B1350FD81}" type="TxLink">
            <a:rPr lang="en-US" sz="1000" b="0" i="0" u="none" strike="noStrike">
              <a:solidFill>
                <a:srgbClr val="000000"/>
              </a:solidFill>
              <a:latin typeface="Arial" panose="020B0604020202020204" pitchFamily="34" charset="0"/>
            </a:rPr>
            <a:pPr algn="l"/>
            <a:t>The underwriting result is running +1,200 $m (+11.7%) ahead of 2025, with 7 of twelve months up and Sep contributing +985 on its own. Both years sit far above the 96 combined ratio target, drawn as the second opening column</a:t>
          </a:fld>
          <a:endParaRPr lang="en-US" sz="1000" b="0">
            <a:latin typeface="Arial" panose="020B0604020202020204" pitchFamily="34" charset="0"/>
          </a:endParaRPr>
        </a:p>
      </xdr:txBody>
    </xdr:sp>
    <xdr:clientData/>
  </xdr:twoCellAnchor>
  <xdr:twoCellAnchor editAs="absolute">
    <xdr:from>
      <xdr:col>47</xdr:col>
      <xdr:colOff>228600</xdr:colOff>
      <xdr:row>5</xdr:row>
      <xdr:rowOff>266700</xdr:rowOff>
    </xdr:from>
    <xdr:to>
      <xdr:col>60</xdr:col>
      <xdr:colOff>177800</xdr:colOff>
      <xdr:row>13</xdr:row>
      <xdr:rowOff>57150</xdr:rowOff>
    </xdr:to>
    <xdr:graphicFrame macro="">
      <xdr:nvGraphicFramePr>
        <xdr:cNvPr id="6" name="tier_var_rel">
          <a:extLst>
            <a:ext uri="{FF2B5EF4-FFF2-40B4-BE49-F238E27FC236}">
              <a16:creationId xmlns:a16="http://schemas.microsoft.com/office/drawing/2014/main" id="{C5BD033C-BFC9-0511-2CDE-6BE2E021C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47</xdr:col>
      <xdr:colOff>228600</xdr:colOff>
      <xdr:row>14</xdr:row>
      <xdr:rowOff>0</xdr:rowOff>
    </xdr:from>
    <xdr:to>
      <xdr:col>60</xdr:col>
      <xdr:colOff>177800</xdr:colOff>
      <xdr:row>21</xdr:row>
      <xdr:rowOff>107950</xdr:rowOff>
    </xdr:to>
    <xdr:graphicFrame macro="">
      <xdr:nvGraphicFramePr>
        <xdr:cNvPr id="7" name="tier_wf">
          <a:extLst>
            <a:ext uri="{FF2B5EF4-FFF2-40B4-BE49-F238E27FC236}">
              <a16:creationId xmlns:a16="http://schemas.microsoft.com/office/drawing/2014/main" id="{FC31E381-8C1E-B2D3-DDEB-95B61EFB9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47</xdr:col>
      <xdr:colOff>228600</xdr:colOff>
      <xdr:row>22</xdr:row>
      <xdr:rowOff>50800</xdr:rowOff>
    </xdr:from>
    <xdr:to>
      <xdr:col>60</xdr:col>
      <xdr:colOff>177800</xdr:colOff>
      <xdr:row>43</xdr:row>
      <xdr:rowOff>133350</xdr:rowOff>
    </xdr:to>
    <xdr:graphicFrame macro="">
      <xdr:nvGraphicFramePr>
        <xdr:cNvPr id="8" name="tier_measure">
          <a:extLst>
            <a:ext uri="{FF2B5EF4-FFF2-40B4-BE49-F238E27FC236}">
              <a16:creationId xmlns:a16="http://schemas.microsoft.com/office/drawing/2014/main" id="{5F715B89-4BBA-2861-114F-AA50F6B12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47</xdr:col>
      <xdr:colOff>228600</xdr:colOff>
      <xdr:row>8</xdr:row>
      <xdr:rowOff>125548</xdr:rowOff>
    </xdr:from>
    <xdr:to>
      <xdr:col>48</xdr:col>
      <xdr:colOff>127000</xdr:colOff>
      <xdr:row>9</xdr:row>
      <xdr:rowOff>87448</xdr:rowOff>
    </xdr:to>
    <xdr:sp macro="" textlink="'C05X'!$B$9">
      <xdr:nvSpPr>
        <xdr:cNvPr id="9" name="caption_var_rel">
          <a:extLst>
            <a:ext uri="{FF2B5EF4-FFF2-40B4-BE49-F238E27FC236}">
              <a16:creationId xmlns:a16="http://schemas.microsoft.com/office/drawing/2014/main" id="{0A150E6A-88B3-5FA9-5AEF-5C4F885869D6}"/>
            </a:ext>
          </a:extLst>
        </xdr:cNvPr>
        <xdr:cNvSpPr txBox="1"/>
      </xdr:nvSpPr>
      <xdr:spPr>
        <a:xfrm>
          <a:off x="13188950" y="1833698"/>
          <a:ext cx="50800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lstStyle/>
        <a:p>
          <a:pPr algn="r"/>
          <a:fld id="{01168FD5-21BC-4E0F-9DC7-AD9345B61A7D}" type="TxLink">
            <a:rPr lang="el-GR" sz="900" b="0" i="0" u="none" strike="noStrike">
              <a:solidFill>
                <a:srgbClr val="808080"/>
              </a:solidFill>
              <a:latin typeface="Arial" panose="020B0604020202020204" pitchFamily="34" charset="0"/>
            </a:rPr>
            <a:pPr algn="r"/>
            <a:t>ΔPY%</a:t>
          </a:fld>
          <a:endParaRPr lang="en-US" sz="900" b="0">
            <a:latin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39</xdr:col>
      <xdr:colOff>228600</xdr:colOff>
      <xdr:row>0</xdr:row>
      <xdr:rowOff>127000</xdr:rowOff>
    </xdr:from>
    <xdr:to>
      <xdr:col>48</xdr:col>
      <xdr:colOff>203200</xdr:colOff>
      <xdr:row>1</xdr:row>
      <xdr:rowOff>127000</xdr:rowOff>
    </xdr:to>
    <xdr:sp macro="" textlink="'C06F'!$B$1">
      <xdr:nvSpPr>
        <xdr:cNvPr id="2" name="title_C06F_entity">
          <a:extLst>
            <a:ext uri="{FF2B5EF4-FFF2-40B4-BE49-F238E27FC236}">
              <a16:creationId xmlns:a16="http://schemas.microsoft.com/office/drawing/2014/main" id="{FFEF4564-54AE-A787-02CB-F7C243FD212F}"/>
            </a:ext>
          </a:extLst>
        </xdr:cNvPr>
        <xdr:cNvSpPr txBox="1"/>
      </xdr:nvSpPr>
      <xdr:spPr>
        <a:xfrm>
          <a:off x="12325350" y="127000"/>
          <a:ext cx="5461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F47294F7-1276-4E7D-8574-FF4D76EF7CFE}" type="TxLink">
            <a:rPr lang="en-US" sz="1100" b="0" i="0" u="none" strike="noStrike">
              <a:solidFill>
                <a:srgbClr val="000000"/>
              </a:solidFill>
              <a:latin typeface="Arial" panose="020B0604020202020204" pitchFamily="34" charset="0"/>
            </a:rPr>
            <a:pPr algn="l"/>
            <a:t>The Progressive Corporation</a:t>
          </a:fld>
          <a:endParaRPr lang="en-US" sz="1100" b="0">
            <a:latin typeface="Arial" panose="020B0604020202020204" pitchFamily="34" charset="0"/>
          </a:endParaRPr>
        </a:p>
      </xdr:txBody>
    </xdr:sp>
    <xdr:clientData/>
  </xdr:twoCellAnchor>
  <xdr:twoCellAnchor editAs="absolute">
    <xdr:from>
      <xdr:col>39</xdr:col>
      <xdr:colOff>228600</xdr:colOff>
      <xdr:row>1</xdr:row>
      <xdr:rowOff>127000</xdr:rowOff>
    </xdr:from>
    <xdr:to>
      <xdr:col>48</xdr:col>
      <xdr:colOff>203200</xdr:colOff>
      <xdr:row>2</xdr:row>
      <xdr:rowOff>127000</xdr:rowOff>
    </xdr:to>
    <xdr:sp macro="" textlink="'C06F'!$B$7">
      <xdr:nvSpPr>
        <xdr:cNvPr id="3" name="title_C06F_subject">
          <a:extLst>
            <a:ext uri="{FF2B5EF4-FFF2-40B4-BE49-F238E27FC236}">
              <a16:creationId xmlns:a16="http://schemas.microsoft.com/office/drawing/2014/main" id="{A719187A-35AA-A5FB-65DA-B8321F2A21E3}"/>
            </a:ext>
          </a:extLst>
        </xdr:cNvPr>
        <xdr:cNvSpPr txBox="1"/>
      </xdr:nvSpPr>
      <xdr:spPr>
        <a:xfrm>
          <a:off x="12325350" y="317500"/>
          <a:ext cx="5461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987C38F1-3551-473D-BC59-50B1BDF30036}" type="TxLink">
            <a:rPr lang="en-US" sz="1100" b="1" i="0" u="none" strike="noStrike">
              <a:solidFill>
                <a:srgbClr val="000000"/>
              </a:solidFill>
              <a:latin typeface="Arial" panose="020B0604020202020204" pitchFamily="34" charset="0"/>
            </a:rPr>
            <a:pPr algn="l"/>
            <a:t>Net premiums written in $m</a:t>
          </a:fld>
          <a:endParaRPr lang="en-US" sz="1100" b="1">
            <a:latin typeface="Arial" panose="020B0604020202020204" pitchFamily="34" charset="0"/>
          </a:endParaRPr>
        </a:p>
      </xdr:txBody>
    </xdr:sp>
    <xdr:clientData/>
  </xdr:twoCellAnchor>
  <xdr:twoCellAnchor editAs="absolute">
    <xdr:from>
      <xdr:col>39</xdr:col>
      <xdr:colOff>228600</xdr:colOff>
      <xdr:row>2</xdr:row>
      <xdr:rowOff>127000</xdr:rowOff>
    </xdr:from>
    <xdr:to>
      <xdr:col>48</xdr:col>
      <xdr:colOff>203200</xdr:colOff>
      <xdr:row>3</xdr:row>
      <xdr:rowOff>127000</xdr:rowOff>
    </xdr:to>
    <xdr:sp macro="" textlink="'C06F'!$B$4">
      <xdr:nvSpPr>
        <xdr:cNvPr id="4" name="title_C06F_period">
          <a:extLst>
            <a:ext uri="{FF2B5EF4-FFF2-40B4-BE49-F238E27FC236}">
              <a16:creationId xmlns:a16="http://schemas.microsoft.com/office/drawing/2014/main" id="{4CED2166-BB45-42D2-8B88-C1831464180E}"/>
            </a:ext>
          </a:extLst>
        </xdr:cNvPr>
        <xdr:cNvSpPr txBox="1"/>
      </xdr:nvSpPr>
      <xdr:spPr>
        <a:xfrm>
          <a:off x="12325350" y="508000"/>
          <a:ext cx="5461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8BA53550-F71D-4E49-8A81-4153A6D1E9DA}" type="TxLink">
            <a:rPr lang="en-US" sz="1100" b="0" i="0" u="none" strike="noStrike">
              <a:solidFill>
                <a:srgbClr val="000000"/>
              </a:solidFill>
              <a:latin typeface="Arial" panose="020B0604020202020204" pitchFamily="34" charset="0"/>
            </a:rPr>
            <a:pPr algn="l"/>
            <a:t>2025</a:t>
          </a:fld>
          <a:endParaRPr lang="en-US" sz="1100" b="0">
            <a:latin typeface="Arial" panose="020B0604020202020204" pitchFamily="34" charset="0"/>
          </a:endParaRPr>
        </a:p>
      </xdr:txBody>
    </xdr:sp>
    <xdr:clientData/>
  </xdr:twoCellAnchor>
  <xdr:twoCellAnchor editAs="absolute">
    <xdr:from>
      <xdr:col>39</xdr:col>
      <xdr:colOff>228600</xdr:colOff>
      <xdr:row>3</xdr:row>
      <xdr:rowOff>127000</xdr:rowOff>
    </xdr:from>
    <xdr:to>
      <xdr:col>48</xdr:col>
      <xdr:colOff>203200</xdr:colOff>
      <xdr:row>5</xdr:row>
      <xdr:rowOff>76200</xdr:rowOff>
    </xdr:to>
    <xdr:sp macro="" textlink="'C06F'!$B$6">
      <xdr:nvSpPr>
        <xdr:cNvPr id="5" name="title_C06F_message">
          <a:extLst>
            <a:ext uri="{FF2B5EF4-FFF2-40B4-BE49-F238E27FC236}">
              <a16:creationId xmlns:a16="http://schemas.microsoft.com/office/drawing/2014/main" id="{DFBD48FF-FA38-7BC2-B596-530624058F2B}"/>
            </a:ext>
          </a:extLst>
        </xdr:cNvPr>
        <xdr:cNvSpPr txBox="1"/>
      </xdr:nvSpPr>
      <xdr:spPr>
        <a:xfrm>
          <a:off x="12325350" y="698500"/>
          <a:ext cx="5461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AD8DA0A7-B1BB-413C-B7E2-676C2F98DCF3}" type="TxLink">
            <a:rPr lang="en-US" sz="1000" b="0" i="0" u="none" strike="noStrike">
              <a:solidFill>
                <a:srgbClr val="000000"/>
              </a:solidFill>
              <a:latin typeface="Arial" panose="020B0604020202020204" pitchFamily="34" charset="0"/>
            </a:rPr>
            <a:pPr algn="l"/>
            <a:t>Premium grew +8,750 $m (+11.8%) and every one of the ten largest states grew. But 56% of the increase came from outside the top ten - +4,885 $m against +3,865 from all ten named states put together, Texas included</a:t>
          </a:fld>
          <a:endParaRPr lang="en-US" sz="1000" b="0">
            <a:latin typeface="Arial" panose="020B0604020202020204" pitchFamily="34" charset="0"/>
          </a:endParaRPr>
        </a:p>
      </xdr:txBody>
    </xdr:sp>
    <xdr:clientData/>
  </xdr:twoCellAnchor>
  <xdr:twoCellAnchor editAs="absolute">
    <xdr:from>
      <xdr:col>39</xdr:col>
      <xdr:colOff>228600</xdr:colOff>
      <xdr:row>5</xdr:row>
      <xdr:rowOff>139700</xdr:rowOff>
    </xdr:from>
    <xdr:to>
      <xdr:col>51</xdr:col>
      <xdr:colOff>25400</xdr:colOff>
      <xdr:row>33</xdr:row>
      <xdr:rowOff>57150</xdr:rowOff>
    </xdr:to>
    <xdr:graphicFrame macro="">
      <xdr:nvGraphicFramePr>
        <xdr:cNvPr id="6" name="tier_measure">
          <a:extLst>
            <a:ext uri="{FF2B5EF4-FFF2-40B4-BE49-F238E27FC236}">
              <a16:creationId xmlns:a16="http://schemas.microsoft.com/office/drawing/2014/main" id="{26FF826F-D8CC-5E4D-A046-43A697A2C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51</xdr:col>
      <xdr:colOff>152400</xdr:colOff>
      <xdr:row>5</xdr:row>
      <xdr:rowOff>139700</xdr:rowOff>
    </xdr:from>
    <xdr:to>
      <xdr:col>54</xdr:col>
      <xdr:colOff>101600</xdr:colOff>
      <xdr:row>33</xdr:row>
      <xdr:rowOff>57150</xdr:rowOff>
    </xdr:to>
    <xdr:graphicFrame macro="">
      <xdr:nvGraphicFramePr>
        <xdr:cNvPr id="7" name="tier_wf">
          <a:extLst>
            <a:ext uri="{FF2B5EF4-FFF2-40B4-BE49-F238E27FC236}">
              <a16:creationId xmlns:a16="http://schemas.microsoft.com/office/drawing/2014/main" id="{37B619EA-920F-7E0F-158C-733D790DA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54</xdr:col>
      <xdr:colOff>228600</xdr:colOff>
      <xdr:row>5</xdr:row>
      <xdr:rowOff>139700</xdr:rowOff>
    </xdr:from>
    <xdr:to>
      <xdr:col>58</xdr:col>
      <xdr:colOff>330200</xdr:colOff>
      <xdr:row>33</xdr:row>
      <xdr:rowOff>57150</xdr:rowOff>
    </xdr:to>
    <xdr:graphicFrame macro="">
      <xdr:nvGraphicFramePr>
        <xdr:cNvPr id="8" name="tier_var_rel">
          <a:extLst>
            <a:ext uri="{FF2B5EF4-FFF2-40B4-BE49-F238E27FC236}">
              <a16:creationId xmlns:a16="http://schemas.microsoft.com/office/drawing/2014/main" id="{0F0E7B60-990E-23B9-C434-7EB8E4957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57</xdr:col>
      <xdr:colOff>31173</xdr:colOff>
      <xdr:row>5</xdr:row>
      <xdr:rowOff>152400</xdr:rowOff>
    </xdr:from>
    <xdr:to>
      <xdr:col>58</xdr:col>
      <xdr:colOff>76200</xdr:colOff>
      <xdr:row>5</xdr:row>
      <xdr:rowOff>304800</xdr:rowOff>
    </xdr:to>
    <xdr:sp macro="" textlink="'C06F'!$B$9">
      <xdr:nvSpPr>
        <xdr:cNvPr id="9" name="caption_var_rel">
          <a:extLst>
            <a:ext uri="{FF2B5EF4-FFF2-40B4-BE49-F238E27FC236}">
              <a16:creationId xmlns:a16="http://schemas.microsoft.com/office/drawing/2014/main" id="{A09DF824-71BC-25E6-5A38-F158628DF08E}"/>
            </a:ext>
          </a:extLst>
        </xdr:cNvPr>
        <xdr:cNvSpPr txBox="1"/>
      </xdr:nvSpPr>
      <xdr:spPr>
        <a:xfrm>
          <a:off x="23100723" y="1104900"/>
          <a:ext cx="654627"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lstStyle/>
        <a:p>
          <a:pPr algn="l"/>
          <a:fld id="{E129CF84-92C2-43E0-8BF5-CF2CE429B74C}" type="TxLink">
            <a:rPr lang="el-GR" sz="900" b="0" i="0" u="none" strike="noStrike">
              <a:solidFill>
                <a:srgbClr val="808080"/>
              </a:solidFill>
              <a:latin typeface="Arial" panose="020B0604020202020204" pitchFamily="34" charset="0"/>
            </a:rPr>
            <a:pPr algn="l"/>
            <a:t>ΔPY%</a:t>
          </a:fld>
          <a:endParaRPr lang="en-US" sz="900" b="0">
            <a:latin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13</xdr:col>
      <xdr:colOff>228600</xdr:colOff>
      <xdr:row>1</xdr:row>
      <xdr:rowOff>107950</xdr:rowOff>
    </xdr:from>
    <xdr:to>
      <xdr:col>26</xdr:col>
      <xdr:colOff>177800</xdr:colOff>
      <xdr:row>5</xdr:row>
      <xdr:rowOff>4648200</xdr:rowOff>
    </xdr:to>
    <xdr:graphicFrame macro="">
      <xdr:nvGraphicFramePr>
        <xdr:cNvPr id="2" name="line_chart">
          <a:extLst>
            <a:ext uri="{FF2B5EF4-FFF2-40B4-BE49-F238E27FC236}">
              <a16:creationId xmlns:a16="http://schemas.microsoft.com/office/drawing/2014/main" id="{233E2E9A-0D34-B459-0B72-2937B5C9D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228600</xdr:colOff>
      <xdr:row>0</xdr:row>
      <xdr:rowOff>127000</xdr:rowOff>
    </xdr:from>
    <xdr:to>
      <xdr:col>26</xdr:col>
      <xdr:colOff>177800</xdr:colOff>
      <xdr:row>0</xdr:row>
      <xdr:rowOff>317500</xdr:rowOff>
    </xdr:to>
    <xdr:sp macro="" textlink="'C07C'!$B$1">
      <xdr:nvSpPr>
        <xdr:cNvPr id="3" name="title_C07C_entity">
          <a:extLst>
            <a:ext uri="{FF2B5EF4-FFF2-40B4-BE49-F238E27FC236}">
              <a16:creationId xmlns:a16="http://schemas.microsoft.com/office/drawing/2014/main" id="{F87CB57A-A97F-607D-98BB-C7DE1B85DE6E}"/>
            </a:ext>
          </a:extLst>
        </xdr:cNvPr>
        <xdr:cNvSpPr txBox="1"/>
      </xdr:nvSpPr>
      <xdr:spPr>
        <a:xfrm>
          <a:off x="8178800" y="127000"/>
          <a:ext cx="7874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E7C9D43A-8D02-4556-97F3-07B5F167340E}" type="TxLink">
            <a:rPr lang="en-US" sz="1100" b="0" i="0" u="none" strike="noStrike">
              <a:solidFill>
                <a:srgbClr val="000000"/>
              </a:solidFill>
              <a:latin typeface="Arial" panose="020B0604020202020204" pitchFamily="34" charset="0"/>
            </a:rPr>
            <a:pPr algn="l"/>
            <a:t>The Progressive Corporation</a:t>
          </a:fld>
          <a:endParaRPr lang="en-US" sz="1100" b="0">
            <a:latin typeface="Arial" panose="020B0604020202020204" pitchFamily="34" charset="0"/>
          </a:endParaRPr>
        </a:p>
      </xdr:txBody>
    </xdr:sp>
    <xdr:clientData/>
  </xdr:twoCellAnchor>
  <xdr:twoCellAnchor editAs="absolute">
    <xdr:from>
      <xdr:col>13</xdr:col>
      <xdr:colOff>228600</xdr:colOff>
      <xdr:row>0</xdr:row>
      <xdr:rowOff>317500</xdr:rowOff>
    </xdr:from>
    <xdr:to>
      <xdr:col>26</xdr:col>
      <xdr:colOff>177800</xdr:colOff>
      <xdr:row>0</xdr:row>
      <xdr:rowOff>508000</xdr:rowOff>
    </xdr:to>
    <xdr:sp macro="" textlink="'C07C'!$B$7">
      <xdr:nvSpPr>
        <xdr:cNvPr id="4" name="title_C07C_subject">
          <a:extLst>
            <a:ext uri="{FF2B5EF4-FFF2-40B4-BE49-F238E27FC236}">
              <a16:creationId xmlns:a16="http://schemas.microsoft.com/office/drawing/2014/main" id="{11AB2052-46C9-A10B-43DB-B26E33673C8E}"/>
            </a:ext>
          </a:extLst>
        </xdr:cNvPr>
        <xdr:cNvSpPr txBox="1"/>
      </xdr:nvSpPr>
      <xdr:spPr>
        <a:xfrm>
          <a:off x="8178800" y="317500"/>
          <a:ext cx="7874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8B471D34-6340-4452-8B87-A31A37E728FA}" type="TxLink">
            <a:rPr lang="en-US" sz="1100" b="1" i="0" u="none" strike="noStrike">
              <a:solidFill>
                <a:srgbClr val="808080"/>
              </a:solidFill>
              <a:latin typeface="Arial" panose="020B0604020202020204" pitchFamily="34" charset="0"/>
            </a:rPr>
            <a:pPr algn="l"/>
            <a:t>Underwriting result in $m</a:t>
          </a:fld>
          <a:endParaRPr lang="en-US" sz="1100" b="1">
            <a:latin typeface="Arial" panose="020B0604020202020204" pitchFamily="34" charset="0"/>
          </a:endParaRPr>
        </a:p>
      </xdr:txBody>
    </xdr:sp>
    <xdr:clientData/>
  </xdr:twoCellAnchor>
  <xdr:twoCellAnchor editAs="absolute">
    <xdr:from>
      <xdr:col>13</xdr:col>
      <xdr:colOff>228600</xdr:colOff>
      <xdr:row>0</xdr:row>
      <xdr:rowOff>508000</xdr:rowOff>
    </xdr:from>
    <xdr:to>
      <xdr:col>26</xdr:col>
      <xdr:colOff>177800</xdr:colOff>
      <xdr:row>0</xdr:row>
      <xdr:rowOff>698500</xdr:rowOff>
    </xdr:to>
    <xdr:sp macro="" textlink="'C07C'!$B$4">
      <xdr:nvSpPr>
        <xdr:cNvPr id="5" name="title_C07C_period">
          <a:extLst>
            <a:ext uri="{FF2B5EF4-FFF2-40B4-BE49-F238E27FC236}">
              <a16:creationId xmlns:a16="http://schemas.microsoft.com/office/drawing/2014/main" id="{22B30785-401B-7615-1D91-2B04374DC509}"/>
            </a:ext>
          </a:extLst>
        </xdr:cNvPr>
        <xdr:cNvSpPr txBox="1"/>
      </xdr:nvSpPr>
      <xdr:spPr>
        <a:xfrm>
          <a:off x="8178800" y="508000"/>
          <a:ext cx="7874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5F452488-777E-4432-89FA-F6CFB6985181}" type="TxLink">
            <a:rPr lang="en-US" sz="1100" b="0" i="0" u="none" strike="noStrike">
              <a:solidFill>
                <a:srgbClr val="000000"/>
              </a:solidFill>
              <a:latin typeface="Arial" panose="020B0604020202020204" pitchFamily="34" charset="0"/>
            </a:rPr>
            <a:pPr algn="l"/>
            <a:t>2026</a:t>
          </a:fld>
          <a:endParaRPr lang="en-US" sz="1100" b="0">
            <a:latin typeface="Arial" panose="020B0604020202020204" pitchFamily="34" charset="0"/>
          </a:endParaRPr>
        </a:p>
      </xdr:txBody>
    </xdr:sp>
    <xdr:clientData/>
  </xdr:twoCellAnchor>
  <xdr:twoCellAnchor editAs="absolute">
    <xdr:from>
      <xdr:col>13</xdr:col>
      <xdr:colOff>228600</xdr:colOff>
      <xdr:row>0</xdr:row>
      <xdr:rowOff>698500</xdr:rowOff>
    </xdr:from>
    <xdr:to>
      <xdr:col>26</xdr:col>
      <xdr:colOff>177800</xdr:colOff>
      <xdr:row>1</xdr:row>
      <xdr:rowOff>107950</xdr:rowOff>
    </xdr:to>
    <xdr:sp macro="" textlink="'C07C'!$B$6">
      <xdr:nvSpPr>
        <xdr:cNvPr id="6" name="title_C07C_message">
          <a:extLst>
            <a:ext uri="{FF2B5EF4-FFF2-40B4-BE49-F238E27FC236}">
              <a16:creationId xmlns:a16="http://schemas.microsoft.com/office/drawing/2014/main" id="{BD098B45-46B2-1FD4-656F-6B1F12A815EA}"/>
            </a:ext>
          </a:extLst>
        </xdr:cNvPr>
        <xdr:cNvSpPr txBox="1"/>
      </xdr:nvSpPr>
      <xdr:spPr>
        <a:xfrm>
          <a:off x="8178800" y="698500"/>
          <a:ext cx="7874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7D222687-7C93-4244-B5C9-2621D7A8B2C9}" type="TxLink">
            <a:rPr lang="en-US" sz="1000" b="0" i="0" u="none" strike="noStrike">
              <a:solidFill>
                <a:srgbClr val="000000"/>
              </a:solidFill>
              <a:latin typeface="Arial" panose="020B0604020202020204" pitchFamily="34" charset="0"/>
            </a:rPr>
            <a:pPr algn="l"/>
            <a:t>Through Jul the underwriting result is +4,557 $m against the 96 combined ratio target - a 13.1% margin where the target implies 4.0%. Holding that margin closes the year +7,967 $m ahead of target, and the moving annual total has stayed above 10,000 $m all year</a:t>
          </a:fld>
          <a:endParaRPr lang="en-US" sz="1000" b="0">
            <a:latin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21</xdr:col>
      <xdr:colOff>228600</xdr:colOff>
      <xdr:row>1</xdr:row>
      <xdr:rowOff>107950</xdr:rowOff>
    </xdr:from>
    <xdr:to>
      <xdr:col>37</xdr:col>
      <xdr:colOff>260350</xdr:colOff>
      <xdr:row>4</xdr:row>
      <xdr:rowOff>171450</xdr:rowOff>
    </xdr:to>
    <xdr:graphicFrame macro="">
      <xdr:nvGraphicFramePr>
        <xdr:cNvPr id="2" name="c08_change">
          <a:extLst>
            <a:ext uri="{FF2B5EF4-FFF2-40B4-BE49-F238E27FC236}">
              <a16:creationId xmlns:a16="http://schemas.microsoft.com/office/drawing/2014/main" id="{3F270028-66CB-CF4C-E37F-F8A55C15F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228600</xdr:colOff>
      <xdr:row>5</xdr:row>
      <xdr:rowOff>114300</xdr:rowOff>
    </xdr:from>
    <xdr:to>
      <xdr:col>37</xdr:col>
      <xdr:colOff>260350</xdr:colOff>
      <xdr:row>5</xdr:row>
      <xdr:rowOff>3924300</xdr:rowOff>
    </xdr:to>
    <xdr:graphicFrame macro="">
      <xdr:nvGraphicFramePr>
        <xdr:cNvPr id="3" name="c08_level">
          <a:extLst>
            <a:ext uri="{FF2B5EF4-FFF2-40B4-BE49-F238E27FC236}">
              <a16:creationId xmlns:a16="http://schemas.microsoft.com/office/drawing/2014/main" id="{89D630CF-F5E7-FAEE-7AC7-052F33385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228600</xdr:colOff>
      <xdr:row>5</xdr:row>
      <xdr:rowOff>114300</xdr:rowOff>
    </xdr:from>
    <xdr:to>
      <xdr:col>37</xdr:col>
      <xdr:colOff>260350</xdr:colOff>
      <xdr:row>5</xdr:row>
      <xdr:rowOff>3924300</xdr:rowOff>
    </xdr:to>
    <xdr:graphicFrame macro="">
      <xdr:nvGraphicFramePr>
        <xdr:cNvPr id="4" name="c08_flows">
          <a:extLst>
            <a:ext uri="{FF2B5EF4-FFF2-40B4-BE49-F238E27FC236}">
              <a16:creationId xmlns:a16="http://schemas.microsoft.com/office/drawing/2014/main" id="{5E103001-25C5-848D-B686-17D6552A8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21</xdr:col>
      <xdr:colOff>228600</xdr:colOff>
      <xdr:row>0</xdr:row>
      <xdr:rowOff>127000</xdr:rowOff>
    </xdr:from>
    <xdr:to>
      <xdr:col>37</xdr:col>
      <xdr:colOff>260350</xdr:colOff>
      <xdr:row>0</xdr:row>
      <xdr:rowOff>317500</xdr:rowOff>
    </xdr:to>
    <xdr:sp macro="" textlink="'C08H'!$B$1">
      <xdr:nvSpPr>
        <xdr:cNvPr id="5" name="title_C08H_entity">
          <a:extLst>
            <a:ext uri="{FF2B5EF4-FFF2-40B4-BE49-F238E27FC236}">
              <a16:creationId xmlns:a16="http://schemas.microsoft.com/office/drawing/2014/main" id="{9761C1B3-5B0C-CE2C-419D-44B742A5C39A}"/>
            </a:ext>
          </a:extLst>
        </xdr:cNvPr>
        <xdr:cNvSpPr txBox="1"/>
      </xdr:nvSpPr>
      <xdr:spPr>
        <a:xfrm>
          <a:off x="10985500" y="127000"/>
          <a:ext cx="9652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7CA173ED-3E4E-4594-93B6-B9935CDCAAB0}" type="TxLink">
            <a:rPr lang="en-US" sz="1100" b="0" i="0" u="none" strike="noStrike">
              <a:solidFill>
                <a:srgbClr val="000000"/>
              </a:solidFill>
              <a:latin typeface="Arial" panose="020B0604020202020204" pitchFamily="34" charset="0"/>
            </a:rPr>
            <a:pPr algn="l"/>
            <a:t>The Progressive Corporation</a:t>
          </a:fld>
          <a:endParaRPr lang="en-US" sz="1100" b="0">
            <a:latin typeface="Arial" panose="020B0604020202020204" pitchFamily="34" charset="0"/>
          </a:endParaRPr>
        </a:p>
      </xdr:txBody>
    </xdr:sp>
    <xdr:clientData/>
  </xdr:twoCellAnchor>
  <xdr:twoCellAnchor editAs="absolute">
    <xdr:from>
      <xdr:col>21</xdr:col>
      <xdr:colOff>228600</xdr:colOff>
      <xdr:row>0</xdr:row>
      <xdr:rowOff>317500</xdr:rowOff>
    </xdr:from>
    <xdr:to>
      <xdr:col>37</xdr:col>
      <xdr:colOff>260350</xdr:colOff>
      <xdr:row>0</xdr:row>
      <xdr:rowOff>508000</xdr:rowOff>
    </xdr:to>
    <xdr:sp macro="" textlink="'C08H'!$B$7">
      <xdr:nvSpPr>
        <xdr:cNvPr id="6" name="title_C08H_subject">
          <a:extLst>
            <a:ext uri="{FF2B5EF4-FFF2-40B4-BE49-F238E27FC236}">
              <a16:creationId xmlns:a16="http://schemas.microsoft.com/office/drawing/2014/main" id="{BDEB004A-8AB2-10A0-7B31-8CA7085929D3}"/>
            </a:ext>
          </a:extLst>
        </xdr:cNvPr>
        <xdr:cNvSpPr txBox="1"/>
      </xdr:nvSpPr>
      <xdr:spPr>
        <a:xfrm>
          <a:off x="10985500" y="317500"/>
          <a:ext cx="9652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81EA3C0E-E3F4-4207-8575-959CCA1A7DB8}" type="TxLink">
            <a:rPr lang="en-US" sz="1100" b="1" i="0" u="none" strike="noStrike">
              <a:solidFill>
                <a:srgbClr val="808080"/>
              </a:solidFill>
              <a:latin typeface="Arial" panose="020B0604020202020204" pitchFamily="34" charset="0"/>
            </a:rPr>
            <a:pPr algn="l"/>
            <a:t>Loss and loss adjustment expense reserves, net in $m</a:t>
          </a:fld>
          <a:endParaRPr lang="en-US" sz="1100" b="1">
            <a:latin typeface="Arial" panose="020B0604020202020204" pitchFamily="34" charset="0"/>
          </a:endParaRPr>
        </a:p>
      </xdr:txBody>
    </xdr:sp>
    <xdr:clientData/>
  </xdr:twoCellAnchor>
  <xdr:twoCellAnchor editAs="absolute">
    <xdr:from>
      <xdr:col>21</xdr:col>
      <xdr:colOff>228600</xdr:colOff>
      <xdr:row>0</xdr:row>
      <xdr:rowOff>508000</xdr:rowOff>
    </xdr:from>
    <xdr:to>
      <xdr:col>37</xdr:col>
      <xdr:colOff>260350</xdr:colOff>
      <xdr:row>0</xdr:row>
      <xdr:rowOff>698500</xdr:rowOff>
    </xdr:to>
    <xdr:sp macro="" textlink="'C08H'!$B$4">
      <xdr:nvSpPr>
        <xdr:cNvPr id="7" name="title_C08H_period">
          <a:extLst>
            <a:ext uri="{FF2B5EF4-FFF2-40B4-BE49-F238E27FC236}">
              <a16:creationId xmlns:a16="http://schemas.microsoft.com/office/drawing/2014/main" id="{D7C991A1-BDA9-EEB5-F958-35B3F86587FD}"/>
            </a:ext>
          </a:extLst>
        </xdr:cNvPr>
        <xdr:cNvSpPr txBox="1"/>
      </xdr:nvSpPr>
      <xdr:spPr>
        <a:xfrm>
          <a:off x="10985500" y="508000"/>
          <a:ext cx="9652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590EB164-5E61-4E72-945D-69B693ABA321}" type="TxLink">
            <a:rPr lang="en-US" sz="1100" b="0" i="0" u="none" strike="noStrike">
              <a:solidFill>
                <a:srgbClr val="000000"/>
              </a:solidFill>
              <a:latin typeface="Arial" panose="020B0604020202020204" pitchFamily="34" charset="0"/>
            </a:rPr>
            <a:pPr algn="l"/>
            <a:t>2024..2028</a:t>
          </a:fld>
          <a:endParaRPr lang="en-US" sz="1100" b="0">
            <a:latin typeface="Arial" panose="020B0604020202020204" pitchFamily="34" charset="0"/>
          </a:endParaRPr>
        </a:p>
      </xdr:txBody>
    </xdr:sp>
    <xdr:clientData/>
  </xdr:twoCellAnchor>
  <xdr:twoCellAnchor editAs="absolute">
    <xdr:from>
      <xdr:col>21</xdr:col>
      <xdr:colOff>228600</xdr:colOff>
      <xdr:row>0</xdr:row>
      <xdr:rowOff>698500</xdr:rowOff>
    </xdr:from>
    <xdr:to>
      <xdr:col>37</xdr:col>
      <xdr:colOff>260350</xdr:colOff>
      <xdr:row>1</xdr:row>
      <xdr:rowOff>107950</xdr:rowOff>
    </xdr:to>
    <xdr:sp macro="" textlink="'C08H'!$B$6">
      <xdr:nvSpPr>
        <xdr:cNvPr id="8" name="title_C08H_message">
          <a:extLst>
            <a:ext uri="{FF2B5EF4-FFF2-40B4-BE49-F238E27FC236}">
              <a16:creationId xmlns:a16="http://schemas.microsoft.com/office/drawing/2014/main" id="{5B52ACE9-62FE-6FCA-68C4-8C9B1D161CBE}"/>
            </a:ext>
          </a:extLst>
        </xdr:cNvPr>
        <xdr:cNvSpPr txBox="1"/>
      </xdr:nvSpPr>
      <xdr:spPr>
        <a:xfrm>
          <a:off x="10985500" y="698500"/>
          <a:ext cx="9652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E9E5C5C8-3BD2-4DA5-8E72-9C3BE290036A}" type="TxLink">
            <a:rPr lang="en-US" sz="1000" b="0" i="0" u="none" strike="noStrike">
              <a:solidFill>
                <a:srgbClr val="000000"/>
              </a:solidFill>
              <a:latin typeface="Arial" panose="020B0604020202020204" pitchFamily="34" charset="0"/>
            </a:rPr>
            <a:pPr algn="l"/>
            <a:t>Reserves built +12,301 $m over 10 quarters - losses incurred ran ahead of claims paid in 10 of them. Progressive is running a 66.2 loss ratio where its 96 combined ratio target implies 71.9, so holding the target builds reserves faster rather than slower: 56,535 $m by end 2028</a:t>
          </a:fld>
          <a:endParaRPr lang="en-US" sz="1000" b="0">
            <a:latin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5</xdr:col>
      <xdr:colOff>228600</xdr:colOff>
      <xdr:row>0</xdr:row>
      <xdr:rowOff>127000</xdr:rowOff>
    </xdr:from>
    <xdr:to>
      <xdr:col>19</xdr:col>
      <xdr:colOff>584200</xdr:colOff>
      <xdr:row>1</xdr:row>
      <xdr:rowOff>133350</xdr:rowOff>
    </xdr:to>
    <xdr:sp macro="" textlink="'C09C'!$B$1">
      <xdr:nvSpPr>
        <xdr:cNvPr id="2" name="title_C09C_entity">
          <a:extLst>
            <a:ext uri="{FF2B5EF4-FFF2-40B4-BE49-F238E27FC236}">
              <a16:creationId xmlns:a16="http://schemas.microsoft.com/office/drawing/2014/main" id="{E7CF4960-90B5-5796-4FD0-B744BDA1E91D}"/>
            </a:ext>
          </a:extLst>
        </xdr:cNvPr>
        <xdr:cNvSpPr txBox="1"/>
      </xdr:nvSpPr>
      <xdr:spPr>
        <a:xfrm>
          <a:off x="3943350" y="127000"/>
          <a:ext cx="8890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00DA145B-9ACA-4E64-BC43-8F0AB510A5AE}" type="TxLink">
            <a:rPr lang="en-US" sz="1100" b="0" i="0" u="none" strike="noStrike">
              <a:solidFill>
                <a:srgbClr val="000000"/>
              </a:solidFill>
              <a:latin typeface="Arial" panose="020B0604020202020204" pitchFamily="34" charset="0"/>
            </a:rPr>
            <a:pPr algn="l"/>
            <a:t>The Progressive Corporation</a:t>
          </a:fld>
          <a:endParaRPr lang="en-US" sz="1100" b="0">
            <a:latin typeface="Arial" panose="020B0604020202020204" pitchFamily="34" charset="0"/>
          </a:endParaRPr>
        </a:p>
      </xdr:txBody>
    </xdr:sp>
    <xdr:clientData/>
  </xdr:twoCellAnchor>
  <xdr:twoCellAnchor editAs="absolute">
    <xdr:from>
      <xdr:col>5</xdr:col>
      <xdr:colOff>228600</xdr:colOff>
      <xdr:row>1</xdr:row>
      <xdr:rowOff>133350</xdr:rowOff>
    </xdr:from>
    <xdr:to>
      <xdr:col>19</xdr:col>
      <xdr:colOff>584200</xdr:colOff>
      <xdr:row>2</xdr:row>
      <xdr:rowOff>139700</xdr:rowOff>
    </xdr:to>
    <xdr:sp macro="" textlink="'C09C'!$B$7">
      <xdr:nvSpPr>
        <xdr:cNvPr id="3" name="title_C09C_subject">
          <a:extLst>
            <a:ext uri="{FF2B5EF4-FFF2-40B4-BE49-F238E27FC236}">
              <a16:creationId xmlns:a16="http://schemas.microsoft.com/office/drawing/2014/main" id="{96DFE9FA-B793-B49D-354D-BC651F737C98}"/>
            </a:ext>
          </a:extLst>
        </xdr:cNvPr>
        <xdr:cNvSpPr txBox="1"/>
      </xdr:nvSpPr>
      <xdr:spPr>
        <a:xfrm>
          <a:off x="3943350" y="317500"/>
          <a:ext cx="8890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A346A76D-5AE6-4588-97A1-FEB4FFA6AD0D}" type="TxLink">
            <a:rPr lang="en-US" sz="1100" b="1" i="0" u="none" strike="noStrike">
              <a:solidFill>
                <a:srgbClr val="808080"/>
              </a:solidFill>
              <a:latin typeface="Arial" panose="020B0604020202020204" pitchFamily="34" charset="0"/>
            </a:rPr>
            <a:pPr algn="l"/>
            <a:t>Net premiums earned in $m, margin in %</a:t>
          </a:fld>
          <a:endParaRPr lang="en-US" sz="1100" b="1">
            <a:latin typeface="Arial" panose="020B0604020202020204" pitchFamily="34" charset="0"/>
          </a:endParaRPr>
        </a:p>
      </xdr:txBody>
    </xdr:sp>
    <xdr:clientData/>
  </xdr:twoCellAnchor>
  <xdr:twoCellAnchor editAs="absolute">
    <xdr:from>
      <xdr:col>5</xdr:col>
      <xdr:colOff>228600</xdr:colOff>
      <xdr:row>2</xdr:row>
      <xdr:rowOff>139700</xdr:rowOff>
    </xdr:from>
    <xdr:to>
      <xdr:col>19</xdr:col>
      <xdr:colOff>584200</xdr:colOff>
      <xdr:row>3</xdr:row>
      <xdr:rowOff>146050</xdr:rowOff>
    </xdr:to>
    <xdr:sp macro="" textlink="'C09C'!$B$4">
      <xdr:nvSpPr>
        <xdr:cNvPr id="4" name="title_C09C_period">
          <a:extLst>
            <a:ext uri="{FF2B5EF4-FFF2-40B4-BE49-F238E27FC236}">
              <a16:creationId xmlns:a16="http://schemas.microsoft.com/office/drawing/2014/main" id="{110DD5DD-6AD0-1CAC-BB80-B74C2048E8EB}"/>
            </a:ext>
          </a:extLst>
        </xdr:cNvPr>
        <xdr:cNvSpPr txBox="1"/>
      </xdr:nvSpPr>
      <xdr:spPr>
        <a:xfrm>
          <a:off x="3943350" y="508000"/>
          <a:ext cx="8890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B6482396-DCC5-40C4-AFEF-81EA6811C332}" type="TxLink">
            <a:rPr lang="en-US" sz="1100" b="0" i="0" u="none" strike="noStrike">
              <a:solidFill>
                <a:srgbClr val="000000"/>
              </a:solidFill>
              <a:latin typeface="Arial" panose="020B0604020202020204" pitchFamily="34" charset="0"/>
            </a:rPr>
            <a:pPr algn="l"/>
            <a:t>2024..2025</a:t>
          </a:fld>
          <a:endParaRPr lang="en-US" sz="1100" b="0">
            <a:latin typeface="Arial" panose="020B0604020202020204" pitchFamily="34" charset="0"/>
          </a:endParaRPr>
        </a:p>
      </xdr:txBody>
    </xdr:sp>
    <xdr:clientData/>
  </xdr:twoCellAnchor>
  <xdr:twoCellAnchor editAs="absolute">
    <xdr:from>
      <xdr:col>5</xdr:col>
      <xdr:colOff>228600</xdr:colOff>
      <xdr:row>3</xdr:row>
      <xdr:rowOff>146050</xdr:rowOff>
    </xdr:from>
    <xdr:to>
      <xdr:col>19</xdr:col>
      <xdr:colOff>584200</xdr:colOff>
      <xdr:row>5</xdr:row>
      <xdr:rowOff>107950</xdr:rowOff>
    </xdr:to>
    <xdr:sp macro="" textlink="'C09C'!$B$6">
      <xdr:nvSpPr>
        <xdr:cNvPr id="5" name="title_C09C_message">
          <a:extLst>
            <a:ext uri="{FF2B5EF4-FFF2-40B4-BE49-F238E27FC236}">
              <a16:creationId xmlns:a16="http://schemas.microsoft.com/office/drawing/2014/main" id="{F9916395-5883-8693-26A3-10DECA0EE885}"/>
            </a:ext>
          </a:extLst>
        </xdr:cNvPr>
        <xdr:cNvSpPr txBox="1"/>
      </xdr:nvSpPr>
      <xdr:spPr>
        <a:xfrm>
          <a:off x="3943350" y="698500"/>
          <a:ext cx="8890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F1208B3C-2EEF-47FC-9E89-048BA02BDCC6}" type="TxLink">
            <a:rPr lang="en-US" sz="1000" b="0" i="0" u="none" strike="noStrike">
              <a:solidFill>
                <a:srgbClr val="000000"/>
              </a:solidFill>
              <a:latin typeface="Arial" panose="020B0604020202020204" pitchFamily="34" charset="0"/>
            </a:rPr>
            <a:pPr algn="l"/>
            <a:t>17 of Agency auto's 23 months earned an underwriting result of 300 $m or more; the curves are constant result, so a point's distance beyond one is what its premium and its margin achieved together</a:t>
          </a:fld>
          <a:endParaRPr lang="en-US" sz="1000" b="0">
            <a:latin typeface="Arial" panose="020B0604020202020204" pitchFamily="34" charset="0"/>
          </a:endParaRPr>
        </a:p>
      </xdr:txBody>
    </xdr:sp>
    <xdr:clientData/>
  </xdr:twoCellAnchor>
  <xdr:twoCellAnchor>
    <xdr:from>
      <xdr:col>5</xdr:col>
      <xdr:colOff>228600</xdr:colOff>
      <xdr:row>5</xdr:row>
      <xdr:rowOff>336550</xdr:rowOff>
    </xdr:from>
    <xdr:to>
      <xdr:col>19</xdr:col>
      <xdr:colOff>584200</xdr:colOff>
      <xdr:row>41</xdr:row>
      <xdr:rowOff>88900</xdr:rowOff>
    </xdr:to>
    <xdr:graphicFrame macro="">
      <xdr:nvGraphicFramePr>
        <xdr:cNvPr id="6" name="xy_C09C">
          <a:extLst>
            <a:ext uri="{FF2B5EF4-FFF2-40B4-BE49-F238E27FC236}">
              <a16:creationId xmlns:a16="http://schemas.microsoft.com/office/drawing/2014/main" id="{6131A927-030A-58EA-3AB0-9E419700E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absolute">
    <xdr:from>
      <xdr:col>5</xdr:col>
      <xdr:colOff>228600</xdr:colOff>
      <xdr:row>0</xdr:row>
      <xdr:rowOff>127000</xdr:rowOff>
    </xdr:from>
    <xdr:to>
      <xdr:col>19</xdr:col>
      <xdr:colOff>76200</xdr:colOff>
      <xdr:row>1</xdr:row>
      <xdr:rowOff>133350</xdr:rowOff>
    </xdr:to>
    <xdr:sp macro="" textlink="'C10D'!$B$1">
      <xdr:nvSpPr>
        <xdr:cNvPr id="2" name="title_C10D_entity">
          <a:extLst>
            <a:ext uri="{FF2B5EF4-FFF2-40B4-BE49-F238E27FC236}">
              <a16:creationId xmlns:a16="http://schemas.microsoft.com/office/drawing/2014/main" id="{34D8AAF1-94A3-2942-48B7-251ADEDCE4A7}"/>
            </a:ext>
          </a:extLst>
        </xdr:cNvPr>
        <xdr:cNvSpPr txBox="1"/>
      </xdr:nvSpPr>
      <xdr:spPr>
        <a:xfrm>
          <a:off x="4083050" y="127000"/>
          <a:ext cx="8382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0E29A2FA-2B99-49E6-BA53-ADDBEA119FF5}" type="TxLink">
            <a:rPr lang="en-US" sz="1100" b="0" i="0" u="none" strike="noStrike">
              <a:solidFill>
                <a:srgbClr val="000000"/>
              </a:solidFill>
              <a:latin typeface="Arial" panose="020B0604020202020204" pitchFamily="34" charset="0"/>
            </a:rPr>
            <a:pPr algn="l"/>
            <a:t>The Progressive Corporation</a:t>
          </a:fld>
          <a:endParaRPr lang="en-US" sz="1100" b="0">
            <a:latin typeface="Arial" panose="020B0604020202020204" pitchFamily="34" charset="0"/>
          </a:endParaRPr>
        </a:p>
      </xdr:txBody>
    </xdr:sp>
    <xdr:clientData/>
  </xdr:twoCellAnchor>
  <xdr:twoCellAnchor editAs="absolute">
    <xdr:from>
      <xdr:col>5</xdr:col>
      <xdr:colOff>228600</xdr:colOff>
      <xdr:row>1</xdr:row>
      <xdr:rowOff>133350</xdr:rowOff>
    </xdr:from>
    <xdr:to>
      <xdr:col>19</xdr:col>
      <xdr:colOff>76200</xdr:colOff>
      <xdr:row>2</xdr:row>
      <xdr:rowOff>139700</xdr:rowOff>
    </xdr:to>
    <xdr:sp macro="" textlink="'C10D'!$B$7">
      <xdr:nvSpPr>
        <xdr:cNvPr id="3" name="title_C10D_subject">
          <a:extLst>
            <a:ext uri="{FF2B5EF4-FFF2-40B4-BE49-F238E27FC236}">
              <a16:creationId xmlns:a16="http://schemas.microsoft.com/office/drawing/2014/main" id="{A178DFC0-E31C-8A7F-E99E-B8D04F621955}"/>
            </a:ext>
          </a:extLst>
        </xdr:cNvPr>
        <xdr:cNvSpPr txBox="1"/>
      </xdr:nvSpPr>
      <xdr:spPr>
        <a:xfrm>
          <a:off x="4083050" y="317500"/>
          <a:ext cx="8382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D0BABD02-4CED-49D1-A72F-0890C7A217F7}" type="TxLink">
            <a:rPr lang="en-US" sz="1100" b="1" i="0" u="none" strike="noStrike">
              <a:solidFill>
                <a:srgbClr val="808080"/>
              </a:solidFill>
              <a:latin typeface="Arial" panose="020B0604020202020204" pitchFamily="34" charset="0"/>
            </a:rPr>
            <a:pPr algn="l"/>
            <a:t>Underwriting performance by segment</a:t>
          </a:fld>
          <a:endParaRPr lang="en-US" sz="1100" b="1">
            <a:latin typeface="Arial" panose="020B0604020202020204" pitchFamily="34" charset="0"/>
          </a:endParaRPr>
        </a:p>
      </xdr:txBody>
    </xdr:sp>
    <xdr:clientData/>
  </xdr:twoCellAnchor>
  <xdr:twoCellAnchor editAs="absolute">
    <xdr:from>
      <xdr:col>5</xdr:col>
      <xdr:colOff>228600</xdr:colOff>
      <xdr:row>2</xdr:row>
      <xdr:rowOff>139700</xdr:rowOff>
    </xdr:from>
    <xdr:to>
      <xdr:col>19</xdr:col>
      <xdr:colOff>76200</xdr:colOff>
      <xdr:row>3</xdr:row>
      <xdr:rowOff>146050</xdr:rowOff>
    </xdr:to>
    <xdr:sp macro="" textlink="'C10D'!$B$4">
      <xdr:nvSpPr>
        <xdr:cNvPr id="4" name="title_C10D_period">
          <a:extLst>
            <a:ext uri="{FF2B5EF4-FFF2-40B4-BE49-F238E27FC236}">
              <a16:creationId xmlns:a16="http://schemas.microsoft.com/office/drawing/2014/main" id="{8B452A4E-B15F-14C1-8BDB-82D937437558}"/>
            </a:ext>
          </a:extLst>
        </xdr:cNvPr>
        <xdr:cNvSpPr txBox="1"/>
      </xdr:nvSpPr>
      <xdr:spPr>
        <a:xfrm>
          <a:off x="4083050" y="508000"/>
          <a:ext cx="8382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51D85801-3F28-4473-9A6B-E0F690EE1A7B}" type="TxLink">
            <a:rPr lang="en-US" sz="1100" b="0" i="0" u="none" strike="noStrike">
              <a:solidFill>
                <a:srgbClr val="000000"/>
              </a:solidFill>
              <a:latin typeface="Arial" panose="020B0604020202020204" pitchFamily="34" charset="0"/>
            </a:rPr>
            <a:pPr algn="l"/>
            <a:t>2016</a:t>
          </a:fld>
          <a:endParaRPr lang="en-US" sz="1100" b="0">
            <a:latin typeface="Arial" panose="020B0604020202020204" pitchFamily="34" charset="0"/>
          </a:endParaRPr>
        </a:p>
      </xdr:txBody>
    </xdr:sp>
    <xdr:clientData/>
  </xdr:twoCellAnchor>
  <xdr:twoCellAnchor editAs="absolute">
    <xdr:from>
      <xdr:col>5</xdr:col>
      <xdr:colOff>228600</xdr:colOff>
      <xdr:row>3</xdr:row>
      <xdr:rowOff>146050</xdr:rowOff>
    </xdr:from>
    <xdr:to>
      <xdr:col>19</xdr:col>
      <xdr:colOff>76200</xdr:colOff>
      <xdr:row>5</xdr:row>
      <xdr:rowOff>107950</xdr:rowOff>
    </xdr:to>
    <xdr:sp macro="" textlink="'C10D'!$B$6">
      <xdr:nvSpPr>
        <xdr:cNvPr id="5" name="title_C10D_message">
          <a:extLst>
            <a:ext uri="{FF2B5EF4-FFF2-40B4-BE49-F238E27FC236}">
              <a16:creationId xmlns:a16="http://schemas.microsoft.com/office/drawing/2014/main" id="{84E581C8-4F7C-6891-A894-A4660DED5106}"/>
            </a:ext>
          </a:extLst>
        </xdr:cNvPr>
        <xdr:cNvSpPr txBox="1"/>
      </xdr:nvSpPr>
      <xdr:spPr>
        <a:xfrm>
          <a:off x="4083050" y="698500"/>
          <a:ext cx="8382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C837B8BA-18B4-4CC4-8B07-4AB6CD503D9F}" type="TxLink">
            <a:rPr lang="en-US" sz="1000" b="0" i="0" u="none" strike="noStrike">
              <a:solidFill>
                <a:srgbClr val="000000"/>
              </a:solidFill>
              <a:latin typeface="Arial" panose="020B0604020202020204" pitchFamily="34" charset="0"/>
            </a:rPr>
            <a:pPr algn="l"/>
            <a:t>Property carries the highest combined ratio at 96.2 despite the lowest loss ratio in the group at 63.2; its expense ratio of 33.0 is 14 points above the leanest segment</a:t>
          </a:fld>
          <a:endParaRPr lang="en-US" sz="1000" b="0">
            <a:latin typeface="Arial" panose="020B0604020202020204" pitchFamily="34" charset="0"/>
          </a:endParaRPr>
        </a:p>
      </xdr:txBody>
    </xdr:sp>
    <xdr:clientData/>
  </xdr:twoCellAnchor>
  <xdr:twoCellAnchor>
    <xdr:from>
      <xdr:col>5</xdr:col>
      <xdr:colOff>228600</xdr:colOff>
      <xdr:row>5</xdr:row>
      <xdr:rowOff>336550</xdr:rowOff>
    </xdr:from>
    <xdr:to>
      <xdr:col>19</xdr:col>
      <xdr:colOff>76200</xdr:colOff>
      <xdr:row>36</xdr:row>
      <xdr:rowOff>171450</xdr:rowOff>
    </xdr:to>
    <xdr:graphicFrame macro="">
      <xdr:nvGraphicFramePr>
        <xdr:cNvPr id="6" name="xy_C10D">
          <a:extLst>
            <a:ext uri="{FF2B5EF4-FFF2-40B4-BE49-F238E27FC236}">
              <a16:creationId xmlns:a16="http://schemas.microsoft.com/office/drawing/2014/main" id="{37F95251-1494-7D8E-11FF-A5E6E513F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absolute">
    <xdr:from>
      <xdr:col>8</xdr:col>
      <xdr:colOff>152400</xdr:colOff>
      <xdr:row>86</xdr:row>
      <xdr:rowOff>130163</xdr:rowOff>
    </xdr:from>
    <xdr:to>
      <xdr:col>13</xdr:col>
      <xdr:colOff>50800</xdr:colOff>
      <xdr:row>123</xdr:row>
      <xdr:rowOff>99659</xdr:rowOff>
    </xdr:to>
    <xdr:graphicFrame macro="">
      <xdr:nvGraphicFramePr>
        <xdr:cNvPr id="2" name="tree_roi">
          <a:extLst>
            <a:ext uri="{FF2B5EF4-FFF2-40B4-BE49-F238E27FC236}">
              <a16:creationId xmlns:a16="http://schemas.microsoft.com/office/drawing/2014/main" id="{C2D39E80-61C3-1EC2-8DC0-595A3E7F9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584200</xdr:colOff>
      <xdr:row>5</xdr:row>
      <xdr:rowOff>539746</xdr:rowOff>
    </xdr:from>
    <xdr:to>
      <xdr:col>18</xdr:col>
      <xdr:colOff>482600</xdr:colOff>
      <xdr:row>65</xdr:row>
      <xdr:rowOff>87725</xdr:rowOff>
    </xdr:to>
    <xdr:graphicFrame macro="">
      <xdr:nvGraphicFramePr>
        <xdr:cNvPr id="3" name="tree_ros">
          <a:extLst>
            <a:ext uri="{FF2B5EF4-FFF2-40B4-BE49-F238E27FC236}">
              <a16:creationId xmlns:a16="http://schemas.microsoft.com/office/drawing/2014/main" id="{EC67788A-0608-F855-F9AE-62453086E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13</xdr:col>
      <xdr:colOff>584200</xdr:colOff>
      <xdr:row>65</xdr:row>
      <xdr:rowOff>163730</xdr:rowOff>
    </xdr:from>
    <xdr:to>
      <xdr:col>18</xdr:col>
      <xdr:colOff>482600</xdr:colOff>
      <xdr:row>163</xdr:row>
      <xdr:rowOff>162973</xdr:rowOff>
    </xdr:to>
    <xdr:graphicFrame macro="">
      <xdr:nvGraphicFramePr>
        <xdr:cNvPr id="4" name="tree_turnover">
          <a:extLst>
            <a:ext uri="{FF2B5EF4-FFF2-40B4-BE49-F238E27FC236}">
              <a16:creationId xmlns:a16="http://schemas.microsoft.com/office/drawing/2014/main" id="{6C51EF7A-8B52-01DE-4076-05C3B1F1B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19</xdr:col>
      <xdr:colOff>406400</xdr:colOff>
      <xdr:row>69</xdr:row>
      <xdr:rowOff>153229</xdr:rowOff>
    </xdr:from>
    <xdr:to>
      <xdr:col>24</xdr:col>
      <xdr:colOff>304800</xdr:colOff>
      <xdr:row>78</xdr:row>
      <xdr:rowOff>172117</xdr:rowOff>
    </xdr:to>
    <xdr:graphicFrame macro="">
      <xdr:nvGraphicFramePr>
        <xdr:cNvPr id="5" name="tree_return">
          <a:extLst>
            <a:ext uri="{FF2B5EF4-FFF2-40B4-BE49-F238E27FC236}">
              <a16:creationId xmlns:a16="http://schemas.microsoft.com/office/drawing/2014/main" id="{0A8F2C8B-D77B-0F5A-25B5-2EB9C8FFC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19</xdr:col>
      <xdr:colOff>406400</xdr:colOff>
      <xdr:row>79</xdr:row>
      <xdr:rowOff>48551</xdr:rowOff>
    </xdr:from>
    <xdr:to>
      <xdr:col>24</xdr:col>
      <xdr:colOff>304800</xdr:colOff>
      <xdr:row>121</xdr:row>
      <xdr:rowOff>158146</xdr:rowOff>
    </xdr:to>
    <xdr:graphicFrame macro="">
      <xdr:nvGraphicFramePr>
        <xdr:cNvPr id="6" name="tree_net_sales">
          <a:extLst>
            <a:ext uri="{FF2B5EF4-FFF2-40B4-BE49-F238E27FC236}">
              <a16:creationId xmlns:a16="http://schemas.microsoft.com/office/drawing/2014/main" id="{AA17331D-1BF8-060A-7226-DE9E2087B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19</xdr:col>
      <xdr:colOff>406400</xdr:colOff>
      <xdr:row>122</xdr:row>
      <xdr:rowOff>12817</xdr:rowOff>
    </xdr:from>
    <xdr:to>
      <xdr:col>24</xdr:col>
      <xdr:colOff>304800</xdr:colOff>
      <xdr:row>140</xdr:row>
      <xdr:rowOff>167140</xdr:rowOff>
    </xdr:to>
    <xdr:graphicFrame macro="">
      <xdr:nvGraphicFramePr>
        <xdr:cNvPr id="7" name="tree_capital">
          <a:extLst>
            <a:ext uri="{FF2B5EF4-FFF2-40B4-BE49-F238E27FC236}">
              <a16:creationId xmlns:a16="http://schemas.microsoft.com/office/drawing/2014/main" id="{1B594AC3-B2ED-59F4-7869-DAE72AD49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8</xdr:col>
      <xdr:colOff>266700</xdr:colOff>
      <xdr:row>86</xdr:row>
      <xdr:rowOff>180963</xdr:rowOff>
    </xdr:from>
    <xdr:to>
      <xdr:col>10</xdr:col>
      <xdr:colOff>66369</xdr:colOff>
      <xdr:row>87</xdr:row>
      <xdr:rowOff>144289</xdr:rowOff>
    </xdr:to>
    <xdr:sp macro="" textlink="">
      <xdr:nvSpPr>
        <xdr:cNvPr id="8" name="subtitle_roi_m">
          <a:extLst>
            <a:ext uri="{FF2B5EF4-FFF2-40B4-BE49-F238E27FC236}">
              <a16:creationId xmlns:a16="http://schemas.microsoft.com/office/drawing/2014/main" id="{6B7F7618-AA5B-DC4D-DF48-02F42D36099C}"/>
            </a:ext>
          </a:extLst>
        </xdr:cNvPr>
        <xdr:cNvSpPr txBox="1"/>
      </xdr:nvSpPr>
      <xdr:spPr>
        <a:xfrm>
          <a:off x="5721350" y="8893163"/>
          <a:ext cx="1018869" cy="14747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spAutoFit/>
        </a:bodyPr>
        <a:lstStyle/>
        <a:p>
          <a:r>
            <a:rPr lang="en-US" sz="1000" b="1">
              <a:latin typeface="Arial" panose="020B0604020202020204" pitchFamily="34" charset="0"/>
            </a:rPr>
            <a:t>Return on equity</a:t>
          </a:r>
        </a:p>
      </xdr:txBody>
    </xdr:sp>
    <xdr:clientData/>
  </xdr:twoCellAnchor>
  <xdr:twoCellAnchor editAs="absolute">
    <xdr:from>
      <xdr:col>10</xdr:col>
      <xdr:colOff>66369</xdr:colOff>
      <xdr:row>86</xdr:row>
      <xdr:rowOff>180963</xdr:rowOff>
    </xdr:from>
    <xdr:to>
      <xdr:col>10</xdr:col>
      <xdr:colOff>351447</xdr:colOff>
      <xdr:row>87</xdr:row>
      <xdr:rowOff>144289</xdr:rowOff>
    </xdr:to>
    <xdr:sp macro="" textlink="">
      <xdr:nvSpPr>
        <xdr:cNvPr id="9" name="subtitle_roi_u">
          <a:extLst>
            <a:ext uri="{FF2B5EF4-FFF2-40B4-BE49-F238E27FC236}">
              <a16:creationId xmlns:a16="http://schemas.microsoft.com/office/drawing/2014/main" id="{16DE89F7-8F01-16B9-8989-93987E9599CF}"/>
            </a:ext>
          </a:extLst>
        </xdr:cNvPr>
        <xdr:cNvSpPr txBox="1"/>
      </xdr:nvSpPr>
      <xdr:spPr>
        <a:xfrm>
          <a:off x="6740219" y="8893163"/>
          <a:ext cx="285078" cy="14747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spAutoFit/>
        </a:bodyPr>
        <a:lstStyle/>
        <a:p>
          <a:r>
            <a:rPr lang="en-US" sz="1000" b="0">
              <a:latin typeface="Arial" panose="020B0604020202020204" pitchFamily="34" charset="0"/>
            </a:rPr>
            <a:t> in %</a:t>
          </a:r>
        </a:p>
      </xdr:txBody>
    </xdr:sp>
    <xdr:clientData/>
  </xdr:twoCellAnchor>
  <xdr:twoCellAnchor editAs="absolute">
    <xdr:from>
      <xdr:col>8</xdr:col>
      <xdr:colOff>254000</xdr:colOff>
      <xdr:row>117</xdr:row>
      <xdr:rowOff>144980</xdr:rowOff>
    </xdr:from>
    <xdr:to>
      <xdr:col>12</xdr:col>
      <xdr:colOff>558800</xdr:colOff>
      <xdr:row>117</xdr:row>
      <xdr:rowOff>144980</xdr:rowOff>
    </xdr:to>
    <xdr:cxnSp macro="">
      <xdr:nvCxnSpPr>
        <xdr:cNvPr id="10" name="zero_roi">
          <a:extLst>
            <a:ext uri="{FF2B5EF4-FFF2-40B4-BE49-F238E27FC236}">
              <a16:creationId xmlns:a16="http://schemas.microsoft.com/office/drawing/2014/main" id="{A29E8408-AD1A-9579-3F8A-7010BE1C39E5}"/>
            </a:ext>
          </a:extLst>
        </xdr:cNvPr>
        <xdr:cNvCxnSpPr/>
      </xdr:nvCxnSpPr>
      <xdr:spPr>
        <a:xfrm>
          <a:off x="5708650" y="14565830"/>
          <a:ext cx="2743200" cy="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8</xdr:col>
      <xdr:colOff>254000</xdr:colOff>
      <xdr:row>119</xdr:row>
      <xdr:rowOff>94180</xdr:rowOff>
    </xdr:from>
    <xdr:to>
      <xdr:col>9</xdr:col>
      <xdr:colOff>36286</xdr:colOff>
      <xdr:row>120</xdr:row>
      <xdr:rowOff>75130</xdr:rowOff>
    </xdr:to>
    <xdr:sp macro="" textlink="'C11A'!$B$11">
      <xdr:nvSpPr>
        <xdr:cNvPr id="11" name="scenario_roi_0">
          <a:extLst>
            <a:ext uri="{FF2B5EF4-FFF2-40B4-BE49-F238E27FC236}">
              <a16:creationId xmlns:a16="http://schemas.microsoft.com/office/drawing/2014/main" id="{AD2CA4B8-D738-9B5B-FC60-82CE570560F4}"/>
            </a:ext>
          </a:extLst>
        </xdr:cNvPr>
        <xdr:cNvSpPr txBox="1"/>
      </xdr:nvSpPr>
      <xdr:spPr>
        <a:xfrm>
          <a:off x="5708650" y="14883330"/>
          <a:ext cx="391886"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lstStyle/>
        <a:p>
          <a:pPr algn="ctr"/>
          <a:fld id="{9DA70CD3-3C68-4196-8DB5-F51076E59CA0}" type="TxLink">
            <a:rPr lang="en-US" sz="900" b="0" i="0" u="none" strike="noStrike">
              <a:solidFill>
                <a:srgbClr val="000000"/>
              </a:solidFill>
              <a:latin typeface="Arial" panose="020B0604020202020204" pitchFamily="34" charset="0"/>
            </a:rPr>
            <a:pPr algn="ctr"/>
            <a:t>AC</a:t>
          </a:fld>
          <a:endParaRPr lang="en-US" sz="900">
            <a:latin typeface="Arial" panose="020B0604020202020204" pitchFamily="34" charset="0"/>
          </a:endParaRPr>
        </a:p>
      </xdr:txBody>
    </xdr:sp>
    <xdr:clientData/>
  </xdr:twoCellAnchor>
  <xdr:twoCellAnchor editAs="absolute">
    <xdr:from>
      <xdr:col>14</xdr:col>
      <xdr:colOff>88900</xdr:colOff>
      <xdr:row>5</xdr:row>
      <xdr:rowOff>590546</xdr:rowOff>
    </xdr:from>
    <xdr:to>
      <xdr:col>16</xdr:col>
      <xdr:colOff>123761</xdr:colOff>
      <xdr:row>6</xdr:row>
      <xdr:rowOff>128422</xdr:rowOff>
    </xdr:to>
    <xdr:sp macro="" textlink="">
      <xdr:nvSpPr>
        <xdr:cNvPr id="12" name="subtitle_ros_m">
          <a:extLst>
            <a:ext uri="{FF2B5EF4-FFF2-40B4-BE49-F238E27FC236}">
              <a16:creationId xmlns:a16="http://schemas.microsoft.com/office/drawing/2014/main" id="{F922F784-3FA7-4573-B97F-8BB41892C7BB}"/>
            </a:ext>
          </a:extLst>
        </xdr:cNvPr>
        <xdr:cNvSpPr txBox="1"/>
      </xdr:nvSpPr>
      <xdr:spPr>
        <a:xfrm>
          <a:off x="9201150" y="1511296"/>
          <a:ext cx="1254061" cy="14747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spAutoFit/>
        </a:bodyPr>
        <a:lstStyle/>
        <a:p>
          <a:r>
            <a:rPr lang="en-US" sz="1000" b="1">
              <a:latin typeface="Arial" panose="020B0604020202020204" pitchFamily="34" charset="0"/>
            </a:rPr>
            <a:t>Underwriting margin</a:t>
          </a:r>
        </a:p>
      </xdr:txBody>
    </xdr:sp>
    <xdr:clientData/>
  </xdr:twoCellAnchor>
  <xdr:twoCellAnchor editAs="absolute">
    <xdr:from>
      <xdr:col>16</xdr:col>
      <xdr:colOff>123761</xdr:colOff>
      <xdr:row>5</xdr:row>
      <xdr:rowOff>590546</xdr:rowOff>
    </xdr:from>
    <xdr:to>
      <xdr:col>16</xdr:col>
      <xdr:colOff>408839</xdr:colOff>
      <xdr:row>6</xdr:row>
      <xdr:rowOff>128422</xdr:rowOff>
    </xdr:to>
    <xdr:sp macro="" textlink="">
      <xdr:nvSpPr>
        <xdr:cNvPr id="13" name="subtitle_ros_u">
          <a:extLst>
            <a:ext uri="{FF2B5EF4-FFF2-40B4-BE49-F238E27FC236}">
              <a16:creationId xmlns:a16="http://schemas.microsoft.com/office/drawing/2014/main" id="{9D40AA0C-DAFA-BC65-85D0-26A0A92AF40A}"/>
            </a:ext>
          </a:extLst>
        </xdr:cNvPr>
        <xdr:cNvSpPr txBox="1"/>
      </xdr:nvSpPr>
      <xdr:spPr>
        <a:xfrm>
          <a:off x="10455211" y="1511296"/>
          <a:ext cx="285078" cy="14747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spAutoFit/>
        </a:bodyPr>
        <a:lstStyle/>
        <a:p>
          <a:r>
            <a:rPr lang="en-US" sz="1000" b="0">
              <a:latin typeface="Arial" panose="020B0604020202020204" pitchFamily="34" charset="0"/>
            </a:rPr>
            <a:t> in %</a:t>
          </a:r>
        </a:p>
      </xdr:txBody>
    </xdr:sp>
    <xdr:clientData/>
  </xdr:twoCellAnchor>
  <xdr:twoCellAnchor editAs="absolute">
    <xdr:from>
      <xdr:col>14</xdr:col>
      <xdr:colOff>76200</xdr:colOff>
      <xdr:row>18</xdr:row>
      <xdr:rowOff>53971</xdr:rowOff>
    </xdr:from>
    <xdr:to>
      <xdr:col>18</xdr:col>
      <xdr:colOff>381000</xdr:colOff>
      <xdr:row>18</xdr:row>
      <xdr:rowOff>53971</xdr:rowOff>
    </xdr:to>
    <xdr:cxnSp macro="">
      <xdr:nvCxnSpPr>
        <xdr:cNvPr id="14" name="zero_ros">
          <a:extLst>
            <a:ext uri="{FF2B5EF4-FFF2-40B4-BE49-F238E27FC236}">
              <a16:creationId xmlns:a16="http://schemas.microsoft.com/office/drawing/2014/main" id="{9ABEA296-8D8C-CD93-84D9-DBCADF068556}"/>
            </a:ext>
          </a:extLst>
        </xdr:cNvPr>
        <xdr:cNvCxnSpPr/>
      </xdr:nvCxnSpPr>
      <xdr:spPr>
        <a:xfrm>
          <a:off x="9188450" y="3794121"/>
          <a:ext cx="2743200" cy="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14</xdr:col>
      <xdr:colOff>76200</xdr:colOff>
      <xdr:row>20</xdr:row>
      <xdr:rowOff>3171</xdr:rowOff>
    </xdr:from>
    <xdr:to>
      <xdr:col>14</xdr:col>
      <xdr:colOff>468086</xdr:colOff>
      <xdr:row>20</xdr:row>
      <xdr:rowOff>168271</xdr:rowOff>
    </xdr:to>
    <xdr:sp macro="" textlink="'C11A'!$B$11">
      <xdr:nvSpPr>
        <xdr:cNvPr id="15" name="scenario_ros_0">
          <a:extLst>
            <a:ext uri="{FF2B5EF4-FFF2-40B4-BE49-F238E27FC236}">
              <a16:creationId xmlns:a16="http://schemas.microsoft.com/office/drawing/2014/main" id="{E5AD5DEA-E128-7FC4-2F1D-89FF2E32F58D}"/>
            </a:ext>
          </a:extLst>
        </xdr:cNvPr>
        <xdr:cNvSpPr txBox="1"/>
      </xdr:nvSpPr>
      <xdr:spPr>
        <a:xfrm>
          <a:off x="9188450" y="4111621"/>
          <a:ext cx="391886"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lstStyle/>
        <a:p>
          <a:pPr algn="ctr"/>
          <a:fld id="{2C2F2C9F-EFFD-4E9B-B192-0511A9769967}" type="TxLink">
            <a:rPr lang="en-US" sz="900" b="0" i="0" u="none" strike="noStrike">
              <a:solidFill>
                <a:srgbClr val="000000"/>
              </a:solidFill>
              <a:latin typeface="Arial" panose="020B0604020202020204" pitchFamily="34" charset="0"/>
            </a:rPr>
            <a:pPr algn="ctr"/>
            <a:t>AC</a:t>
          </a:fld>
          <a:endParaRPr lang="en-US" sz="900">
            <a:latin typeface="Arial" panose="020B0604020202020204" pitchFamily="34" charset="0"/>
          </a:endParaRPr>
        </a:p>
      </xdr:txBody>
    </xdr:sp>
    <xdr:clientData/>
  </xdr:twoCellAnchor>
  <xdr:twoCellAnchor editAs="absolute">
    <xdr:from>
      <xdr:col>14</xdr:col>
      <xdr:colOff>88900</xdr:colOff>
      <xdr:row>66</xdr:row>
      <xdr:rowOff>30380</xdr:rowOff>
    </xdr:from>
    <xdr:to>
      <xdr:col>15</xdr:col>
      <xdr:colOff>598068</xdr:colOff>
      <xdr:row>66</xdr:row>
      <xdr:rowOff>177856</xdr:rowOff>
    </xdr:to>
    <xdr:sp macro="" textlink="">
      <xdr:nvSpPr>
        <xdr:cNvPr id="16" name="subtitle_turnover_m">
          <a:extLst>
            <a:ext uri="{FF2B5EF4-FFF2-40B4-BE49-F238E27FC236}">
              <a16:creationId xmlns:a16="http://schemas.microsoft.com/office/drawing/2014/main" id="{07A32E21-9416-409C-1FE1-E3BE28FF1B00}"/>
            </a:ext>
          </a:extLst>
        </xdr:cNvPr>
        <xdr:cNvSpPr txBox="1"/>
      </xdr:nvSpPr>
      <xdr:spPr>
        <a:xfrm>
          <a:off x="9201150" y="5059580"/>
          <a:ext cx="1118768" cy="14747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spAutoFit/>
        </a:bodyPr>
        <a:lstStyle/>
        <a:p>
          <a:r>
            <a:rPr lang="en-US" sz="1000" b="1">
              <a:latin typeface="Arial" panose="020B0604020202020204" pitchFamily="34" charset="0"/>
            </a:rPr>
            <a:t>Premium to equity</a:t>
          </a:r>
        </a:p>
      </xdr:txBody>
    </xdr:sp>
    <xdr:clientData/>
  </xdr:twoCellAnchor>
  <xdr:twoCellAnchor editAs="absolute">
    <xdr:from>
      <xdr:col>14</xdr:col>
      <xdr:colOff>76200</xdr:colOff>
      <xdr:row>150</xdr:row>
      <xdr:rowOff>157380</xdr:rowOff>
    </xdr:from>
    <xdr:to>
      <xdr:col>18</xdr:col>
      <xdr:colOff>381000</xdr:colOff>
      <xdr:row>150</xdr:row>
      <xdr:rowOff>157380</xdr:rowOff>
    </xdr:to>
    <xdr:cxnSp macro="">
      <xdr:nvCxnSpPr>
        <xdr:cNvPr id="17" name="zero_turnover">
          <a:extLst>
            <a:ext uri="{FF2B5EF4-FFF2-40B4-BE49-F238E27FC236}">
              <a16:creationId xmlns:a16="http://schemas.microsoft.com/office/drawing/2014/main" id="{8A74A68F-1563-D499-E3C1-D9C696B85DB0}"/>
            </a:ext>
          </a:extLst>
        </xdr:cNvPr>
        <xdr:cNvCxnSpPr/>
      </xdr:nvCxnSpPr>
      <xdr:spPr>
        <a:xfrm>
          <a:off x="9188450" y="20655180"/>
          <a:ext cx="2743200" cy="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14</xdr:col>
      <xdr:colOff>76200</xdr:colOff>
      <xdr:row>152</xdr:row>
      <xdr:rowOff>106580</xdr:rowOff>
    </xdr:from>
    <xdr:to>
      <xdr:col>14</xdr:col>
      <xdr:colOff>468086</xdr:colOff>
      <xdr:row>153</xdr:row>
      <xdr:rowOff>87530</xdr:rowOff>
    </xdr:to>
    <xdr:sp macro="" textlink="'C11A'!$B$11">
      <xdr:nvSpPr>
        <xdr:cNvPr id="18" name="scenario_turnover_0">
          <a:extLst>
            <a:ext uri="{FF2B5EF4-FFF2-40B4-BE49-F238E27FC236}">
              <a16:creationId xmlns:a16="http://schemas.microsoft.com/office/drawing/2014/main" id="{4C92D14E-882B-0CB7-2D9B-40307EBF11AE}"/>
            </a:ext>
          </a:extLst>
        </xdr:cNvPr>
        <xdr:cNvSpPr txBox="1"/>
      </xdr:nvSpPr>
      <xdr:spPr>
        <a:xfrm>
          <a:off x="9188450" y="20972680"/>
          <a:ext cx="391886"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lstStyle/>
        <a:p>
          <a:pPr algn="ctr"/>
          <a:fld id="{2FEDBCE3-4426-4008-AB82-B3E12F830670}" type="TxLink">
            <a:rPr lang="en-US" sz="900" b="0" i="0" u="none" strike="noStrike">
              <a:solidFill>
                <a:srgbClr val="000000"/>
              </a:solidFill>
              <a:latin typeface="Arial" panose="020B0604020202020204" pitchFamily="34" charset="0"/>
            </a:rPr>
            <a:pPr algn="ctr"/>
            <a:t>AC</a:t>
          </a:fld>
          <a:endParaRPr lang="en-US" sz="900">
            <a:latin typeface="Arial" panose="020B0604020202020204" pitchFamily="34" charset="0"/>
          </a:endParaRPr>
        </a:p>
      </xdr:txBody>
    </xdr:sp>
    <xdr:clientData/>
  </xdr:twoCellAnchor>
  <xdr:twoCellAnchor editAs="absolute">
    <xdr:from>
      <xdr:col>19</xdr:col>
      <xdr:colOff>520700</xdr:colOff>
      <xdr:row>70</xdr:row>
      <xdr:rowOff>19879</xdr:rowOff>
    </xdr:from>
    <xdr:to>
      <xdr:col>21</xdr:col>
      <xdr:colOff>477206</xdr:colOff>
      <xdr:row>70</xdr:row>
      <xdr:rowOff>167355</xdr:rowOff>
    </xdr:to>
    <xdr:sp macro="" textlink="">
      <xdr:nvSpPr>
        <xdr:cNvPr id="19" name="subtitle_return_m">
          <a:extLst>
            <a:ext uri="{FF2B5EF4-FFF2-40B4-BE49-F238E27FC236}">
              <a16:creationId xmlns:a16="http://schemas.microsoft.com/office/drawing/2014/main" id="{21EF7780-A15E-0910-9C25-180ABA6FC847}"/>
            </a:ext>
          </a:extLst>
        </xdr:cNvPr>
        <xdr:cNvSpPr txBox="1"/>
      </xdr:nvSpPr>
      <xdr:spPr>
        <a:xfrm>
          <a:off x="12680950" y="5785679"/>
          <a:ext cx="1175706" cy="14747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spAutoFit/>
        </a:bodyPr>
        <a:lstStyle/>
        <a:p>
          <a:r>
            <a:rPr lang="en-US" sz="1000" b="1">
              <a:latin typeface="Arial" panose="020B0604020202020204" pitchFamily="34" charset="0"/>
            </a:rPr>
            <a:t>Underwriting result</a:t>
          </a:r>
        </a:p>
      </xdr:txBody>
    </xdr:sp>
    <xdr:clientData/>
  </xdr:twoCellAnchor>
  <xdr:twoCellAnchor editAs="absolute">
    <xdr:from>
      <xdr:col>21</xdr:col>
      <xdr:colOff>477207</xdr:colOff>
      <xdr:row>70</xdr:row>
      <xdr:rowOff>19879</xdr:rowOff>
    </xdr:from>
    <xdr:to>
      <xdr:col>22</xdr:col>
      <xdr:colOff>216805</xdr:colOff>
      <xdr:row>70</xdr:row>
      <xdr:rowOff>167355</xdr:rowOff>
    </xdr:to>
    <xdr:sp macro="" textlink="">
      <xdr:nvSpPr>
        <xdr:cNvPr id="20" name="subtitle_return_u">
          <a:extLst>
            <a:ext uri="{FF2B5EF4-FFF2-40B4-BE49-F238E27FC236}">
              <a16:creationId xmlns:a16="http://schemas.microsoft.com/office/drawing/2014/main" id="{E14AB19B-BC27-F5F5-D1A1-2B59CBB2602E}"/>
            </a:ext>
          </a:extLst>
        </xdr:cNvPr>
        <xdr:cNvSpPr txBox="1"/>
      </xdr:nvSpPr>
      <xdr:spPr>
        <a:xfrm>
          <a:off x="13856657" y="5785679"/>
          <a:ext cx="349198" cy="14747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spAutoFit/>
        </a:bodyPr>
        <a:lstStyle/>
        <a:p>
          <a:r>
            <a:rPr lang="en-US" sz="1000" b="0">
              <a:latin typeface="Arial" panose="020B0604020202020204" pitchFamily="34" charset="0"/>
            </a:rPr>
            <a:t> in $m</a:t>
          </a:r>
        </a:p>
      </xdr:txBody>
    </xdr:sp>
    <xdr:clientData/>
  </xdr:twoCellAnchor>
  <xdr:twoCellAnchor editAs="absolute">
    <xdr:from>
      <xdr:col>19</xdr:col>
      <xdr:colOff>508000</xdr:colOff>
      <xdr:row>75</xdr:row>
      <xdr:rowOff>133467</xdr:rowOff>
    </xdr:from>
    <xdr:to>
      <xdr:col>24</xdr:col>
      <xdr:colOff>203200</xdr:colOff>
      <xdr:row>75</xdr:row>
      <xdr:rowOff>133467</xdr:rowOff>
    </xdr:to>
    <xdr:cxnSp macro="">
      <xdr:nvCxnSpPr>
        <xdr:cNvPr id="21" name="zero_return">
          <a:extLst>
            <a:ext uri="{FF2B5EF4-FFF2-40B4-BE49-F238E27FC236}">
              <a16:creationId xmlns:a16="http://schemas.microsoft.com/office/drawing/2014/main" id="{0C1A6531-99EB-1BC5-B1F7-5A1A203BBEA3}"/>
            </a:ext>
          </a:extLst>
        </xdr:cNvPr>
        <xdr:cNvCxnSpPr/>
      </xdr:nvCxnSpPr>
      <xdr:spPr>
        <a:xfrm>
          <a:off x="12668250" y="6820017"/>
          <a:ext cx="2743200" cy="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19</xdr:col>
      <xdr:colOff>508000</xdr:colOff>
      <xdr:row>77</xdr:row>
      <xdr:rowOff>82667</xdr:rowOff>
    </xdr:from>
    <xdr:to>
      <xdr:col>20</xdr:col>
      <xdr:colOff>290286</xdr:colOff>
      <xdr:row>78</xdr:row>
      <xdr:rowOff>63617</xdr:rowOff>
    </xdr:to>
    <xdr:sp macro="" textlink="'C11A'!$B$11">
      <xdr:nvSpPr>
        <xdr:cNvPr id="22" name="scenario_return_0">
          <a:extLst>
            <a:ext uri="{FF2B5EF4-FFF2-40B4-BE49-F238E27FC236}">
              <a16:creationId xmlns:a16="http://schemas.microsoft.com/office/drawing/2014/main" id="{233DC938-A13D-D467-D89A-2A4D96D0EEC1}"/>
            </a:ext>
          </a:extLst>
        </xdr:cNvPr>
        <xdr:cNvSpPr txBox="1"/>
      </xdr:nvSpPr>
      <xdr:spPr>
        <a:xfrm>
          <a:off x="12668250" y="7137517"/>
          <a:ext cx="391886"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lstStyle/>
        <a:p>
          <a:pPr algn="ctr"/>
          <a:fld id="{9379EF28-6276-49F6-87FF-75B69A25F027}" type="TxLink">
            <a:rPr lang="en-US" sz="900" b="0" i="0" u="none" strike="noStrike">
              <a:solidFill>
                <a:srgbClr val="000000"/>
              </a:solidFill>
              <a:latin typeface="Arial" panose="020B0604020202020204" pitchFamily="34" charset="0"/>
            </a:rPr>
            <a:pPr algn="ctr"/>
            <a:t>AC</a:t>
          </a:fld>
          <a:endParaRPr lang="en-US" sz="900">
            <a:latin typeface="Arial" panose="020B0604020202020204" pitchFamily="34" charset="0"/>
          </a:endParaRPr>
        </a:p>
      </xdr:txBody>
    </xdr:sp>
    <xdr:clientData/>
  </xdr:twoCellAnchor>
  <xdr:twoCellAnchor editAs="absolute">
    <xdr:from>
      <xdr:col>19</xdr:col>
      <xdr:colOff>520700</xdr:colOff>
      <xdr:row>79</xdr:row>
      <xdr:rowOff>99351</xdr:rowOff>
    </xdr:from>
    <xdr:to>
      <xdr:col>22</xdr:col>
      <xdr:colOff>3156</xdr:colOff>
      <xdr:row>80</xdr:row>
      <xdr:rowOff>62677</xdr:rowOff>
    </xdr:to>
    <xdr:sp macro="" textlink="">
      <xdr:nvSpPr>
        <xdr:cNvPr id="23" name="subtitle_net_sales_m">
          <a:extLst>
            <a:ext uri="{FF2B5EF4-FFF2-40B4-BE49-F238E27FC236}">
              <a16:creationId xmlns:a16="http://schemas.microsoft.com/office/drawing/2014/main" id="{7920D402-0C1D-C193-68A3-2F606754E972}"/>
            </a:ext>
          </a:extLst>
        </xdr:cNvPr>
        <xdr:cNvSpPr txBox="1"/>
      </xdr:nvSpPr>
      <xdr:spPr>
        <a:xfrm>
          <a:off x="12680950" y="7522501"/>
          <a:ext cx="1311256" cy="14747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spAutoFit/>
        </a:bodyPr>
        <a:lstStyle/>
        <a:p>
          <a:r>
            <a:rPr lang="en-US" sz="1000" b="1">
              <a:latin typeface="Arial" panose="020B0604020202020204" pitchFamily="34" charset="0"/>
            </a:rPr>
            <a:t>Net premiums earned</a:t>
          </a:r>
        </a:p>
      </xdr:txBody>
    </xdr:sp>
    <xdr:clientData/>
  </xdr:twoCellAnchor>
  <xdr:twoCellAnchor editAs="absolute">
    <xdr:from>
      <xdr:col>22</xdr:col>
      <xdr:colOff>3156</xdr:colOff>
      <xdr:row>79</xdr:row>
      <xdr:rowOff>99351</xdr:rowOff>
    </xdr:from>
    <xdr:to>
      <xdr:col>22</xdr:col>
      <xdr:colOff>352354</xdr:colOff>
      <xdr:row>80</xdr:row>
      <xdr:rowOff>62677</xdr:rowOff>
    </xdr:to>
    <xdr:sp macro="" textlink="">
      <xdr:nvSpPr>
        <xdr:cNvPr id="24" name="subtitle_net_sales_u">
          <a:extLst>
            <a:ext uri="{FF2B5EF4-FFF2-40B4-BE49-F238E27FC236}">
              <a16:creationId xmlns:a16="http://schemas.microsoft.com/office/drawing/2014/main" id="{5623F60F-0045-1627-1DFB-FD19266E2658}"/>
            </a:ext>
          </a:extLst>
        </xdr:cNvPr>
        <xdr:cNvSpPr txBox="1"/>
      </xdr:nvSpPr>
      <xdr:spPr>
        <a:xfrm>
          <a:off x="13992206" y="7522501"/>
          <a:ext cx="349198" cy="14747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spAutoFit/>
        </a:bodyPr>
        <a:lstStyle/>
        <a:p>
          <a:r>
            <a:rPr lang="en-US" sz="1000" b="0">
              <a:latin typeface="Arial" panose="020B0604020202020204" pitchFamily="34" charset="0"/>
            </a:rPr>
            <a:t> in $m</a:t>
          </a:r>
        </a:p>
      </xdr:txBody>
    </xdr:sp>
    <xdr:clientData/>
  </xdr:twoCellAnchor>
  <xdr:twoCellAnchor editAs="absolute">
    <xdr:from>
      <xdr:col>19</xdr:col>
      <xdr:colOff>508000</xdr:colOff>
      <xdr:row>114</xdr:row>
      <xdr:rowOff>140292</xdr:rowOff>
    </xdr:from>
    <xdr:to>
      <xdr:col>24</xdr:col>
      <xdr:colOff>203200</xdr:colOff>
      <xdr:row>114</xdr:row>
      <xdr:rowOff>140292</xdr:rowOff>
    </xdr:to>
    <xdr:cxnSp macro="">
      <xdr:nvCxnSpPr>
        <xdr:cNvPr id="25" name="zero_net_sales">
          <a:extLst>
            <a:ext uri="{FF2B5EF4-FFF2-40B4-BE49-F238E27FC236}">
              <a16:creationId xmlns:a16="http://schemas.microsoft.com/office/drawing/2014/main" id="{343B9822-B9F0-0FE7-888A-CEE26C40F4C4}"/>
            </a:ext>
          </a:extLst>
        </xdr:cNvPr>
        <xdr:cNvCxnSpPr/>
      </xdr:nvCxnSpPr>
      <xdr:spPr>
        <a:xfrm>
          <a:off x="12668250" y="14008692"/>
          <a:ext cx="2743200" cy="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19</xdr:col>
      <xdr:colOff>508000</xdr:colOff>
      <xdr:row>116</xdr:row>
      <xdr:rowOff>89492</xdr:rowOff>
    </xdr:from>
    <xdr:to>
      <xdr:col>20</xdr:col>
      <xdr:colOff>290286</xdr:colOff>
      <xdr:row>117</xdr:row>
      <xdr:rowOff>70442</xdr:rowOff>
    </xdr:to>
    <xdr:sp macro="" textlink="'C11A'!$B$11">
      <xdr:nvSpPr>
        <xdr:cNvPr id="26" name="scenario_net_sales_0">
          <a:extLst>
            <a:ext uri="{FF2B5EF4-FFF2-40B4-BE49-F238E27FC236}">
              <a16:creationId xmlns:a16="http://schemas.microsoft.com/office/drawing/2014/main" id="{BA09398E-9FD1-5469-AEFD-FE5CC4FD6FD5}"/>
            </a:ext>
          </a:extLst>
        </xdr:cNvPr>
        <xdr:cNvSpPr txBox="1"/>
      </xdr:nvSpPr>
      <xdr:spPr>
        <a:xfrm>
          <a:off x="12668250" y="14326192"/>
          <a:ext cx="391886"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lstStyle/>
        <a:p>
          <a:pPr algn="ctr"/>
          <a:fld id="{5780AC40-8774-4897-AA2B-69D2CFF244C4}" type="TxLink">
            <a:rPr lang="en-US" sz="900" b="0" i="0" u="none" strike="noStrike">
              <a:solidFill>
                <a:srgbClr val="000000"/>
              </a:solidFill>
              <a:latin typeface="Arial" panose="020B0604020202020204" pitchFamily="34" charset="0"/>
            </a:rPr>
            <a:pPr algn="ctr"/>
            <a:t>AC</a:t>
          </a:fld>
          <a:endParaRPr lang="en-US" sz="900">
            <a:latin typeface="Arial" panose="020B0604020202020204" pitchFamily="34" charset="0"/>
          </a:endParaRPr>
        </a:p>
      </xdr:txBody>
    </xdr:sp>
    <xdr:clientData/>
  </xdr:twoCellAnchor>
  <xdr:twoCellAnchor editAs="absolute">
    <xdr:from>
      <xdr:col>19</xdr:col>
      <xdr:colOff>520700</xdr:colOff>
      <xdr:row>122</xdr:row>
      <xdr:rowOff>63616</xdr:rowOff>
    </xdr:from>
    <xdr:to>
      <xdr:col>21</xdr:col>
      <xdr:colOff>564923</xdr:colOff>
      <xdr:row>123</xdr:row>
      <xdr:rowOff>26942</xdr:rowOff>
    </xdr:to>
    <xdr:sp macro="" textlink="">
      <xdr:nvSpPr>
        <xdr:cNvPr id="27" name="subtitle_capital_m">
          <a:extLst>
            <a:ext uri="{FF2B5EF4-FFF2-40B4-BE49-F238E27FC236}">
              <a16:creationId xmlns:a16="http://schemas.microsoft.com/office/drawing/2014/main" id="{604E2771-7AD5-9264-2274-FB380C59CCBC}"/>
            </a:ext>
          </a:extLst>
        </xdr:cNvPr>
        <xdr:cNvSpPr txBox="1"/>
      </xdr:nvSpPr>
      <xdr:spPr>
        <a:xfrm>
          <a:off x="12680950" y="15405216"/>
          <a:ext cx="1263423" cy="14747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spAutoFit/>
        </a:bodyPr>
        <a:lstStyle/>
        <a:p>
          <a:r>
            <a:rPr lang="en-US" sz="1000" b="1">
              <a:latin typeface="Arial" panose="020B0604020202020204" pitchFamily="34" charset="0"/>
            </a:rPr>
            <a:t>Shareholders' equity</a:t>
          </a:r>
        </a:p>
      </xdr:txBody>
    </xdr:sp>
    <xdr:clientData/>
  </xdr:twoCellAnchor>
  <xdr:twoCellAnchor editAs="absolute">
    <xdr:from>
      <xdr:col>21</xdr:col>
      <xdr:colOff>564924</xdr:colOff>
      <xdr:row>122</xdr:row>
      <xdr:rowOff>63616</xdr:rowOff>
    </xdr:from>
    <xdr:to>
      <xdr:col>22</xdr:col>
      <xdr:colOff>304522</xdr:colOff>
      <xdr:row>123</xdr:row>
      <xdr:rowOff>26942</xdr:rowOff>
    </xdr:to>
    <xdr:sp macro="" textlink="">
      <xdr:nvSpPr>
        <xdr:cNvPr id="28" name="subtitle_capital_u">
          <a:extLst>
            <a:ext uri="{FF2B5EF4-FFF2-40B4-BE49-F238E27FC236}">
              <a16:creationId xmlns:a16="http://schemas.microsoft.com/office/drawing/2014/main" id="{89ABCF96-1E1C-4C93-7B40-F5540D10A9C1}"/>
            </a:ext>
          </a:extLst>
        </xdr:cNvPr>
        <xdr:cNvSpPr txBox="1"/>
      </xdr:nvSpPr>
      <xdr:spPr>
        <a:xfrm>
          <a:off x="13944374" y="15405216"/>
          <a:ext cx="349198" cy="14747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spAutoFit/>
        </a:bodyPr>
        <a:lstStyle/>
        <a:p>
          <a:r>
            <a:rPr lang="en-US" sz="1000" b="0">
              <a:latin typeface="Arial" panose="020B0604020202020204" pitchFamily="34" charset="0"/>
            </a:rPr>
            <a:t> in $m</a:t>
          </a:r>
        </a:p>
      </xdr:txBody>
    </xdr:sp>
    <xdr:clientData/>
  </xdr:twoCellAnchor>
  <xdr:twoCellAnchor editAs="absolute">
    <xdr:from>
      <xdr:col>19</xdr:col>
      <xdr:colOff>508000</xdr:colOff>
      <xdr:row>136</xdr:row>
      <xdr:rowOff>46825</xdr:rowOff>
    </xdr:from>
    <xdr:to>
      <xdr:col>24</xdr:col>
      <xdr:colOff>203200</xdr:colOff>
      <xdr:row>136</xdr:row>
      <xdr:rowOff>46825</xdr:rowOff>
    </xdr:to>
    <xdr:cxnSp macro="">
      <xdr:nvCxnSpPr>
        <xdr:cNvPr id="29" name="zero_capital">
          <a:extLst>
            <a:ext uri="{FF2B5EF4-FFF2-40B4-BE49-F238E27FC236}">
              <a16:creationId xmlns:a16="http://schemas.microsoft.com/office/drawing/2014/main" id="{A1A3CF07-8F00-8189-50B4-67FFAF53D75C}"/>
            </a:ext>
          </a:extLst>
        </xdr:cNvPr>
        <xdr:cNvCxnSpPr/>
      </xdr:nvCxnSpPr>
      <xdr:spPr>
        <a:xfrm>
          <a:off x="12668250" y="17966525"/>
          <a:ext cx="2743200" cy="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19</xdr:col>
      <xdr:colOff>508000</xdr:colOff>
      <xdr:row>137</xdr:row>
      <xdr:rowOff>180175</xdr:rowOff>
    </xdr:from>
    <xdr:to>
      <xdr:col>20</xdr:col>
      <xdr:colOff>290286</xdr:colOff>
      <xdr:row>138</xdr:row>
      <xdr:rowOff>161125</xdr:rowOff>
    </xdr:to>
    <xdr:sp macro="" textlink="'C11A'!$B$11">
      <xdr:nvSpPr>
        <xdr:cNvPr id="30" name="scenario_capital_0">
          <a:extLst>
            <a:ext uri="{FF2B5EF4-FFF2-40B4-BE49-F238E27FC236}">
              <a16:creationId xmlns:a16="http://schemas.microsoft.com/office/drawing/2014/main" id="{A417738F-2FDB-79BE-05AE-4BFB7ED26DA9}"/>
            </a:ext>
          </a:extLst>
        </xdr:cNvPr>
        <xdr:cNvSpPr txBox="1"/>
      </xdr:nvSpPr>
      <xdr:spPr>
        <a:xfrm>
          <a:off x="12668250" y="18284025"/>
          <a:ext cx="391886"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lstStyle/>
        <a:p>
          <a:pPr algn="ctr"/>
          <a:fld id="{10BC44E2-66E8-46DB-BAD7-A6D267E580CE}" type="TxLink">
            <a:rPr lang="en-US" sz="900" b="0" i="0" u="none" strike="noStrike">
              <a:solidFill>
                <a:srgbClr val="000000"/>
              </a:solidFill>
              <a:latin typeface="Arial" panose="020B0604020202020204" pitchFamily="34" charset="0"/>
            </a:rPr>
            <a:pPr algn="ctr"/>
            <a:t>AC</a:t>
          </a:fld>
          <a:endParaRPr lang="en-US" sz="900">
            <a:latin typeface="Arial" panose="020B0604020202020204" pitchFamily="34" charset="0"/>
          </a:endParaRPr>
        </a:p>
      </xdr:txBody>
    </xdr:sp>
    <xdr:clientData/>
  </xdr:twoCellAnchor>
  <xdr:twoCellAnchor editAs="absolute">
    <xdr:from>
      <xdr:col>19</xdr:col>
      <xdr:colOff>139700</xdr:colOff>
      <xdr:row>74</xdr:row>
      <xdr:rowOff>70598</xdr:rowOff>
    </xdr:from>
    <xdr:to>
      <xdr:col>19</xdr:col>
      <xdr:colOff>406400</xdr:colOff>
      <xdr:row>74</xdr:row>
      <xdr:rowOff>70598</xdr:rowOff>
    </xdr:to>
    <xdr:cxnSp macro="">
      <xdr:nvCxnSpPr>
        <xdr:cNvPr id="31" name="Straight Connector 30">
          <a:extLst>
            <a:ext uri="{FF2B5EF4-FFF2-40B4-BE49-F238E27FC236}">
              <a16:creationId xmlns:a16="http://schemas.microsoft.com/office/drawing/2014/main" id="{CAA688E3-9246-FF23-7A80-22498C09E91E}"/>
            </a:ext>
          </a:extLst>
        </xdr:cNvPr>
        <xdr:cNvCxnSpPr/>
      </xdr:nvCxnSpPr>
      <xdr:spPr>
        <a:xfrm>
          <a:off x="12299950" y="6572998"/>
          <a:ext cx="266700" cy="0"/>
        </a:xfrm>
        <a:prstGeom prst="line">
          <a:avLst/>
        </a:prstGeom>
        <a:ln w="12700">
          <a:solidFill>
            <a:srgbClr val="40404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19</xdr:col>
      <xdr:colOff>139700</xdr:colOff>
      <xdr:row>100</xdr:row>
      <xdr:rowOff>27149</xdr:rowOff>
    </xdr:from>
    <xdr:to>
      <xdr:col>19</xdr:col>
      <xdr:colOff>406400</xdr:colOff>
      <xdr:row>100</xdr:row>
      <xdr:rowOff>27149</xdr:rowOff>
    </xdr:to>
    <xdr:cxnSp macro="">
      <xdr:nvCxnSpPr>
        <xdr:cNvPr id="32" name="Straight Connector 31">
          <a:extLst>
            <a:ext uri="{FF2B5EF4-FFF2-40B4-BE49-F238E27FC236}">
              <a16:creationId xmlns:a16="http://schemas.microsoft.com/office/drawing/2014/main" id="{EF94B03C-151A-F66B-622B-3F78D4945F0D}"/>
            </a:ext>
          </a:extLst>
        </xdr:cNvPr>
        <xdr:cNvCxnSpPr/>
      </xdr:nvCxnSpPr>
      <xdr:spPr>
        <a:xfrm>
          <a:off x="12299950" y="11317449"/>
          <a:ext cx="266700" cy="0"/>
        </a:xfrm>
        <a:prstGeom prst="line">
          <a:avLst/>
        </a:prstGeom>
        <a:ln w="12700">
          <a:solidFill>
            <a:srgbClr val="40404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19</xdr:col>
      <xdr:colOff>139700</xdr:colOff>
      <xdr:row>74</xdr:row>
      <xdr:rowOff>70598</xdr:rowOff>
    </xdr:from>
    <xdr:to>
      <xdr:col>19</xdr:col>
      <xdr:colOff>139700</xdr:colOff>
      <xdr:row>100</xdr:row>
      <xdr:rowOff>27149</xdr:rowOff>
    </xdr:to>
    <xdr:cxnSp macro="">
      <xdr:nvCxnSpPr>
        <xdr:cNvPr id="33" name="Straight Connector 32">
          <a:extLst>
            <a:ext uri="{FF2B5EF4-FFF2-40B4-BE49-F238E27FC236}">
              <a16:creationId xmlns:a16="http://schemas.microsoft.com/office/drawing/2014/main" id="{D7949895-00AC-4A6C-80DE-5553D66CE190}"/>
            </a:ext>
          </a:extLst>
        </xdr:cNvPr>
        <xdr:cNvCxnSpPr/>
      </xdr:nvCxnSpPr>
      <xdr:spPr>
        <a:xfrm>
          <a:off x="12299950" y="6572998"/>
          <a:ext cx="0" cy="4744451"/>
        </a:xfrm>
        <a:prstGeom prst="line">
          <a:avLst/>
        </a:prstGeom>
        <a:ln w="12700">
          <a:solidFill>
            <a:srgbClr val="40404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18</xdr:col>
      <xdr:colOff>482600</xdr:colOff>
      <xdr:row>15</xdr:row>
      <xdr:rowOff>8936</xdr:rowOff>
    </xdr:from>
    <xdr:to>
      <xdr:col>19</xdr:col>
      <xdr:colOff>25400</xdr:colOff>
      <xdr:row>15</xdr:row>
      <xdr:rowOff>8936</xdr:rowOff>
    </xdr:to>
    <xdr:cxnSp macro="">
      <xdr:nvCxnSpPr>
        <xdr:cNvPr id="34" name="Straight Connector 33">
          <a:extLst>
            <a:ext uri="{FF2B5EF4-FFF2-40B4-BE49-F238E27FC236}">
              <a16:creationId xmlns:a16="http://schemas.microsoft.com/office/drawing/2014/main" id="{1E817877-3A96-CDF7-E434-DB669EC8B91C}"/>
            </a:ext>
          </a:extLst>
        </xdr:cNvPr>
        <xdr:cNvCxnSpPr/>
      </xdr:nvCxnSpPr>
      <xdr:spPr>
        <a:xfrm>
          <a:off x="12033250" y="3196636"/>
          <a:ext cx="152400" cy="0"/>
        </a:xfrm>
        <a:prstGeom prst="line">
          <a:avLst/>
        </a:prstGeom>
        <a:ln w="12700">
          <a:solidFill>
            <a:srgbClr val="40404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19</xdr:col>
      <xdr:colOff>25400</xdr:colOff>
      <xdr:row>14</xdr:row>
      <xdr:rowOff>78786</xdr:rowOff>
    </xdr:from>
    <xdr:to>
      <xdr:col>19</xdr:col>
      <xdr:colOff>254000</xdr:colOff>
      <xdr:row>15</xdr:row>
      <xdr:rowOff>123236</xdr:rowOff>
    </xdr:to>
    <xdr:sp macro="" textlink="">
      <xdr:nvSpPr>
        <xdr:cNvPr id="35" name="op_ros">
          <a:extLst>
            <a:ext uri="{FF2B5EF4-FFF2-40B4-BE49-F238E27FC236}">
              <a16:creationId xmlns:a16="http://schemas.microsoft.com/office/drawing/2014/main" id="{851BC28E-B5B0-5BE2-4694-FB2925D5FACE}"/>
            </a:ext>
          </a:extLst>
        </xdr:cNvPr>
        <xdr:cNvSpPr/>
      </xdr:nvSpPr>
      <xdr:spPr>
        <a:xfrm>
          <a:off x="12185650" y="3082336"/>
          <a:ext cx="228600" cy="228600"/>
        </a:xfrm>
        <a:prstGeom prst="ellipse">
          <a:avLst/>
        </a:prstGeom>
        <a:solidFill>
          <a:srgbClr val="FFFFFF"/>
        </a:solidFill>
        <a:ln w="12700">
          <a:solidFill>
            <a:srgbClr val="40404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0">
              <a:solidFill>
                <a:srgbClr val="404040"/>
              </a:solidFill>
              <a:latin typeface="Arial" panose="020B0604020202020204" pitchFamily="34" charset="0"/>
            </a:rPr>
            <a:t>:</a:t>
          </a:r>
        </a:p>
      </xdr:txBody>
    </xdr:sp>
    <xdr:clientData/>
  </xdr:twoCellAnchor>
  <xdr:twoCellAnchor editAs="absolute">
    <xdr:from>
      <xdr:col>19</xdr:col>
      <xdr:colOff>139700</xdr:colOff>
      <xdr:row>100</xdr:row>
      <xdr:rowOff>179549</xdr:rowOff>
    </xdr:from>
    <xdr:to>
      <xdr:col>19</xdr:col>
      <xdr:colOff>406400</xdr:colOff>
      <xdr:row>100</xdr:row>
      <xdr:rowOff>179549</xdr:rowOff>
    </xdr:to>
    <xdr:cxnSp macro="">
      <xdr:nvCxnSpPr>
        <xdr:cNvPr id="36" name="Straight Connector 35">
          <a:extLst>
            <a:ext uri="{FF2B5EF4-FFF2-40B4-BE49-F238E27FC236}">
              <a16:creationId xmlns:a16="http://schemas.microsoft.com/office/drawing/2014/main" id="{E66A8DC6-12C1-83C9-D51E-4C01ABBC688A}"/>
            </a:ext>
          </a:extLst>
        </xdr:cNvPr>
        <xdr:cNvCxnSpPr/>
      </xdr:nvCxnSpPr>
      <xdr:spPr>
        <a:xfrm>
          <a:off x="12299950" y="11469849"/>
          <a:ext cx="266700" cy="0"/>
        </a:xfrm>
        <a:prstGeom prst="line">
          <a:avLst/>
        </a:prstGeom>
        <a:ln w="12700">
          <a:solidFill>
            <a:srgbClr val="40404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19</xdr:col>
      <xdr:colOff>139700</xdr:colOff>
      <xdr:row>131</xdr:row>
      <xdr:rowOff>89977</xdr:rowOff>
    </xdr:from>
    <xdr:to>
      <xdr:col>19</xdr:col>
      <xdr:colOff>406400</xdr:colOff>
      <xdr:row>131</xdr:row>
      <xdr:rowOff>89977</xdr:rowOff>
    </xdr:to>
    <xdr:cxnSp macro="">
      <xdr:nvCxnSpPr>
        <xdr:cNvPr id="37" name="Straight Connector 36">
          <a:extLst>
            <a:ext uri="{FF2B5EF4-FFF2-40B4-BE49-F238E27FC236}">
              <a16:creationId xmlns:a16="http://schemas.microsoft.com/office/drawing/2014/main" id="{E6856F04-2388-DEC1-0DE1-A1142C21B127}"/>
            </a:ext>
          </a:extLst>
        </xdr:cNvPr>
        <xdr:cNvCxnSpPr/>
      </xdr:nvCxnSpPr>
      <xdr:spPr>
        <a:xfrm>
          <a:off x="12299950" y="17088927"/>
          <a:ext cx="266700" cy="0"/>
        </a:xfrm>
        <a:prstGeom prst="line">
          <a:avLst/>
        </a:prstGeom>
        <a:ln w="12700">
          <a:solidFill>
            <a:srgbClr val="40404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19</xdr:col>
      <xdr:colOff>139700</xdr:colOff>
      <xdr:row>100</xdr:row>
      <xdr:rowOff>179549</xdr:rowOff>
    </xdr:from>
    <xdr:to>
      <xdr:col>19</xdr:col>
      <xdr:colOff>139700</xdr:colOff>
      <xdr:row>131</xdr:row>
      <xdr:rowOff>89977</xdr:rowOff>
    </xdr:to>
    <xdr:cxnSp macro="">
      <xdr:nvCxnSpPr>
        <xdr:cNvPr id="38" name="Straight Connector 37">
          <a:extLst>
            <a:ext uri="{FF2B5EF4-FFF2-40B4-BE49-F238E27FC236}">
              <a16:creationId xmlns:a16="http://schemas.microsoft.com/office/drawing/2014/main" id="{FDB87B7A-53A5-BE0C-A2A6-F69F965173D3}"/>
            </a:ext>
          </a:extLst>
        </xdr:cNvPr>
        <xdr:cNvCxnSpPr/>
      </xdr:nvCxnSpPr>
      <xdr:spPr>
        <a:xfrm>
          <a:off x="12299950" y="11469849"/>
          <a:ext cx="0" cy="5619078"/>
        </a:xfrm>
        <a:prstGeom prst="line">
          <a:avLst/>
        </a:prstGeom>
        <a:ln w="12700">
          <a:solidFill>
            <a:srgbClr val="40404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18</xdr:col>
      <xdr:colOff>482600</xdr:colOff>
      <xdr:row>114</xdr:row>
      <xdr:rowOff>163351</xdr:rowOff>
    </xdr:from>
    <xdr:to>
      <xdr:col>19</xdr:col>
      <xdr:colOff>25400</xdr:colOff>
      <xdr:row>114</xdr:row>
      <xdr:rowOff>163351</xdr:rowOff>
    </xdr:to>
    <xdr:cxnSp macro="">
      <xdr:nvCxnSpPr>
        <xdr:cNvPr id="39" name="Straight Connector 38">
          <a:extLst>
            <a:ext uri="{FF2B5EF4-FFF2-40B4-BE49-F238E27FC236}">
              <a16:creationId xmlns:a16="http://schemas.microsoft.com/office/drawing/2014/main" id="{C0A495B7-BBB1-8F8B-0ADC-A616B988A01B}"/>
            </a:ext>
          </a:extLst>
        </xdr:cNvPr>
        <xdr:cNvCxnSpPr/>
      </xdr:nvCxnSpPr>
      <xdr:spPr>
        <a:xfrm>
          <a:off x="12033250" y="14031751"/>
          <a:ext cx="152400" cy="0"/>
        </a:xfrm>
        <a:prstGeom prst="line">
          <a:avLst/>
        </a:prstGeom>
        <a:ln w="12700">
          <a:solidFill>
            <a:srgbClr val="40404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19</xdr:col>
      <xdr:colOff>25400</xdr:colOff>
      <xdr:row>114</xdr:row>
      <xdr:rowOff>49051</xdr:rowOff>
    </xdr:from>
    <xdr:to>
      <xdr:col>19</xdr:col>
      <xdr:colOff>254000</xdr:colOff>
      <xdr:row>115</xdr:row>
      <xdr:rowOff>93501</xdr:rowOff>
    </xdr:to>
    <xdr:sp macro="" textlink="">
      <xdr:nvSpPr>
        <xdr:cNvPr id="40" name="op_turnover">
          <a:extLst>
            <a:ext uri="{FF2B5EF4-FFF2-40B4-BE49-F238E27FC236}">
              <a16:creationId xmlns:a16="http://schemas.microsoft.com/office/drawing/2014/main" id="{B07BD804-80BC-3496-BB69-E4743DD17653}"/>
            </a:ext>
          </a:extLst>
        </xdr:cNvPr>
        <xdr:cNvSpPr/>
      </xdr:nvSpPr>
      <xdr:spPr>
        <a:xfrm>
          <a:off x="12185650" y="13917451"/>
          <a:ext cx="228600" cy="228600"/>
        </a:xfrm>
        <a:prstGeom prst="ellipse">
          <a:avLst/>
        </a:prstGeom>
        <a:solidFill>
          <a:srgbClr val="FFFFFF"/>
        </a:solidFill>
        <a:ln w="12700">
          <a:solidFill>
            <a:srgbClr val="40404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0">
              <a:solidFill>
                <a:srgbClr val="404040"/>
              </a:solidFill>
              <a:latin typeface="Arial" panose="020B0604020202020204" pitchFamily="34" charset="0"/>
            </a:rPr>
            <a:t>:</a:t>
          </a:r>
        </a:p>
      </xdr:txBody>
    </xdr:sp>
    <xdr:clientData/>
  </xdr:twoCellAnchor>
  <xdr:twoCellAnchor editAs="absolute">
    <xdr:from>
      <xdr:col>13</xdr:col>
      <xdr:colOff>317500</xdr:colOff>
      <xdr:row>15</xdr:row>
      <xdr:rowOff>8936</xdr:rowOff>
    </xdr:from>
    <xdr:to>
      <xdr:col>13</xdr:col>
      <xdr:colOff>584200</xdr:colOff>
      <xdr:row>15</xdr:row>
      <xdr:rowOff>8936</xdr:rowOff>
    </xdr:to>
    <xdr:cxnSp macro="">
      <xdr:nvCxnSpPr>
        <xdr:cNvPr id="41" name="Straight Connector 40">
          <a:extLst>
            <a:ext uri="{FF2B5EF4-FFF2-40B4-BE49-F238E27FC236}">
              <a16:creationId xmlns:a16="http://schemas.microsoft.com/office/drawing/2014/main" id="{00A78A5C-CBB7-05EA-61AE-BFE36D29E394}"/>
            </a:ext>
          </a:extLst>
        </xdr:cNvPr>
        <xdr:cNvCxnSpPr/>
      </xdr:nvCxnSpPr>
      <xdr:spPr>
        <a:xfrm>
          <a:off x="8820150" y="3196636"/>
          <a:ext cx="266700" cy="0"/>
        </a:xfrm>
        <a:prstGeom prst="line">
          <a:avLst/>
        </a:prstGeom>
        <a:ln w="12700">
          <a:solidFill>
            <a:srgbClr val="40404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13</xdr:col>
      <xdr:colOff>317500</xdr:colOff>
      <xdr:row>114</xdr:row>
      <xdr:rowOff>163351</xdr:rowOff>
    </xdr:from>
    <xdr:to>
      <xdr:col>13</xdr:col>
      <xdr:colOff>584200</xdr:colOff>
      <xdr:row>114</xdr:row>
      <xdr:rowOff>163351</xdr:rowOff>
    </xdr:to>
    <xdr:cxnSp macro="">
      <xdr:nvCxnSpPr>
        <xdr:cNvPr id="42" name="Straight Connector 41">
          <a:extLst>
            <a:ext uri="{FF2B5EF4-FFF2-40B4-BE49-F238E27FC236}">
              <a16:creationId xmlns:a16="http://schemas.microsoft.com/office/drawing/2014/main" id="{0C709E97-4C9E-0DFB-E4BF-3DDD119AE320}"/>
            </a:ext>
          </a:extLst>
        </xdr:cNvPr>
        <xdr:cNvCxnSpPr/>
      </xdr:nvCxnSpPr>
      <xdr:spPr>
        <a:xfrm>
          <a:off x="8820150" y="14031751"/>
          <a:ext cx="266700" cy="0"/>
        </a:xfrm>
        <a:prstGeom prst="line">
          <a:avLst/>
        </a:prstGeom>
        <a:ln w="12700">
          <a:solidFill>
            <a:srgbClr val="40404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13</xdr:col>
      <xdr:colOff>317500</xdr:colOff>
      <xdr:row>15</xdr:row>
      <xdr:rowOff>8936</xdr:rowOff>
    </xdr:from>
    <xdr:to>
      <xdr:col>13</xdr:col>
      <xdr:colOff>317500</xdr:colOff>
      <xdr:row>114</xdr:row>
      <xdr:rowOff>163351</xdr:rowOff>
    </xdr:to>
    <xdr:cxnSp macro="">
      <xdr:nvCxnSpPr>
        <xdr:cNvPr id="43" name="Straight Connector 42">
          <a:extLst>
            <a:ext uri="{FF2B5EF4-FFF2-40B4-BE49-F238E27FC236}">
              <a16:creationId xmlns:a16="http://schemas.microsoft.com/office/drawing/2014/main" id="{B91947B1-7262-721D-B00F-92DBC2F5A79C}"/>
            </a:ext>
          </a:extLst>
        </xdr:cNvPr>
        <xdr:cNvCxnSpPr/>
      </xdr:nvCxnSpPr>
      <xdr:spPr>
        <a:xfrm>
          <a:off x="8820150" y="3196636"/>
          <a:ext cx="0" cy="10835115"/>
        </a:xfrm>
        <a:prstGeom prst="line">
          <a:avLst/>
        </a:prstGeom>
        <a:ln w="12700">
          <a:solidFill>
            <a:srgbClr val="40404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13</xdr:col>
      <xdr:colOff>50800</xdr:colOff>
      <xdr:row>105</xdr:row>
      <xdr:rowOff>22836</xdr:rowOff>
    </xdr:from>
    <xdr:to>
      <xdr:col>13</xdr:col>
      <xdr:colOff>203200</xdr:colOff>
      <xdr:row>105</xdr:row>
      <xdr:rowOff>22836</xdr:rowOff>
    </xdr:to>
    <xdr:cxnSp macro="">
      <xdr:nvCxnSpPr>
        <xdr:cNvPr id="44" name="Straight Connector 43">
          <a:extLst>
            <a:ext uri="{FF2B5EF4-FFF2-40B4-BE49-F238E27FC236}">
              <a16:creationId xmlns:a16="http://schemas.microsoft.com/office/drawing/2014/main" id="{B01719E1-69E9-63FE-889F-56B698974DB3}"/>
            </a:ext>
          </a:extLst>
        </xdr:cNvPr>
        <xdr:cNvCxnSpPr/>
      </xdr:nvCxnSpPr>
      <xdr:spPr>
        <a:xfrm>
          <a:off x="8553450" y="12233886"/>
          <a:ext cx="152400" cy="0"/>
        </a:xfrm>
        <a:prstGeom prst="line">
          <a:avLst/>
        </a:prstGeom>
        <a:ln w="12700">
          <a:solidFill>
            <a:srgbClr val="40404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13</xdr:col>
      <xdr:colOff>203200</xdr:colOff>
      <xdr:row>104</xdr:row>
      <xdr:rowOff>92686</xdr:rowOff>
    </xdr:from>
    <xdr:to>
      <xdr:col>13</xdr:col>
      <xdr:colOff>431800</xdr:colOff>
      <xdr:row>105</xdr:row>
      <xdr:rowOff>137136</xdr:rowOff>
    </xdr:to>
    <xdr:sp macro="" textlink="">
      <xdr:nvSpPr>
        <xdr:cNvPr id="45" name="op_roi">
          <a:extLst>
            <a:ext uri="{FF2B5EF4-FFF2-40B4-BE49-F238E27FC236}">
              <a16:creationId xmlns:a16="http://schemas.microsoft.com/office/drawing/2014/main" id="{9200B4C8-002B-947A-EAE4-AAA0FE5131F1}"/>
            </a:ext>
          </a:extLst>
        </xdr:cNvPr>
        <xdr:cNvSpPr/>
      </xdr:nvSpPr>
      <xdr:spPr>
        <a:xfrm>
          <a:off x="8705850" y="12119586"/>
          <a:ext cx="228600" cy="228600"/>
        </a:xfrm>
        <a:prstGeom prst="ellipse">
          <a:avLst/>
        </a:prstGeom>
        <a:solidFill>
          <a:srgbClr val="FFFFFF"/>
        </a:solidFill>
        <a:ln w="12700">
          <a:solidFill>
            <a:srgbClr val="40404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0">
              <a:solidFill>
                <a:srgbClr val="404040"/>
              </a:solidFill>
              <a:latin typeface="Arial" panose="020B0604020202020204" pitchFamily="34" charset="0"/>
            </a:rPr>
            <a:t>x</a:t>
          </a:r>
        </a:p>
      </xdr:txBody>
    </xdr:sp>
    <xdr:clientData/>
  </xdr:twoCellAnchor>
  <xdr:twoCellAnchor editAs="absolute">
    <xdr:from>
      <xdr:col>8</xdr:col>
      <xdr:colOff>152400</xdr:colOff>
      <xdr:row>3</xdr:row>
      <xdr:rowOff>6350</xdr:rowOff>
    </xdr:from>
    <xdr:to>
      <xdr:col>25</xdr:col>
      <xdr:colOff>228600</xdr:colOff>
      <xdr:row>4</xdr:row>
      <xdr:rowOff>12700</xdr:rowOff>
    </xdr:to>
    <xdr:sp macro="" textlink="'C11A'!$B$1">
      <xdr:nvSpPr>
        <xdr:cNvPr id="46" name="title_C11A_entity">
          <a:extLst>
            <a:ext uri="{FF2B5EF4-FFF2-40B4-BE49-F238E27FC236}">
              <a16:creationId xmlns:a16="http://schemas.microsoft.com/office/drawing/2014/main" id="{A53F5F6A-9897-2C1C-8648-76745A3C33A4}"/>
            </a:ext>
          </a:extLst>
        </xdr:cNvPr>
        <xdr:cNvSpPr txBox="1"/>
      </xdr:nvSpPr>
      <xdr:spPr>
        <a:xfrm>
          <a:off x="5607050" y="558800"/>
          <a:ext cx="104394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49B314F6-F231-46AD-A27B-4C3612AC0738}" type="TxLink">
            <a:rPr lang="en-US" sz="1100" b="0" i="0" u="none" strike="noStrike">
              <a:solidFill>
                <a:srgbClr val="000000"/>
              </a:solidFill>
              <a:latin typeface="Arial" panose="020B0604020202020204" pitchFamily="34" charset="0"/>
            </a:rPr>
            <a:pPr algn="l"/>
            <a:t>The Progressive Corporation</a:t>
          </a:fld>
          <a:endParaRPr lang="en-US" sz="1100" b="0">
            <a:latin typeface="Arial" panose="020B0604020202020204" pitchFamily="34" charset="0"/>
          </a:endParaRPr>
        </a:p>
      </xdr:txBody>
    </xdr:sp>
    <xdr:clientData/>
  </xdr:twoCellAnchor>
  <xdr:twoCellAnchor editAs="absolute">
    <xdr:from>
      <xdr:col>8</xdr:col>
      <xdr:colOff>152400</xdr:colOff>
      <xdr:row>4</xdr:row>
      <xdr:rowOff>12700</xdr:rowOff>
    </xdr:from>
    <xdr:to>
      <xdr:col>25</xdr:col>
      <xdr:colOff>228600</xdr:colOff>
      <xdr:row>5</xdr:row>
      <xdr:rowOff>19050</xdr:rowOff>
    </xdr:to>
    <xdr:sp macro="" textlink="'C11A'!$B$7">
      <xdr:nvSpPr>
        <xdr:cNvPr id="47" name="title_C11A_subject">
          <a:extLst>
            <a:ext uri="{FF2B5EF4-FFF2-40B4-BE49-F238E27FC236}">
              <a16:creationId xmlns:a16="http://schemas.microsoft.com/office/drawing/2014/main" id="{C6219F9B-C60B-D4F8-FA2C-AA16A7E0A02A}"/>
            </a:ext>
          </a:extLst>
        </xdr:cNvPr>
        <xdr:cNvSpPr txBox="1"/>
      </xdr:nvSpPr>
      <xdr:spPr>
        <a:xfrm>
          <a:off x="5607050" y="749300"/>
          <a:ext cx="104394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FEC1834D-753D-4E29-8CA0-01DD66F7F537}" type="TxLink">
            <a:rPr lang="en-US" sz="1100" b="1" i="0" u="none" strike="noStrike">
              <a:solidFill>
                <a:srgbClr val="808080"/>
              </a:solidFill>
              <a:latin typeface="Arial" panose="020B0604020202020204" pitchFamily="34" charset="0"/>
            </a:rPr>
            <a:pPr algn="l"/>
            <a:t>Return on equity in %</a:t>
          </a:fld>
          <a:endParaRPr lang="en-US" sz="1100" b="1">
            <a:latin typeface="Arial" panose="020B0604020202020204" pitchFamily="34" charset="0"/>
          </a:endParaRPr>
        </a:p>
      </xdr:txBody>
    </xdr:sp>
    <xdr:clientData/>
  </xdr:twoCellAnchor>
  <xdr:twoCellAnchor editAs="absolute">
    <xdr:from>
      <xdr:col>8</xdr:col>
      <xdr:colOff>152400</xdr:colOff>
      <xdr:row>5</xdr:row>
      <xdr:rowOff>19050</xdr:rowOff>
    </xdr:from>
    <xdr:to>
      <xdr:col>25</xdr:col>
      <xdr:colOff>228600</xdr:colOff>
      <xdr:row>5</xdr:row>
      <xdr:rowOff>209550</xdr:rowOff>
    </xdr:to>
    <xdr:sp macro="" textlink="'C11A'!$B$4">
      <xdr:nvSpPr>
        <xdr:cNvPr id="48" name="title_C11A_period">
          <a:extLst>
            <a:ext uri="{FF2B5EF4-FFF2-40B4-BE49-F238E27FC236}">
              <a16:creationId xmlns:a16="http://schemas.microsoft.com/office/drawing/2014/main" id="{69AF10B8-9806-9CF2-57B2-D0AD093F0053}"/>
            </a:ext>
          </a:extLst>
        </xdr:cNvPr>
        <xdr:cNvSpPr txBox="1"/>
      </xdr:nvSpPr>
      <xdr:spPr>
        <a:xfrm>
          <a:off x="5607050" y="939800"/>
          <a:ext cx="104394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2EFE519F-39B0-4500-96AC-30E33E61B22C}" type="TxLink">
            <a:rPr lang="en-US" sz="1100" b="0" i="0" u="none" strike="noStrike">
              <a:solidFill>
                <a:srgbClr val="000000"/>
              </a:solidFill>
              <a:latin typeface="Arial" panose="020B0604020202020204" pitchFamily="34" charset="0"/>
            </a:rPr>
            <a:pPr algn="l"/>
            <a:t>2019..2025</a:t>
          </a:fld>
          <a:endParaRPr lang="en-US" sz="1100" b="0">
            <a:latin typeface="Arial" panose="020B0604020202020204" pitchFamily="34" charset="0"/>
          </a:endParaRPr>
        </a:p>
      </xdr:txBody>
    </xdr:sp>
    <xdr:clientData/>
  </xdr:twoCellAnchor>
  <xdr:twoCellAnchor editAs="absolute">
    <xdr:from>
      <xdr:col>8</xdr:col>
      <xdr:colOff>152400</xdr:colOff>
      <xdr:row>5</xdr:row>
      <xdr:rowOff>209550</xdr:rowOff>
    </xdr:from>
    <xdr:to>
      <xdr:col>25</xdr:col>
      <xdr:colOff>228600</xdr:colOff>
      <xdr:row>5</xdr:row>
      <xdr:rowOff>539750</xdr:rowOff>
    </xdr:to>
    <xdr:sp macro="" textlink="'C11A'!$B$6">
      <xdr:nvSpPr>
        <xdr:cNvPr id="49" name="title_C11A_message">
          <a:extLst>
            <a:ext uri="{FF2B5EF4-FFF2-40B4-BE49-F238E27FC236}">
              <a16:creationId xmlns:a16="http://schemas.microsoft.com/office/drawing/2014/main" id="{47EBDBD2-126E-F39C-F7BD-3C70B7FCAC98}"/>
            </a:ext>
          </a:extLst>
        </xdr:cNvPr>
        <xdr:cNvSpPr txBox="1"/>
      </xdr:nvSpPr>
      <xdr:spPr>
        <a:xfrm>
          <a:off x="5607050" y="1130300"/>
          <a:ext cx="104394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36F2C432-BA6E-480F-9742-4F02D1C9965A}" type="TxLink">
            <a:rPr lang="en-US" sz="1000" b="0" i="0" u="none" strike="noStrike">
              <a:solidFill>
                <a:srgbClr val="000000"/>
              </a:solidFill>
              <a:latin typeface="Arial" panose="020B0604020202020204" pitchFamily="34" charset="0"/>
            </a:rPr>
            <a:pPr algn="l"/>
            <a:t>Return on equity moved from 24.1% to 33.9% between 2019 and 2025, and the tree says which half did it: premium to equity barely moved (2.65 to 2.69) while the underwriting margin went from 9.1% to 12.6%</a:t>
          </a:fld>
          <a:endParaRPr lang="en-US" sz="1000" b="0">
            <a:latin typeface="Arial" panose="020B0604020202020204"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47</xdr:col>
      <xdr:colOff>228600</xdr:colOff>
      <xdr:row>0</xdr:row>
      <xdr:rowOff>127000</xdr:rowOff>
    </xdr:from>
    <xdr:to>
      <xdr:col>55</xdr:col>
      <xdr:colOff>457200</xdr:colOff>
      <xdr:row>1</xdr:row>
      <xdr:rowOff>127000</xdr:rowOff>
    </xdr:to>
    <xdr:sp macro="" textlink="'C12A'!$B$1">
      <xdr:nvSpPr>
        <xdr:cNvPr id="2" name="title_C12A_entity">
          <a:extLst>
            <a:ext uri="{FF2B5EF4-FFF2-40B4-BE49-F238E27FC236}">
              <a16:creationId xmlns:a16="http://schemas.microsoft.com/office/drawing/2014/main" id="{B0857F0A-5180-50D5-F32B-06951E47F1F5}"/>
            </a:ext>
          </a:extLst>
        </xdr:cNvPr>
        <xdr:cNvSpPr txBox="1"/>
      </xdr:nvSpPr>
      <xdr:spPr>
        <a:xfrm>
          <a:off x="14954250" y="127000"/>
          <a:ext cx="51054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43B35211-CD83-41B1-B287-536C08F6698D}" type="TxLink">
            <a:rPr lang="en-US" sz="1100" b="0" i="0" u="none" strike="noStrike">
              <a:solidFill>
                <a:srgbClr val="000000"/>
              </a:solidFill>
              <a:latin typeface="Arial" panose="020B0604020202020204" pitchFamily="34" charset="0"/>
            </a:rPr>
            <a:pPr algn="l"/>
            <a:t>The Progressive Corporation</a:t>
          </a:fld>
          <a:endParaRPr lang="en-US" sz="1100" b="0">
            <a:latin typeface="Arial" panose="020B0604020202020204" pitchFamily="34" charset="0"/>
          </a:endParaRPr>
        </a:p>
      </xdr:txBody>
    </xdr:sp>
    <xdr:clientData/>
  </xdr:twoCellAnchor>
  <xdr:twoCellAnchor editAs="absolute">
    <xdr:from>
      <xdr:col>47</xdr:col>
      <xdr:colOff>228600</xdr:colOff>
      <xdr:row>1</xdr:row>
      <xdr:rowOff>127000</xdr:rowOff>
    </xdr:from>
    <xdr:to>
      <xdr:col>55</xdr:col>
      <xdr:colOff>457200</xdr:colOff>
      <xdr:row>2</xdr:row>
      <xdr:rowOff>127000</xdr:rowOff>
    </xdr:to>
    <xdr:sp macro="" textlink="'C12A'!$B$7">
      <xdr:nvSpPr>
        <xdr:cNvPr id="3" name="title_C12A_subject">
          <a:extLst>
            <a:ext uri="{FF2B5EF4-FFF2-40B4-BE49-F238E27FC236}">
              <a16:creationId xmlns:a16="http://schemas.microsoft.com/office/drawing/2014/main" id="{78DFF1F7-B07C-AA07-109C-40CE4AFCA055}"/>
            </a:ext>
          </a:extLst>
        </xdr:cNvPr>
        <xdr:cNvSpPr txBox="1"/>
      </xdr:nvSpPr>
      <xdr:spPr>
        <a:xfrm>
          <a:off x="14954250" y="317500"/>
          <a:ext cx="51054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6234FF44-DDED-45B1-BA54-511CBC5E0E2C}" type="TxLink">
            <a:rPr lang="en-US" sz="1100" b="1" i="0" u="none" strike="noStrike">
              <a:solidFill>
                <a:srgbClr val="000000"/>
              </a:solidFill>
              <a:latin typeface="Arial" panose="020B0604020202020204" pitchFamily="34" charset="0"/>
            </a:rPr>
            <a:pPr algn="l"/>
            <a:t>Profit and loss statement in $m</a:t>
          </a:fld>
          <a:endParaRPr lang="en-US" sz="1100" b="1">
            <a:latin typeface="Arial" panose="020B0604020202020204" pitchFamily="34" charset="0"/>
          </a:endParaRPr>
        </a:p>
      </xdr:txBody>
    </xdr:sp>
    <xdr:clientData/>
  </xdr:twoCellAnchor>
  <xdr:twoCellAnchor editAs="absolute">
    <xdr:from>
      <xdr:col>47</xdr:col>
      <xdr:colOff>228600</xdr:colOff>
      <xdr:row>2</xdr:row>
      <xdr:rowOff>127000</xdr:rowOff>
    </xdr:from>
    <xdr:to>
      <xdr:col>55</xdr:col>
      <xdr:colOff>457200</xdr:colOff>
      <xdr:row>3</xdr:row>
      <xdr:rowOff>127000</xdr:rowOff>
    </xdr:to>
    <xdr:sp macro="" textlink="'C12A'!$B$4">
      <xdr:nvSpPr>
        <xdr:cNvPr id="4" name="title_C12A_period">
          <a:extLst>
            <a:ext uri="{FF2B5EF4-FFF2-40B4-BE49-F238E27FC236}">
              <a16:creationId xmlns:a16="http://schemas.microsoft.com/office/drawing/2014/main" id="{91731E1E-D7FC-029F-EB82-EB56A9AA549B}"/>
            </a:ext>
          </a:extLst>
        </xdr:cNvPr>
        <xdr:cNvSpPr txBox="1"/>
      </xdr:nvSpPr>
      <xdr:spPr>
        <a:xfrm>
          <a:off x="14954250" y="508000"/>
          <a:ext cx="51054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0F84CF1E-6F7D-46A1-BD15-FA4392CE31FA}" type="TxLink">
            <a:rPr lang="en-US" sz="1100" b="0" i="0" u="none" strike="noStrike">
              <a:solidFill>
                <a:srgbClr val="000000"/>
              </a:solidFill>
              <a:latin typeface="Arial" panose="020B0604020202020204" pitchFamily="34" charset="0"/>
            </a:rPr>
            <a:pPr algn="l"/>
            <a:t>AC 2023, PY and ΔPY</a:t>
          </a:fld>
          <a:endParaRPr lang="en-US" sz="1100" b="0">
            <a:latin typeface="Arial" panose="020B0604020202020204" pitchFamily="34" charset="0"/>
          </a:endParaRPr>
        </a:p>
      </xdr:txBody>
    </xdr:sp>
    <xdr:clientData/>
  </xdr:twoCellAnchor>
  <xdr:twoCellAnchor editAs="absolute">
    <xdr:from>
      <xdr:col>47</xdr:col>
      <xdr:colOff>228600</xdr:colOff>
      <xdr:row>3</xdr:row>
      <xdr:rowOff>127000</xdr:rowOff>
    </xdr:from>
    <xdr:to>
      <xdr:col>55</xdr:col>
      <xdr:colOff>457200</xdr:colOff>
      <xdr:row>5</xdr:row>
      <xdr:rowOff>76200</xdr:rowOff>
    </xdr:to>
    <xdr:sp macro="" textlink="'C12A'!$B$6">
      <xdr:nvSpPr>
        <xdr:cNvPr id="5" name="title_C12A_message">
          <a:extLst>
            <a:ext uri="{FF2B5EF4-FFF2-40B4-BE49-F238E27FC236}">
              <a16:creationId xmlns:a16="http://schemas.microsoft.com/office/drawing/2014/main" id="{B9952AA4-A9FF-EE85-10E2-AB08373C4E22}"/>
            </a:ext>
          </a:extLst>
        </xdr:cNvPr>
        <xdr:cNvSpPr txBox="1"/>
      </xdr:nvSpPr>
      <xdr:spPr>
        <a:xfrm>
          <a:off x="14954250" y="698500"/>
          <a:ext cx="51054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AF8498AA-7DAD-4754-937B-CA216FB3D3FE}" type="TxLink">
            <a:rPr lang="en-US" sz="1000" b="0" i="0" u="none" strike="noStrike">
              <a:solidFill>
                <a:srgbClr val="000000"/>
              </a:solidFill>
              <a:latin typeface="Arial" panose="020B0604020202020204" pitchFamily="34" charset="0"/>
            </a:rPr>
            <a:pPr algn="l"/>
            <a:t>Net income rose from 722 to 3,903 $m, +441%, as an underwriting result that had nearly vanished in 2022 recovered; 3 lines move too far to be drawn to scale and carry the overflow marks</a:t>
          </a:fld>
          <a:endParaRPr lang="en-US" sz="1000" b="0">
            <a:latin typeface="Arial" panose="020B0604020202020204" pitchFamily="34" charset="0"/>
          </a:endParaRPr>
        </a:p>
      </xdr:txBody>
    </xdr:sp>
    <xdr:clientData/>
  </xdr:twoCellAnchor>
  <xdr:twoCellAnchor editAs="absolute">
    <xdr:from>
      <xdr:col>47</xdr:col>
      <xdr:colOff>228600</xdr:colOff>
      <xdr:row>5</xdr:row>
      <xdr:rowOff>139700</xdr:rowOff>
    </xdr:from>
    <xdr:to>
      <xdr:col>55</xdr:col>
      <xdr:colOff>431800</xdr:colOff>
      <xdr:row>32</xdr:row>
      <xdr:rowOff>44450</xdr:rowOff>
    </xdr:to>
    <xdr:graphicFrame macro="">
      <xdr:nvGraphicFramePr>
        <xdr:cNvPr id="6" name="tier_wf_py">
          <a:extLst>
            <a:ext uri="{FF2B5EF4-FFF2-40B4-BE49-F238E27FC236}">
              <a16:creationId xmlns:a16="http://schemas.microsoft.com/office/drawing/2014/main" id="{D85BDE85-EF3F-C04C-3AE1-6F286C9B9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55</xdr:col>
      <xdr:colOff>558800</xdr:colOff>
      <xdr:row>5</xdr:row>
      <xdr:rowOff>139700</xdr:rowOff>
    </xdr:from>
    <xdr:to>
      <xdr:col>62</xdr:col>
      <xdr:colOff>101600</xdr:colOff>
      <xdr:row>32</xdr:row>
      <xdr:rowOff>44450</xdr:rowOff>
    </xdr:to>
    <xdr:graphicFrame macro="">
      <xdr:nvGraphicFramePr>
        <xdr:cNvPr id="7" name="tier_wf_ac">
          <a:extLst>
            <a:ext uri="{FF2B5EF4-FFF2-40B4-BE49-F238E27FC236}">
              <a16:creationId xmlns:a16="http://schemas.microsoft.com/office/drawing/2014/main" id="{EFECD604-FCAF-A3D7-6129-E09BB150F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62</xdr:col>
      <xdr:colOff>228600</xdr:colOff>
      <xdr:row>5</xdr:row>
      <xdr:rowOff>139700</xdr:rowOff>
    </xdr:from>
    <xdr:to>
      <xdr:col>66</xdr:col>
      <xdr:colOff>12700</xdr:colOff>
      <xdr:row>32</xdr:row>
      <xdr:rowOff>44450</xdr:rowOff>
    </xdr:to>
    <xdr:graphicFrame macro="">
      <xdr:nvGraphicFramePr>
        <xdr:cNvPr id="8" name="tier_var_abs">
          <a:extLst>
            <a:ext uri="{FF2B5EF4-FFF2-40B4-BE49-F238E27FC236}">
              <a16:creationId xmlns:a16="http://schemas.microsoft.com/office/drawing/2014/main" id="{B49BDB60-BCB3-6D3B-3BBF-EA6B249BB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66</xdr:col>
      <xdr:colOff>139700</xdr:colOff>
      <xdr:row>5</xdr:row>
      <xdr:rowOff>139700</xdr:rowOff>
    </xdr:from>
    <xdr:to>
      <xdr:col>70</xdr:col>
      <xdr:colOff>241300</xdr:colOff>
      <xdr:row>32</xdr:row>
      <xdr:rowOff>44450</xdr:rowOff>
    </xdr:to>
    <xdr:graphicFrame macro="">
      <xdr:nvGraphicFramePr>
        <xdr:cNvPr id="9" name="tier_var_rel">
          <a:extLst>
            <a:ext uri="{FF2B5EF4-FFF2-40B4-BE49-F238E27FC236}">
              <a16:creationId xmlns:a16="http://schemas.microsoft.com/office/drawing/2014/main" id="{202AC6EC-B500-D576-3783-9E71F1300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63</xdr:col>
      <xdr:colOff>117475</xdr:colOff>
      <xdr:row>5</xdr:row>
      <xdr:rowOff>152400</xdr:rowOff>
    </xdr:from>
    <xdr:to>
      <xdr:col>65</xdr:col>
      <xdr:colOff>304800</xdr:colOff>
      <xdr:row>6</xdr:row>
      <xdr:rowOff>95250</xdr:rowOff>
    </xdr:to>
    <xdr:sp macro="" textlink="'C12A'!$B$9">
      <xdr:nvSpPr>
        <xdr:cNvPr id="10" name="caption_var_abs">
          <a:extLst>
            <a:ext uri="{FF2B5EF4-FFF2-40B4-BE49-F238E27FC236}">
              <a16:creationId xmlns:a16="http://schemas.microsoft.com/office/drawing/2014/main" id="{5C696BD4-1719-3A3D-A419-8807B22361FB}"/>
            </a:ext>
          </a:extLst>
        </xdr:cNvPr>
        <xdr:cNvSpPr txBox="1"/>
      </xdr:nvSpPr>
      <xdr:spPr>
        <a:xfrm>
          <a:off x="24596725" y="1104900"/>
          <a:ext cx="1406525"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lstStyle/>
        <a:p>
          <a:pPr algn="l"/>
          <a:fld id="{7B33D2D8-5596-4001-9728-AC63210481B3}" type="TxLink">
            <a:rPr lang="el-GR" sz="900" b="0" i="0" u="none" strike="noStrike">
              <a:solidFill>
                <a:srgbClr val="808080"/>
              </a:solidFill>
              <a:latin typeface="Arial" panose="020B0604020202020204" pitchFamily="34" charset="0"/>
            </a:rPr>
            <a:pPr algn="l"/>
            <a:t>ΔPY $m</a:t>
          </a:fld>
          <a:endParaRPr lang="en-US" sz="900" b="0">
            <a:latin typeface="Arial" panose="020B0604020202020204" pitchFamily="34" charset="0"/>
          </a:endParaRPr>
        </a:p>
      </xdr:txBody>
    </xdr:sp>
    <xdr:clientData/>
  </xdr:twoCellAnchor>
  <xdr:twoCellAnchor editAs="absolute">
    <xdr:from>
      <xdr:col>67</xdr:col>
      <xdr:colOff>44450</xdr:colOff>
      <xdr:row>5</xdr:row>
      <xdr:rowOff>152400</xdr:rowOff>
    </xdr:from>
    <xdr:to>
      <xdr:col>69</xdr:col>
      <xdr:colOff>469900</xdr:colOff>
      <xdr:row>6</xdr:row>
      <xdr:rowOff>95250</xdr:rowOff>
    </xdr:to>
    <xdr:sp macro="" textlink="'C12A'!$B$10">
      <xdr:nvSpPr>
        <xdr:cNvPr id="11" name="caption_var_rel">
          <a:extLst>
            <a:ext uri="{FF2B5EF4-FFF2-40B4-BE49-F238E27FC236}">
              <a16:creationId xmlns:a16="http://schemas.microsoft.com/office/drawing/2014/main" id="{75426CB0-EAE7-806C-B325-5D16B5F3187A}"/>
            </a:ext>
          </a:extLst>
        </xdr:cNvPr>
        <xdr:cNvSpPr txBox="1"/>
      </xdr:nvSpPr>
      <xdr:spPr>
        <a:xfrm>
          <a:off x="26962100" y="1104900"/>
          <a:ext cx="1644650"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lstStyle/>
        <a:p>
          <a:pPr algn="l"/>
          <a:fld id="{74BCD7F7-14D4-4B39-AA47-9B0F2BDB6497}" type="TxLink">
            <a:rPr lang="el-GR" sz="900" b="0" i="0" u="none" strike="noStrike">
              <a:solidFill>
                <a:srgbClr val="808080"/>
              </a:solidFill>
              <a:latin typeface="Arial" panose="020B0604020202020204" pitchFamily="34" charset="0"/>
            </a:rPr>
            <a:pPr algn="l"/>
            <a:t>ΔPY%</a:t>
          </a:fld>
          <a:endParaRPr lang="en-US" sz="900" b="0">
            <a:latin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112</xdr:row>
      <xdr:rowOff>165100</xdr:rowOff>
    </xdr:from>
    <xdr:to>
      <xdr:col>13</xdr:col>
      <xdr:colOff>527050</xdr:colOff>
      <xdr:row>147</xdr:row>
      <xdr:rowOff>69850</xdr:rowOff>
    </xdr:to>
    <xdr:graphicFrame macro="">
      <xdr:nvGraphicFramePr>
        <xdr:cNvPr id="2" name="panel_grid">
          <a:extLst>
            <a:ext uri="{FF2B5EF4-FFF2-40B4-BE49-F238E27FC236}">
              <a16:creationId xmlns:a16="http://schemas.microsoft.com/office/drawing/2014/main" id="{67DE8A21-3C54-6B7B-CDFA-E78D5A4DF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0</xdr:colOff>
      <xdr:row>108</xdr:row>
      <xdr:rowOff>0</xdr:rowOff>
    </xdr:from>
    <xdr:to>
      <xdr:col>13</xdr:col>
      <xdr:colOff>527050</xdr:colOff>
      <xdr:row>109</xdr:row>
      <xdr:rowOff>6350</xdr:rowOff>
    </xdr:to>
    <xdr:sp macro="" textlink="'C13D'!$B$1">
      <xdr:nvSpPr>
        <xdr:cNvPr id="3" name="title_C13D_entity">
          <a:extLst>
            <a:ext uri="{FF2B5EF4-FFF2-40B4-BE49-F238E27FC236}">
              <a16:creationId xmlns:a16="http://schemas.microsoft.com/office/drawing/2014/main" id="{3F0D2C92-FE8D-4639-07D6-641BBE6EB26E}"/>
            </a:ext>
          </a:extLst>
        </xdr:cNvPr>
        <xdr:cNvSpPr txBox="1"/>
      </xdr:nvSpPr>
      <xdr:spPr>
        <a:xfrm>
          <a:off x="0" y="20008850"/>
          <a:ext cx="9144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53F8440B-8F46-4E7D-AF18-E6F0A5AB056A}" type="TxLink">
            <a:rPr lang="en-US" sz="1100" b="0" i="0" u="none" strike="noStrike">
              <a:solidFill>
                <a:srgbClr val="000000"/>
              </a:solidFill>
              <a:latin typeface="Arial" panose="020B0604020202020204" pitchFamily="34" charset="0"/>
            </a:rPr>
            <a:pPr algn="l"/>
            <a:t>The Progressive Corporation</a:t>
          </a:fld>
          <a:endParaRPr lang="en-US" sz="1100" b="0">
            <a:latin typeface="Arial" panose="020B0604020202020204" pitchFamily="34" charset="0"/>
          </a:endParaRPr>
        </a:p>
      </xdr:txBody>
    </xdr:sp>
    <xdr:clientData/>
  </xdr:twoCellAnchor>
  <xdr:twoCellAnchor editAs="absolute">
    <xdr:from>
      <xdr:col>0</xdr:col>
      <xdr:colOff>0</xdr:colOff>
      <xdr:row>109</xdr:row>
      <xdr:rowOff>6350</xdr:rowOff>
    </xdr:from>
    <xdr:to>
      <xdr:col>13</xdr:col>
      <xdr:colOff>527050</xdr:colOff>
      <xdr:row>110</xdr:row>
      <xdr:rowOff>12700</xdr:rowOff>
    </xdr:to>
    <xdr:sp macro="" textlink="'C13D'!$B$7">
      <xdr:nvSpPr>
        <xdr:cNvPr id="4" name="title_C13D_subject">
          <a:extLst>
            <a:ext uri="{FF2B5EF4-FFF2-40B4-BE49-F238E27FC236}">
              <a16:creationId xmlns:a16="http://schemas.microsoft.com/office/drawing/2014/main" id="{2E3E8222-6EB5-ED26-EFE9-1C9C5F60C893}"/>
            </a:ext>
          </a:extLst>
        </xdr:cNvPr>
        <xdr:cNvSpPr txBox="1"/>
      </xdr:nvSpPr>
      <xdr:spPr>
        <a:xfrm>
          <a:off x="0" y="20199350"/>
          <a:ext cx="9144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878E31AB-71D9-4917-882D-FC2EF0BBC436}" type="TxLink">
            <a:rPr lang="en-US" sz="1100" b="1" i="0" u="none" strike="noStrike">
              <a:solidFill>
                <a:srgbClr val="808080"/>
              </a:solidFill>
              <a:latin typeface="Arial" panose="020B0604020202020204" pitchFamily="34" charset="0"/>
            </a:rPr>
            <a:pPr algn="l"/>
            <a:t>Net premiums written in $m, relative variance in % from the monthly average</a:t>
          </a:fld>
          <a:endParaRPr lang="en-US" sz="1100" b="1">
            <a:latin typeface="Arial" panose="020B0604020202020204" pitchFamily="34" charset="0"/>
          </a:endParaRPr>
        </a:p>
      </xdr:txBody>
    </xdr:sp>
    <xdr:clientData/>
  </xdr:twoCellAnchor>
  <xdr:twoCellAnchor editAs="absolute">
    <xdr:from>
      <xdr:col>0</xdr:col>
      <xdr:colOff>0</xdr:colOff>
      <xdr:row>110</xdr:row>
      <xdr:rowOff>12700</xdr:rowOff>
    </xdr:from>
    <xdr:to>
      <xdr:col>13</xdr:col>
      <xdr:colOff>527050</xdr:colOff>
      <xdr:row>111</xdr:row>
      <xdr:rowOff>19050</xdr:rowOff>
    </xdr:to>
    <xdr:sp macro="" textlink="'C13D'!$B$4">
      <xdr:nvSpPr>
        <xdr:cNvPr id="5" name="title_C13D_period">
          <a:extLst>
            <a:ext uri="{FF2B5EF4-FFF2-40B4-BE49-F238E27FC236}">
              <a16:creationId xmlns:a16="http://schemas.microsoft.com/office/drawing/2014/main" id="{44D3D5E2-30E1-9B02-7314-D0C6F1613684}"/>
            </a:ext>
          </a:extLst>
        </xdr:cNvPr>
        <xdr:cNvSpPr txBox="1"/>
      </xdr:nvSpPr>
      <xdr:spPr>
        <a:xfrm>
          <a:off x="0" y="20389850"/>
          <a:ext cx="9144000" cy="190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C5F77CE9-A0C6-43CB-810E-64FD07F7B6C9}" type="TxLink">
            <a:rPr lang="en-US" sz="1100" b="0" i="0" u="none" strike="noStrike">
              <a:solidFill>
                <a:srgbClr val="000000"/>
              </a:solidFill>
              <a:latin typeface="Arial" panose="020B0604020202020204" pitchFamily="34" charset="0"/>
            </a:rPr>
            <a:pPr algn="l"/>
            <a:t>2011..2025</a:t>
          </a:fld>
          <a:endParaRPr lang="en-US" sz="1100" b="0">
            <a:latin typeface="Arial" panose="020B0604020202020204" pitchFamily="34" charset="0"/>
          </a:endParaRPr>
        </a:p>
      </xdr:txBody>
    </xdr:sp>
    <xdr:clientData/>
  </xdr:twoCellAnchor>
  <xdr:twoCellAnchor editAs="absolute">
    <xdr:from>
      <xdr:col>0</xdr:col>
      <xdr:colOff>0</xdr:colOff>
      <xdr:row>111</xdr:row>
      <xdr:rowOff>19050</xdr:rowOff>
    </xdr:from>
    <xdr:to>
      <xdr:col>13</xdr:col>
      <xdr:colOff>527050</xdr:colOff>
      <xdr:row>112</xdr:row>
      <xdr:rowOff>165100</xdr:rowOff>
    </xdr:to>
    <xdr:sp macro="" textlink="'C13D'!$B$6">
      <xdr:nvSpPr>
        <xdr:cNvPr id="6" name="title_C13D_message">
          <a:extLst>
            <a:ext uri="{FF2B5EF4-FFF2-40B4-BE49-F238E27FC236}">
              <a16:creationId xmlns:a16="http://schemas.microsoft.com/office/drawing/2014/main" id="{BEA835FA-C77F-1FD5-C4AB-1DFDF251293D}"/>
            </a:ext>
          </a:extLst>
        </xdr:cNvPr>
        <xdr:cNvSpPr txBox="1"/>
      </xdr:nvSpPr>
      <xdr:spPr>
        <a:xfrm>
          <a:off x="0" y="20580350"/>
          <a:ext cx="9144000" cy="3302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t"/>
        <a:lstStyle/>
        <a:p>
          <a:pPr algn="l"/>
          <a:fld id="{6FEBF77F-D9CE-4CCD-9961-D0BE24D6BDCB}" type="TxLink">
            <a:rPr lang="en-US" sz="1000" b="0" i="0" u="none" strike="noStrike">
              <a:solidFill>
                <a:srgbClr val="000000"/>
              </a:solidFill>
              <a:latin typeface="Arial" panose="020B0604020202020204" pitchFamily="34" charset="0"/>
            </a:rPr>
            <a:pPr algn="l"/>
            <a:t>Every month of 2025 sits above the fifteen-year average, Mar by +179%; the book has grown 5.5x since 2011, so the grid reads as a climb from below the line to well above it</a:t>
          </a:fld>
          <a:endParaRPr lang="en-US" sz="1000" b="0">
            <a:latin typeface="Arial" panose="020B0604020202020204" pitchFamily="34" charset="0"/>
          </a:endParaRPr>
        </a:p>
      </xdr:txBody>
    </xdr:sp>
    <xdr:clientData/>
  </xdr:twoCellAnchor>
  <xdr:twoCellAnchor editAs="absolute">
    <xdr:from>
      <xdr:col>10</xdr:col>
      <xdr:colOff>195439</xdr:colOff>
      <xdr:row>139</xdr:row>
      <xdr:rowOff>4369</xdr:rowOff>
    </xdr:from>
    <xdr:to>
      <xdr:col>13</xdr:col>
      <xdr:colOff>336550</xdr:colOff>
      <xdr:row>145</xdr:row>
      <xdr:rowOff>117200</xdr:rowOff>
    </xdr:to>
    <xdr:graphicFrame macro="">
      <xdr:nvGraphicFramePr>
        <xdr:cNvPr id="7" name="reference_panel">
          <a:extLst>
            <a:ext uri="{FF2B5EF4-FFF2-40B4-BE49-F238E27FC236}">
              <a16:creationId xmlns:a16="http://schemas.microsoft.com/office/drawing/2014/main" id="{D70ABD18-19C5-8EDB-2F8C-FBFE18780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10</xdr:col>
      <xdr:colOff>246239</xdr:colOff>
      <xdr:row>139</xdr:row>
      <xdr:rowOff>17069</xdr:rowOff>
    </xdr:from>
    <xdr:to>
      <xdr:col>13</xdr:col>
      <xdr:colOff>285750</xdr:colOff>
      <xdr:row>139</xdr:row>
      <xdr:rowOff>169469</xdr:rowOff>
    </xdr:to>
    <xdr:sp macro="" textlink="">
      <xdr:nvSpPr>
        <xdr:cNvPr id="8" name="reference_panel_title">
          <a:extLst>
            <a:ext uri="{FF2B5EF4-FFF2-40B4-BE49-F238E27FC236}">
              <a16:creationId xmlns:a16="http://schemas.microsoft.com/office/drawing/2014/main" id="{46DD8BEC-80C0-0903-2CFF-B817DD271DC3}"/>
            </a:ext>
          </a:extLst>
        </xdr:cNvPr>
        <xdr:cNvSpPr txBox="1"/>
      </xdr:nvSpPr>
      <xdr:spPr>
        <a:xfrm>
          <a:off x="7034389" y="25734569"/>
          <a:ext cx="1868311" cy="152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rIns="0" bIns="0" rtlCol="0" anchor="t"/>
        <a:lstStyle/>
        <a:p>
          <a:r>
            <a:rPr lang="en-US" sz="800">
              <a:latin typeface="Arial" panose="020B0604020202020204" pitchFamily="34" charset="0"/>
            </a:rPr>
            <a:t>average 15 years</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3</xdr:col>
      <xdr:colOff>11714</xdr:colOff>
      <xdr:row>14</xdr:row>
      <xdr:rowOff>6048</xdr:rowOff>
    </xdr:from>
    <xdr:to>
      <xdr:col>4</xdr:col>
      <xdr:colOff>56075</xdr:colOff>
      <xdr:row>21</xdr:row>
      <xdr:rowOff>53683</xdr:rowOff>
    </xdr:to>
    <xdr:graphicFrame macro="">
      <xdr:nvGraphicFramePr>
        <xdr:cNvPr id="2" name="panel_dpl_month">
          <a:extLst>
            <a:ext uri="{FF2B5EF4-FFF2-40B4-BE49-F238E27FC236}">
              <a16:creationId xmlns:a16="http://schemas.microsoft.com/office/drawing/2014/main" id="{B63A41B0-3C89-0982-024F-EC5C57FD6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30024</xdr:colOff>
      <xdr:row>14</xdr:row>
      <xdr:rowOff>2873</xdr:rowOff>
    </xdr:from>
    <xdr:to>
      <xdr:col>3</xdr:col>
      <xdr:colOff>30024</xdr:colOff>
      <xdr:row>21</xdr:row>
      <xdr:rowOff>2883</xdr:rowOff>
    </xdr:to>
    <xdr:cxnSp macro="">
      <xdr:nvCxnSpPr>
        <xdr:cNvPr id="3" name="zero_dpl_month_0">
          <a:extLst>
            <a:ext uri="{FF2B5EF4-FFF2-40B4-BE49-F238E27FC236}">
              <a16:creationId xmlns:a16="http://schemas.microsoft.com/office/drawing/2014/main" id="{DB0B9ECE-2A7A-D6B9-8F15-79D06F0ED68B}"/>
            </a:ext>
          </a:extLst>
        </xdr:cNvPr>
        <xdr:cNvCxnSpPr/>
      </xdr:nvCxnSpPr>
      <xdr:spPr>
        <a:xfrm>
          <a:off x="2182674" y="8130873"/>
          <a:ext cx="0" cy="133351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3</xdr:col>
      <xdr:colOff>68124</xdr:colOff>
      <xdr:row>14</xdr:row>
      <xdr:rowOff>2873</xdr:rowOff>
    </xdr:from>
    <xdr:to>
      <xdr:col>3</xdr:col>
      <xdr:colOff>68124</xdr:colOff>
      <xdr:row>21</xdr:row>
      <xdr:rowOff>2883</xdr:rowOff>
    </xdr:to>
    <xdr:cxnSp macro="">
      <xdr:nvCxnSpPr>
        <xdr:cNvPr id="4" name="zero_dpl_month_1">
          <a:extLst>
            <a:ext uri="{FF2B5EF4-FFF2-40B4-BE49-F238E27FC236}">
              <a16:creationId xmlns:a16="http://schemas.microsoft.com/office/drawing/2014/main" id="{D9006695-3553-0996-54A3-BAE15D8DE27E}"/>
            </a:ext>
          </a:extLst>
        </xdr:cNvPr>
        <xdr:cNvCxnSpPr/>
      </xdr:nvCxnSpPr>
      <xdr:spPr>
        <a:xfrm>
          <a:off x="2220774" y="8130873"/>
          <a:ext cx="0" cy="133351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6731</xdr:colOff>
      <xdr:row>14</xdr:row>
      <xdr:rowOff>6048</xdr:rowOff>
    </xdr:from>
    <xdr:to>
      <xdr:col>5</xdr:col>
      <xdr:colOff>53989</xdr:colOff>
      <xdr:row>21</xdr:row>
      <xdr:rowOff>53683</xdr:rowOff>
    </xdr:to>
    <xdr:graphicFrame macro="">
      <xdr:nvGraphicFramePr>
        <xdr:cNvPr id="5" name="panel_dplp_month">
          <a:extLst>
            <a:ext uri="{FF2B5EF4-FFF2-40B4-BE49-F238E27FC236}">
              <a16:creationId xmlns:a16="http://schemas.microsoft.com/office/drawing/2014/main" id="{0AA69CDD-150A-682B-E561-2B3A15963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4</xdr:col>
      <xdr:colOff>26308</xdr:colOff>
      <xdr:row>14</xdr:row>
      <xdr:rowOff>2873</xdr:rowOff>
    </xdr:from>
    <xdr:to>
      <xdr:col>4</xdr:col>
      <xdr:colOff>26308</xdr:colOff>
      <xdr:row>21</xdr:row>
      <xdr:rowOff>2883</xdr:rowOff>
    </xdr:to>
    <xdr:cxnSp macro="">
      <xdr:nvCxnSpPr>
        <xdr:cNvPr id="6" name="zero_dplp_month_0">
          <a:extLst>
            <a:ext uri="{FF2B5EF4-FFF2-40B4-BE49-F238E27FC236}">
              <a16:creationId xmlns:a16="http://schemas.microsoft.com/office/drawing/2014/main" id="{656010DA-A54A-395C-7A2E-DB39175463DE}"/>
            </a:ext>
          </a:extLst>
        </xdr:cNvPr>
        <xdr:cNvCxnSpPr/>
      </xdr:nvCxnSpPr>
      <xdr:spPr>
        <a:xfrm>
          <a:off x="2782208" y="8130873"/>
          <a:ext cx="0" cy="133351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4</xdr:col>
      <xdr:colOff>64408</xdr:colOff>
      <xdr:row>14</xdr:row>
      <xdr:rowOff>2873</xdr:rowOff>
    </xdr:from>
    <xdr:to>
      <xdr:col>4</xdr:col>
      <xdr:colOff>64408</xdr:colOff>
      <xdr:row>21</xdr:row>
      <xdr:rowOff>2883</xdr:rowOff>
    </xdr:to>
    <xdr:cxnSp macro="">
      <xdr:nvCxnSpPr>
        <xdr:cNvPr id="7" name="zero_dplp_month_1">
          <a:extLst>
            <a:ext uri="{FF2B5EF4-FFF2-40B4-BE49-F238E27FC236}">
              <a16:creationId xmlns:a16="http://schemas.microsoft.com/office/drawing/2014/main" id="{DC22282C-5C1D-B7A2-C69C-7053C5830F2F}"/>
            </a:ext>
          </a:extLst>
        </xdr:cNvPr>
        <xdr:cNvCxnSpPr/>
      </xdr:nvCxnSpPr>
      <xdr:spPr>
        <a:xfrm>
          <a:off x="2820308" y="8130873"/>
          <a:ext cx="0" cy="133351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6179</xdr:colOff>
      <xdr:row>14</xdr:row>
      <xdr:rowOff>6048</xdr:rowOff>
    </xdr:from>
    <xdr:to>
      <xdr:col>10</xdr:col>
      <xdr:colOff>53742</xdr:colOff>
      <xdr:row>21</xdr:row>
      <xdr:rowOff>53683</xdr:rowOff>
    </xdr:to>
    <xdr:graphicFrame macro="">
      <xdr:nvGraphicFramePr>
        <xdr:cNvPr id="8" name="panel_dpl_ytd">
          <a:extLst>
            <a:ext uri="{FF2B5EF4-FFF2-40B4-BE49-F238E27FC236}">
              <a16:creationId xmlns:a16="http://schemas.microsoft.com/office/drawing/2014/main" id="{66318BBD-B6D6-1BD1-80C1-E55966994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9</xdr:col>
      <xdr:colOff>36372</xdr:colOff>
      <xdr:row>14</xdr:row>
      <xdr:rowOff>2873</xdr:rowOff>
    </xdr:from>
    <xdr:to>
      <xdr:col>9</xdr:col>
      <xdr:colOff>36372</xdr:colOff>
      <xdr:row>21</xdr:row>
      <xdr:rowOff>2883</xdr:rowOff>
    </xdr:to>
    <xdr:cxnSp macro="">
      <xdr:nvCxnSpPr>
        <xdr:cNvPr id="9" name="zero_dpl_ytd_0">
          <a:extLst>
            <a:ext uri="{FF2B5EF4-FFF2-40B4-BE49-F238E27FC236}">
              <a16:creationId xmlns:a16="http://schemas.microsoft.com/office/drawing/2014/main" id="{1075C575-93D4-1BA7-1D2B-9C1DE14B714D}"/>
            </a:ext>
          </a:extLst>
        </xdr:cNvPr>
        <xdr:cNvCxnSpPr/>
      </xdr:nvCxnSpPr>
      <xdr:spPr>
        <a:xfrm>
          <a:off x="7357922" y="8130873"/>
          <a:ext cx="0" cy="133351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9</xdr:col>
      <xdr:colOff>74472</xdr:colOff>
      <xdr:row>14</xdr:row>
      <xdr:rowOff>2873</xdr:rowOff>
    </xdr:from>
    <xdr:to>
      <xdr:col>9</xdr:col>
      <xdr:colOff>74472</xdr:colOff>
      <xdr:row>21</xdr:row>
      <xdr:rowOff>2883</xdr:rowOff>
    </xdr:to>
    <xdr:cxnSp macro="">
      <xdr:nvCxnSpPr>
        <xdr:cNvPr id="10" name="zero_dpl_ytd_1">
          <a:extLst>
            <a:ext uri="{FF2B5EF4-FFF2-40B4-BE49-F238E27FC236}">
              <a16:creationId xmlns:a16="http://schemas.microsoft.com/office/drawing/2014/main" id="{40DDD751-08D2-096C-BD6F-88AD2F355807}"/>
            </a:ext>
          </a:extLst>
        </xdr:cNvPr>
        <xdr:cNvCxnSpPr/>
      </xdr:nvCxnSpPr>
      <xdr:spPr>
        <a:xfrm>
          <a:off x="7396022" y="8130873"/>
          <a:ext cx="0" cy="133351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6179</xdr:colOff>
      <xdr:row>14</xdr:row>
      <xdr:rowOff>6048</xdr:rowOff>
    </xdr:from>
    <xdr:to>
      <xdr:col>11</xdr:col>
      <xdr:colOff>53742</xdr:colOff>
      <xdr:row>21</xdr:row>
      <xdr:rowOff>53683</xdr:rowOff>
    </xdr:to>
    <xdr:graphicFrame macro="">
      <xdr:nvGraphicFramePr>
        <xdr:cNvPr id="11" name="panel_dplp_ytd">
          <a:extLst>
            <a:ext uri="{FF2B5EF4-FFF2-40B4-BE49-F238E27FC236}">
              <a16:creationId xmlns:a16="http://schemas.microsoft.com/office/drawing/2014/main" id="{02B9A189-49FD-338D-9298-6888736E9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10</xdr:col>
      <xdr:colOff>25874</xdr:colOff>
      <xdr:row>14</xdr:row>
      <xdr:rowOff>2873</xdr:rowOff>
    </xdr:from>
    <xdr:to>
      <xdr:col>10</xdr:col>
      <xdr:colOff>25874</xdr:colOff>
      <xdr:row>21</xdr:row>
      <xdr:rowOff>2883</xdr:rowOff>
    </xdr:to>
    <xdr:cxnSp macro="">
      <xdr:nvCxnSpPr>
        <xdr:cNvPr id="12" name="zero_dplp_ytd_0">
          <a:extLst>
            <a:ext uri="{FF2B5EF4-FFF2-40B4-BE49-F238E27FC236}">
              <a16:creationId xmlns:a16="http://schemas.microsoft.com/office/drawing/2014/main" id="{1227C430-7B82-98BB-C592-A9615505AFAF}"/>
            </a:ext>
          </a:extLst>
        </xdr:cNvPr>
        <xdr:cNvCxnSpPr/>
      </xdr:nvCxnSpPr>
      <xdr:spPr>
        <a:xfrm>
          <a:off x="8649174" y="8130873"/>
          <a:ext cx="0" cy="133351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10</xdr:col>
      <xdr:colOff>63974</xdr:colOff>
      <xdr:row>14</xdr:row>
      <xdr:rowOff>2873</xdr:rowOff>
    </xdr:from>
    <xdr:to>
      <xdr:col>10</xdr:col>
      <xdr:colOff>63974</xdr:colOff>
      <xdr:row>21</xdr:row>
      <xdr:rowOff>2883</xdr:rowOff>
    </xdr:to>
    <xdr:cxnSp macro="">
      <xdr:nvCxnSpPr>
        <xdr:cNvPr id="13" name="zero_dplp_ytd_1">
          <a:extLst>
            <a:ext uri="{FF2B5EF4-FFF2-40B4-BE49-F238E27FC236}">
              <a16:creationId xmlns:a16="http://schemas.microsoft.com/office/drawing/2014/main" id="{BAA49A92-A15D-5D91-C84D-ADDE340218BD}"/>
            </a:ext>
          </a:extLst>
        </xdr:cNvPr>
        <xdr:cNvCxnSpPr/>
      </xdr:nvCxnSpPr>
      <xdr:spPr>
        <a:xfrm>
          <a:off x="8687274" y="8130873"/>
          <a:ext cx="0" cy="1333510"/>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4</xdr:col>
      <xdr:colOff>6179</xdr:colOff>
      <xdr:row>14</xdr:row>
      <xdr:rowOff>5367</xdr:rowOff>
    </xdr:from>
    <xdr:to>
      <xdr:col>5</xdr:col>
      <xdr:colOff>53742</xdr:colOff>
      <xdr:row>22</xdr:row>
      <xdr:rowOff>53374</xdr:rowOff>
    </xdr:to>
    <xdr:graphicFrame macro="">
      <xdr:nvGraphicFramePr>
        <xdr:cNvPr id="2" name="panel_dpl">
          <a:extLst>
            <a:ext uri="{FF2B5EF4-FFF2-40B4-BE49-F238E27FC236}">
              <a16:creationId xmlns:a16="http://schemas.microsoft.com/office/drawing/2014/main" id="{60238890-DA68-65EE-2FD9-71AE8D976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634762</xdr:colOff>
      <xdr:row>14</xdr:row>
      <xdr:rowOff>2567</xdr:rowOff>
    </xdr:from>
    <xdr:to>
      <xdr:col>4</xdr:col>
      <xdr:colOff>634762</xdr:colOff>
      <xdr:row>22</xdr:row>
      <xdr:rowOff>2574</xdr:rowOff>
    </xdr:to>
    <xdr:cxnSp macro="">
      <xdr:nvCxnSpPr>
        <xdr:cNvPr id="3" name="zero_dpl_0">
          <a:extLst>
            <a:ext uri="{FF2B5EF4-FFF2-40B4-BE49-F238E27FC236}">
              <a16:creationId xmlns:a16="http://schemas.microsoft.com/office/drawing/2014/main" id="{2AFB3462-63DB-04C0-EDE4-6601548C6C4E}"/>
            </a:ext>
          </a:extLst>
        </xdr:cNvPr>
        <xdr:cNvCxnSpPr/>
      </xdr:nvCxnSpPr>
      <xdr:spPr>
        <a:xfrm>
          <a:off x="5397262" y="6841517"/>
          <a:ext cx="0" cy="1524007"/>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4</xdr:col>
      <xdr:colOff>672862</xdr:colOff>
      <xdr:row>14</xdr:row>
      <xdr:rowOff>2567</xdr:rowOff>
    </xdr:from>
    <xdr:to>
      <xdr:col>4</xdr:col>
      <xdr:colOff>672862</xdr:colOff>
      <xdr:row>22</xdr:row>
      <xdr:rowOff>2574</xdr:rowOff>
    </xdr:to>
    <xdr:cxnSp macro="">
      <xdr:nvCxnSpPr>
        <xdr:cNvPr id="4" name="zero_dpl_1">
          <a:extLst>
            <a:ext uri="{FF2B5EF4-FFF2-40B4-BE49-F238E27FC236}">
              <a16:creationId xmlns:a16="http://schemas.microsoft.com/office/drawing/2014/main" id="{F4AAF2B7-31C0-24C1-BC50-A7AD55934C65}"/>
            </a:ext>
          </a:extLst>
        </xdr:cNvPr>
        <xdr:cNvCxnSpPr/>
      </xdr:nvCxnSpPr>
      <xdr:spPr>
        <a:xfrm>
          <a:off x="5435362" y="6841517"/>
          <a:ext cx="0" cy="1524007"/>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6179</xdr:colOff>
      <xdr:row>14</xdr:row>
      <xdr:rowOff>5367</xdr:rowOff>
    </xdr:from>
    <xdr:to>
      <xdr:col>6</xdr:col>
      <xdr:colOff>53742</xdr:colOff>
      <xdr:row>22</xdr:row>
      <xdr:rowOff>53374</xdr:rowOff>
    </xdr:to>
    <xdr:graphicFrame macro="">
      <xdr:nvGraphicFramePr>
        <xdr:cNvPr id="5" name="panel_dplp">
          <a:extLst>
            <a:ext uri="{FF2B5EF4-FFF2-40B4-BE49-F238E27FC236}">
              <a16:creationId xmlns:a16="http://schemas.microsoft.com/office/drawing/2014/main" id="{B711B28E-B93D-87F3-E753-3EF954313D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xdr:col>
      <xdr:colOff>101040</xdr:colOff>
      <xdr:row>14</xdr:row>
      <xdr:rowOff>2567</xdr:rowOff>
    </xdr:from>
    <xdr:to>
      <xdr:col>5</xdr:col>
      <xdr:colOff>101040</xdr:colOff>
      <xdr:row>22</xdr:row>
      <xdr:rowOff>2574</xdr:rowOff>
    </xdr:to>
    <xdr:cxnSp macro="">
      <xdr:nvCxnSpPr>
        <xdr:cNvPr id="6" name="zero_dplp_0">
          <a:extLst>
            <a:ext uri="{FF2B5EF4-FFF2-40B4-BE49-F238E27FC236}">
              <a16:creationId xmlns:a16="http://schemas.microsoft.com/office/drawing/2014/main" id="{319BE7CC-246A-A948-741E-429474E0D1BF}"/>
            </a:ext>
          </a:extLst>
        </xdr:cNvPr>
        <xdr:cNvCxnSpPr/>
      </xdr:nvCxnSpPr>
      <xdr:spPr>
        <a:xfrm>
          <a:off x="6165290" y="6841517"/>
          <a:ext cx="0" cy="1524007"/>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5</xdr:col>
      <xdr:colOff>139140</xdr:colOff>
      <xdr:row>14</xdr:row>
      <xdr:rowOff>2567</xdr:rowOff>
    </xdr:from>
    <xdr:to>
      <xdr:col>5</xdr:col>
      <xdr:colOff>139140</xdr:colOff>
      <xdr:row>22</xdr:row>
      <xdr:rowOff>2574</xdr:rowOff>
    </xdr:to>
    <xdr:cxnSp macro="">
      <xdr:nvCxnSpPr>
        <xdr:cNvPr id="7" name="zero_dplp_1">
          <a:extLst>
            <a:ext uri="{FF2B5EF4-FFF2-40B4-BE49-F238E27FC236}">
              <a16:creationId xmlns:a16="http://schemas.microsoft.com/office/drawing/2014/main" id="{25BB2E03-7BD8-1081-7159-F2F4CE33B0FD}"/>
            </a:ext>
          </a:extLst>
        </xdr:cNvPr>
        <xdr:cNvCxnSpPr/>
      </xdr:nvCxnSpPr>
      <xdr:spPr>
        <a:xfrm>
          <a:off x="6203390" y="6841517"/>
          <a:ext cx="0" cy="1524007"/>
        </a:xfrm>
        <a:prstGeom prst="line">
          <a:avLst/>
        </a:prstGeom>
        <a:ln w="9525">
          <a:solidFill>
            <a:srgbClr val="000000"/>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DCAD1-A974-4ACB-9580-CBF4D9C3E57A}">
  <sheetPr>
    <pageSetUpPr fitToPage="1"/>
  </sheetPr>
  <dimension ref="A2:A22"/>
  <sheetViews>
    <sheetView showGridLines="0" tabSelected="1" workbookViewId="0"/>
  </sheetViews>
  <sheetFormatPr defaultRowHeight="14.5" x14ac:dyDescent="0.35"/>
  <cols>
    <col min="1" max="1" width="100.6328125" customWidth="1"/>
  </cols>
  <sheetData>
    <row r="2" spans="1:1" ht="22" customHeight="1" x14ac:dyDescent="0.45">
      <c r="A2" s="2" t="s">
        <v>0</v>
      </c>
    </row>
    <row r="3" spans="1:1" x14ac:dyDescent="0.35">
      <c r="A3" s="3"/>
    </row>
    <row r="4" spans="1:1" x14ac:dyDescent="0.35">
      <c r="A4" s="3" t="s">
        <v>1</v>
      </c>
    </row>
    <row r="5" spans="1:1" x14ac:dyDescent="0.35">
      <c r="A5" s="3"/>
    </row>
    <row r="6" spans="1:1" ht="43.5" x14ac:dyDescent="0.35">
      <c r="A6" s="3" t="s">
        <v>2</v>
      </c>
    </row>
    <row r="7" spans="1:1" x14ac:dyDescent="0.35">
      <c r="A7" s="3"/>
    </row>
    <row r="8" spans="1:1" ht="43.5" x14ac:dyDescent="0.35">
      <c r="A8" s="3" t="s">
        <v>3</v>
      </c>
    </row>
    <row r="9" spans="1:1" x14ac:dyDescent="0.35">
      <c r="A9" s="3"/>
    </row>
    <row r="10" spans="1:1" ht="58" x14ac:dyDescent="0.35">
      <c r="A10" s="3" t="s">
        <v>4</v>
      </c>
    </row>
    <row r="11" spans="1:1" x14ac:dyDescent="0.35">
      <c r="A11" s="3"/>
    </row>
    <row r="12" spans="1:1" ht="29" x14ac:dyDescent="0.35">
      <c r="A12" s="3" t="s">
        <v>5</v>
      </c>
    </row>
    <row r="13" spans="1:1" x14ac:dyDescent="0.35">
      <c r="A13" s="3"/>
    </row>
    <row r="14" spans="1:1" ht="26.5" x14ac:dyDescent="0.35">
      <c r="A14" s="4" t="s">
        <v>6</v>
      </c>
    </row>
    <row r="15" spans="1:1" x14ac:dyDescent="0.35">
      <c r="A15" s="3"/>
    </row>
    <row r="16" spans="1:1" ht="43.5" x14ac:dyDescent="0.35">
      <c r="A16" s="3" t="s">
        <v>7</v>
      </c>
    </row>
    <row r="17" spans="1:1" x14ac:dyDescent="0.35">
      <c r="A17" s="3"/>
    </row>
    <row r="18" spans="1:1" ht="65.5" x14ac:dyDescent="0.35">
      <c r="A18" s="4" t="s">
        <v>8</v>
      </c>
    </row>
    <row r="19" spans="1:1" x14ac:dyDescent="0.35">
      <c r="A19" s="3"/>
    </row>
    <row r="20" spans="1:1" ht="24.5" x14ac:dyDescent="0.35">
      <c r="A20" s="5" t="s">
        <v>9</v>
      </c>
    </row>
    <row r="21" spans="1:1" x14ac:dyDescent="0.35">
      <c r="A21" s="3"/>
    </row>
    <row r="22" spans="1:1" ht="24.5" x14ac:dyDescent="0.35">
      <c r="A22" s="5" t="s">
        <v>10</v>
      </c>
    </row>
  </sheetData>
  <pageMargins left="0.5" right="0.5" top="0.5" bottom="0.5" header="0.25" footer="0.25"/>
  <pageSetup scale="9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C150E-21BE-4DD7-A37E-53FB002DAF55}">
  <dimension ref="A1:D44"/>
  <sheetViews>
    <sheetView workbookViewId="0"/>
  </sheetViews>
  <sheetFormatPr defaultRowHeight="14.5" x14ac:dyDescent="0.35"/>
  <cols>
    <col min="1" max="1" width="10.6328125" customWidth="1"/>
    <col min="2" max="3" width="12.6328125" customWidth="1"/>
    <col min="4" max="4" width="96.6328125" style="11" customWidth="1"/>
  </cols>
  <sheetData>
    <row r="1" spans="1:4" ht="18.5" x14ac:dyDescent="0.45">
      <c r="A1" s="1" t="s">
        <v>11</v>
      </c>
    </row>
    <row r="3" spans="1:4" x14ac:dyDescent="0.35">
      <c r="A3" s="7" t="s">
        <v>12</v>
      </c>
      <c r="B3" s="7" t="s">
        <v>13</v>
      </c>
      <c r="C3" s="7" t="s">
        <v>14</v>
      </c>
      <c r="D3" s="12" t="s">
        <v>15</v>
      </c>
    </row>
    <row r="4" spans="1:4" s="9" customFormat="1" ht="29" x14ac:dyDescent="0.35">
      <c r="A4" s="9" t="s">
        <v>16</v>
      </c>
      <c r="B4" s="9" t="s">
        <v>17</v>
      </c>
      <c r="C4" s="9" t="s">
        <v>18</v>
      </c>
      <c r="D4" s="13" t="s">
        <v>19</v>
      </c>
    </row>
    <row r="5" spans="1:4" s="9" customFormat="1" ht="43.5" x14ac:dyDescent="0.35">
      <c r="A5" s="9" t="s">
        <v>20</v>
      </c>
      <c r="B5" s="9" t="s">
        <v>17</v>
      </c>
      <c r="C5" s="9" t="s">
        <v>18</v>
      </c>
      <c r="D5" s="13" t="s">
        <v>21</v>
      </c>
    </row>
    <row r="6" spans="1:4" s="9" customFormat="1" x14ac:dyDescent="0.35">
      <c r="A6" s="9" t="s">
        <v>22</v>
      </c>
      <c r="B6" s="9" t="s">
        <v>17</v>
      </c>
      <c r="C6" s="9" t="s">
        <v>18</v>
      </c>
      <c r="D6" s="13" t="s">
        <v>23</v>
      </c>
    </row>
    <row r="7" spans="1:4" s="9" customFormat="1" x14ac:dyDescent="0.35">
      <c r="A7" s="9" t="s">
        <v>22</v>
      </c>
      <c r="B7" s="9" t="s">
        <v>24</v>
      </c>
      <c r="C7" s="9" t="s">
        <v>18</v>
      </c>
      <c r="D7" s="13" t="s">
        <v>25</v>
      </c>
    </row>
    <row r="8" spans="1:4" s="9" customFormat="1" ht="29" x14ac:dyDescent="0.35">
      <c r="A8" s="10" t="s">
        <v>22</v>
      </c>
      <c r="B8" s="10" t="s">
        <v>26</v>
      </c>
      <c r="C8" s="10" t="s">
        <v>27</v>
      </c>
      <c r="D8" s="14" t="s">
        <v>28</v>
      </c>
    </row>
    <row r="9" spans="1:4" s="9" customFormat="1" ht="29" x14ac:dyDescent="0.35">
      <c r="A9" s="9" t="s">
        <v>29</v>
      </c>
      <c r="B9" s="9" t="s">
        <v>17</v>
      </c>
      <c r="C9" s="9" t="s">
        <v>18</v>
      </c>
      <c r="D9" s="13" t="s">
        <v>30</v>
      </c>
    </row>
    <row r="10" spans="1:4" s="9" customFormat="1" ht="29" x14ac:dyDescent="0.35">
      <c r="A10" s="10" t="s">
        <v>29</v>
      </c>
      <c r="B10" s="10" t="s">
        <v>31</v>
      </c>
      <c r="C10" s="10" t="s">
        <v>27</v>
      </c>
      <c r="D10" s="14" t="s">
        <v>32</v>
      </c>
    </row>
    <row r="11" spans="1:4" s="9" customFormat="1" x14ac:dyDescent="0.35">
      <c r="A11" s="9" t="s">
        <v>33</v>
      </c>
      <c r="B11" s="9" t="s">
        <v>17</v>
      </c>
      <c r="C11" s="9" t="s">
        <v>34</v>
      </c>
      <c r="D11" s="13" t="s">
        <v>35</v>
      </c>
    </row>
    <row r="12" spans="1:4" s="9" customFormat="1" x14ac:dyDescent="0.35">
      <c r="A12" s="9" t="s">
        <v>33</v>
      </c>
      <c r="B12" s="9" t="s">
        <v>24</v>
      </c>
      <c r="C12" s="9" t="s">
        <v>34</v>
      </c>
      <c r="D12" s="13" t="s">
        <v>36</v>
      </c>
    </row>
    <row r="13" spans="1:4" s="9" customFormat="1" ht="29" x14ac:dyDescent="0.35">
      <c r="A13" s="10" t="s">
        <v>33</v>
      </c>
      <c r="B13" s="10" t="s">
        <v>31</v>
      </c>
      <c r="C13" s="10" t="s">
        <v>27</v>
      </c>
      <c r="D13" s="14" t="s">
        <v>37</v>
      </c>
    </row>
    <row r="14" spans="1:4" s="9" customFormat="1" ht="29" x14ac:dyDescent="0.35">
      <c r="A14" s="10" t="s">
        <v>33</v>
      </c>
      <c r="B14" s="10" t="s">
        <v>26</v>
      </c>
      <c r="C14" s="10" t="s">
        <v>27</v>
      </c>
      <c r="D14" s="14" t="s">
        <v>38</v>
      </c>
    </row>
    <row r="15" spans="1:4" s="9" customFormat="1" ht="29" x14ac:dyDescent="0.35">
      <c r="A15" s="9" t="s">
        <v>39</v>
      </c>
      <c r="B15" s="9" t="s">
        <v>17</v>
      </c>
      <c r="C15" s="9" t="s">
        <v>18</v>
      </c>
      <c r="D15" s="13" t="s">
        <v>40</v>
      </c>
    </row>
    <row r="16" spans="1:4" s="9" customFormat="1" ht="29" x14ac:dyDescent="0.35">
      <c r="A16" s="9" t="s">
        <v>39</v>
      </c>
      <c r="B16" s="9" t="s">
        <v>24</v>
      </c>
      <c r="C16" s="9" t="s">
        <v>18</v>
      </c>
      <c r="D16" s="13" t="s">
        <v>41</v>
      </c>
    </row>
    <row r="17" spans="1:4" s="9" customFormat="1" ht="29" x14ac:dyDescent="0.35">
      <c r="A17" s="9" t="s">
        <v>42</v>
      </c>
      <c r="B17" s="9" t="s">
        <v>17</v>
      </c>
      <c r="C17" s="9" t="s">
        <v>34</v>
      </c>
      <c r="D17" s="13" t="s">
        <v>43</v>
      </c>
    </row>
    <row r="18" spans="1:4" s="9" customFormat="1" ht="43.5" x14ac:dyDescent="0.35">
      <c r="A18" s="10" t="s">
        <v>42</v>
      </c>
      <c r="B18" s="10" t="s">
        <v>31</v>
      </c>
      <c r="C18" s="10" t="s">
        <v>27</v>
      </c>
      <c r="D18" s="14" t="s">
        <v>44</v>
      </c>
    </row>
    <row r="19" spans="1:4" s="9" customFormat="1" ht="29" x14ac:dyDescent="0.35">
      <c r="A19" s="10" t="s">
        <v>42</v>
      </c>
      <c r="B19" s="10" t="s">
        <v>26</v>
      </c>
      <c r="C19" s="10" t="s">
        <v>27</v>
      </c>
      <c r="D19" s="14" t="s">
        <v>45</v>
      </c>
    </row>
    <row r="20" spans="1:4" s="9" customFormat="1" ht="29" x14ac:dyDescent="0.35">
      <c r="A20" s="9" t="s">
        <v>46</v>
      </c>
      <c r="B20" s="9" t="s">
        <v>17</v>
      </c>
      <c r="C20" s="9" t="s">
        <v>18</v>
      </c>
      <c r="D20" s="13" t="s">
        <v>47</v>
      </c>
    </row>
    <row r="21" spans="1:4" s="9" customFormat="1" ht="43.5" x14ac:dyDescent="0.35">
      <c r="A21" s="10" t="s">
        <v>46</v>
      </c>
      <c r="B21" s="10" t="s">
        <v>26</v>
      </c>
      <c r="C21" s="10" t="s">
        <v>27</v>
      </c>
      <c r="D21" s="14" t="s">
        <v>48</v>
      </c>
    </row>
    <row r="22" spans="1:4" s="9" customFormat="1" ht="29" x14ac:dyDescent="0.35">
      <c r="A22" s="10" t="s">
        <v>46</v>
      </c>
      <c r="B22" s="10" t="s">
        <v>31</v>
      </c>
      <c r="C22" s="10" t="s">
        <v>27</v>
      </c>
      <c r="D22" s="14" t="s">
        <v>49</v>
      </c>
    </row>
    <row r="23" spans="1:4" s="9" customFormat="1" ht="29" x14ac:dyDescent="0.35">
      <c r="A23" s="9" t="s">
        <v>50</v>
      </c>
      <c r="B23" s="9" t="s">
        <v>17</v>
      </c>
      <c r="C23" s="9" t="s">
        <v>18</v>
      </c>
      <c r="D23" s="13" t="s">
        <v>51</v>
      </c>
    </row>
    <row r="24" spans="1:4" s="9" customFormat="1" x14ac:dyDescent="0.35">
      <c r="A24" s="9" t="s">
        <v>52</v>
      </c>
      <c r="B24" s="9" t="s">
        <v>17</v>
      </c>
      <c r="C24" s="9" t="s">
        <v>18</v>
      </c>
      <c r="D24" s="13" t="s">
        <v>53</v>
      </c>
    </row>
    <row r="25" spans="1:4" s="9" customFormat="1" x14ac:dyDescent="0.35">
      <c r="A25" s="9" t="s">
        <v>52</v>
      </c>
      <c r="B25" s="9" t="s">
        <v>24</v>
      </c>
      <c r="C25" s="9" t="s">
        <v>18</v>
      </c>
      <c r="D25" s="13" t="s">
        <v>54</v>
      </c>
    </row>
    <row r="26" spans="1:4" s="9" customFormat="1" ht="29" x14ac:dyDescent="0.35">
      <c r="A26" s="9" t="s">
        <v>52</v>
      </c>
      <c r="B26" s="9" t="s">
        <v>55</v>
      </c>
      <c r="C26" s="9" t="s">
        <v>18</v>
      </c>
      <c r="D26" s="13" t="s">
        <v>56</v>
      </c>
    </row>
    <row r="27" spans="1:4" s="9" customFormat="1" ht="29" x14ac:dyDescent="0.35">
      <c r="A27" s="9" t="s">
        <v>57</v>
      </c>
      <c r="B27" s="9" t="s">
        <v>17</v>
      </c>
      <c r="C27" s="9" t="s">
        <v>18</v>
      </c>
      <c r="D27" s="13" t="s">
        <v>58</v>
      </c>
    </row>
    <row r="28" spans="1:4" s="9" customFormat="1" ht="29" x14ac:dyDescent="0.35">
      <c r="A28" s="9" t="s">
        <v>59</v>
      </c>
      <c r="B28" s="9" t="s">
        <v>17</v>
      </c>
      <c r="C28" s="9" t="s">
        <v>18</v>
      </c>
      <c r="D28" s="13" t="s">
        <v>60</v>
      </c>
    </row>
    <row r="29" spans="1:4" s="9" customFormat="1" x14ac:dyDescent="0.35">
      <c r="A29" s="9" t="s">
        <v>59</v>
      </c>
      <c r="B29" s="9" t="s">
        <v>24</v>
      </c>
      <c r="C29" s="9" t="s">
        <v>18</v>
      </c>
      <c r="D29" s="13" t="s">
        <v>61</v>
      </c>
    </row>
    <row r="30" spans="1:4" s="9" customFormat="1" ht="29" x14ac:dyDescent="0.35">
      <c r="A30" s="9" t="s">
        <v>62</v>
      </c>
      <c r="B30" s="9" t="s">
        <v>17</v>
      </c>
      <c r="C30" s="9" t="s">
        <v>18</v>
      </c>
      <c r="D30" s="13" t="s">
        <v>63</v>
      </c>
    </row>
    <row r="31" spans="1:4" s="9" customFormat="1" ht="29" x14ac:dyDescent="0.35">
      <c r="A31" s="9" t="s">
        <v>64</v>
      </c>
      <c r="B31" s="9" t="s">
        <v>17</v>
      </c>
      <c r="C31" s="9" t="s">
        <v>34</v>
      </c>
      <c r="D31" s="13" t="s">
        <v>65</v>
      </c>
    </row>
    <row r="32" spans="1:4" s="9" customFormat="1" x14ac:dyDescent="0.35">
      <c r="A32" s="9" t="s">
        <v>64</v>
      </c>
      <c r="B32" s="9" t="s">
        <v>24</v>
      </c>
      <c r="C32" s="9" t="s">
        <v>34</v>
      </c>
      <c r="D32" s="13" t="s">
        <v>66</v>
      </c>
    </row>
    <row r="33" spans="1:4" s="9" customFormat="1" ht="29" x14ac:dyDescent="0.35">
      <c r="A33" s="10" t="s">
        <v>64</v>
      </c>
      <c r="B33" s="10" t="s">
        <v>31</v>
      </c>
      <c r="C33" s="10" t="s">
        <v>27</v>
      </c>
      <c r="D33" s="14" t="s">
        <v>67</v>
      </c>
    </row>
    <row r="34" spans="1:4" s="9" customFormat="1" ht="29" x14ac:dyDescent="0.35">
      <c r="A34" s="9" t="s">
        <v>68</v>
      </c>
      <c r="B34" s="9" t="s">
        <v>17</v>
      </c>
      <c r="C34" s="9" t="s">
        <v>34</v>
      </c>
      <c r="D34" s="13" t="s">
        <v>65</v>
      </c>
    </row>
    <row r="35" spans="1:4" s="9" customFormat="1" x14ac:dyDescent="0.35">
      <c r="A35" s="9" t="s">
        <v>68</v>
      </c>
      <c r="B35" s="9" t="s">
        <v>24</v>
      </c>
      <c r="C35" s="9" t="s">
        <v>34</v>
      </c>
      <c r="D35" s="13" t="s">
        <v>66</v>
      </c>
    </row>
    <row r="36" spans="1:4" s="9" customFormat="1" ht="29" x14ac:dyDescent="0.35">
      <c r="A36" s="10" t="s">
        <v>68</v>
      </c>
      <c r="B36" s="10" t="s">
        <v>31</v>
      </c>
      <c r="C36" s="10" t="s">
        <v>27</v>
      </c>
      <c r="D36" s="14" t="s">
        <v>67</v>
      </c>
    </row>
    <row r="37" spans="1:4" s="9" customFormat="1" ht="43.5" x14ac:dyDescent="0.35">
      <c r="A37" s="9" t="s">
        <v>69</v>
      </c>
      <c r="B37" s="9" t="s">
        <v>17</v>
      </c>
      <c r="C37" s="9" t="s">
        <v>34</v>
      </c>
      <c r="D37" s="13" t="s">
        <v>70</v>
      </c>
    </row>
    <row r="38" spans="1:4" s="9" customFormat="1" x14ac:dyDescent="0.35">
      <c r="A38" s="9" t="s">
        <v>69</v>
      </c>
      <c r="B38" s="9" t="s">
        <v>24</v>
      </c>
      <c r="C38" s="9" t="s">
        <v>34</v>
      </c>
      <c r="D38" s="13" t="s">
        <v>71</v>
      </c>
    </row>
    <row r="39" spans="1:4" s="9" customFormat="1" ht="29" x14ac:dyDescent="0.35">
      <c r="A39" s="10" t="s">
        <v>69</v>
      </c>
      <c r="B39" s="10" t="s">
        <v>31</v>
      </c>
      <c r="C39" s="10" t="s">
        <v>27</v>
      </c>
      <c r="D39" s="14" t="s">
        <v>72</v>
      </c>
    </row>
    <row r="40" spans="1:4" s="9" customFormat="1" ht="43.5" x14ac:dyDescent="0.35">
      <c r="A40" s="9" t="s">
        <v>73</v>
      </c>
      <c r="B40" s="9" t="s">
        <v>17</v>
      </c>
      <c r="C40" s="9" t="s">
        <v>34</v>
      </c>
      <c r="D40" s="13" t="s">
        <v>70</v>
      </c>
    </row>
    <row r="41" spans="1:4" s="9" customFormat="1" x14ac:dyDescent="0.35">
      <c r="A41" s="9" t="s">
        <v>73</v>
      </c>
      <c r="B41" s="9" t="s">
        <v>24</v>
      </c>
      <c r="C41" s="9" t="s">
        <v>34</v>
      </c>
      <c r="D41" s="13" t="s">
        <v>71</v>
      </c>
    </row>
    <row r="42" spans="1:4" s="9" customFormat="1" ht="29" x14ac:dyDescent="0.35">
      <c r="A42" s="10" t="s">
        <v>73</v>
      </c>
      <c r="B42" s="10" t="s">
        <v>31</v>
      </c>
      <c r="C42" s="10" t="s">
        <v>27</v>
      </c>
      <c r="D42" s="14" t="s">
        <v>72</v>
      </c>
    </row>
    <row r="44" spans="1:4" x14ac:dyDescent="0.35">
      <c r="A44" s="15" t="s">
        <v>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02DE1-502C-4BF1-9F6A-03E3BCA466AB}">
  <sheetPr>
    <pageSetUpPr fitToPage="1"/>
  </sheetPr>
  <dimension ref="A1:F81"/>
  <sheetViews>
    <sheetView showGridLines="0" workbookViewId="0"/>
  </sheetViews>
  <sheetFormatPr defaultRowHeight="14.5" x14ac:dyDescent="0.35"/>
  <cols>
    <col min="1" max="1" width="22.6328125" customWidth="1"/>
    <col min="2" max="6" width="9.6328125" customWidth="1"/>
  </cols>
  <sheetData>
    <row r="1" spans="1:6" ht="14.5" customHeight="1" x14ac:dyDescent="0.35">
      <c r="A1" s="16" t="s">
        <v>75</v>
      </c>
      <c r="B1" s="18" t="s">
        <v>76</v>
      </c>
      <c r="C1" s="18"/>
      <c r="D1" s="18"/>
      <c r="E1" s="18"/>
      <c r="F1" s="18"/>
    </row>
    <row r="2" spans="1:6" ht="14.5" customHeight="1" x14ac:dyDescent="0.35">
      <c r="A2" s="16" t="s">
        <v>77</v>
      </c>
      <c r="B2" s="18" t="s">
        <v>78</v>
      </c>
      <c r="C2" s="18"/>
      <c r="D2" s="18"/>
      <c r="E2" s="18"/>
      <c r="F2" s="18"/>
    </row>
    <row r="3" spans="1:6" x14ac:dyDescent="0.35">
      <c r="A3" s="16" t="s">
        <v>79</v>
      </c>
      <c r="B3" s="18" t="s">
        <v>80</v>
      </c>
      <c r="C3" s="17"/>
      <c r="D3" s="17"/>
      <c r="E3" s="17"/>
      <c r="F3" s="17"/>
    </row>
    <row r="4" spans="1:6" x14ac:dyDescent="0.35">
      <c r="A4" s="16" t="s">
        <v>81</v>
      </c>
      <c r="B4" s="18" t="s">
        <v>82</v>
      </c>
      <c r="C4" s="17"/>
      <c r="D4" s="17"/>
      <c r="E4" s="17"/>
      <c r="F4" s="17"/>
    </row>
    <row r="5" spans="1:6" x14ac:dyDescent="0.35">
      <c r="A5" s="16" t="s">
        <v>83</v>
      </c>
      <c r="B5" s="18" t="s">
        <v>31</v>
      </c>
      <c r="C5" s="17"/>
      <c r="D5" s="17"/>
      <c r="E5" s="17"/>
      <c r="F5" s="17"/>
    </row>
    <row r="6" spans="1:6" ht="48" customHeight="1" x14ac:dyDescent="0.35">
      <c r="A6" s="16" t="s">
        <v>84</v>
      </c>
      <c r="B6" s="18" t="s">
        <v>85</v>
      </c>
      <c r="C6" s="18"/>
      <c r="D6" s="18"/>
      <c r="E6" s="18"/>
      <c r="F6" s="18"/>
    </row>
    <row r="7" spans="1:6" ht="14.5" customHeight="1" x14ac:dyDescent="0.35">
      <c r="A7" s="16" t="s">
        <v>86</v>
      </c>
      <c r="B7" s="19" t="str">
        <f>B2&amp;IF(B3="",""," in "&amp;B3)</f>
        <v>Net premiums written in $m</v>
      </c>
      <c r="C7" s="19"/>
      <c r="D7" s="19"/>
      <c r="E7" s="19"/>
      <c r="F7" s="19"/>
    </row>
    <row r="9" spans="1:6" x14ac:dyDescent="0.35">
      <c r="A9" s="6" t="s">
        <v>87</v>
      </c>
      <c r="B9" s="21" t="s">
        <v>88</v>
      </c>
      <c r="C9" s="21" t="s">
        <v>89</v>
      </c>
      <c r="D9" s="21" t="s">
        <v>90</v>
      </c>
      <c r="E9" s="21" t="s">
        <v>91</v>
      </c>
      <c r="F9" s="21" t="s">
        <v>92</v>
      </c>
    </row>
    <row r="10" spans="1:6" x14ac:dyDescent="0.35">
      <c r="A10" s="20" t="s">
        <v>93</v>
      </c>
      <c r="B10" s="23">
        <v>17258</v>
      </c>
      <c r="C10" s="23">
        <v>18334</v>
      </c>
      <c r="D10" s="23">
        <v>22278</v>
      </c>
      <c r="E10" s="23">
        <v>26967</v>
      </c>
      <c r="F10" s="23">
        <v>29825</v>
      </c>
    </row>
    <row r="11" spans="1:6" x14ac:dyDescent="0.35">
      <c r="A11" s="20" t="s">
        <v>94</v>
      </c>
      <c r="B11" s="23">
        <v>18911</v>
      </c>
      <c r="C11" s="23">
        <v>20944</v>
      </c>
      <c r="D11" s="23">
        <v>26303</v>
      </c>
      <c r="E11" s="23">
        <v>33432</v>
      </c>
      <c r="F11" s="23">
        <v>39631</v>
      </c>
    </row>
    <row r="12" spans="1:6" x14ac:dyDescent="0.35">
      <c r="A12" s="20" t="s">
        <v>95</v>
      </c>
      <c r="B12" s="23">
        <v>2216</v>
      </c>
      <c r="C12" s="23">
        <v>2402</v>
      </c>
      <c r="D12" s="23">
        <v>2831</v>
      </c>
      <c r="E12" s="23">
        <v>3071</v>
      </c>
      <c r="F12" s="23">
        <v>3102</v>
      </c>
    </row>
    <row r="13" spans="1:6" x14ac:dyDescent="0.35">
      <c r="A13" s="20" t="s">
        <v>96</v>
      </c>
      <c r="B13" s="23">
        <v>8016</v>
      </c>
      <c r="C13" s="23">
        <v>9399</v>
      </c>
      <c r="D13" s="23">
        <v>10138</v>
      </c>
      <c r="E13" s="23">
        <v>10953</v>
      </c>
      <c r="F13" s="23">
        <v>10613</v>
      </c>
    </row>
    <row r="14" spans="1:6" x14ac:dyDescent="0.35">
      <c r="A14" s="20" t="s">
        <v>97</v>
      </c>
      <c r="B14" s="23">
        <v>4</v>
      </c>
      <c r="C14" s="23">
        <v>2</v>
      </c>
      <c r="D14" s="23">
        <v>0</v>
      </c>
      <c r="E14" s="23">
        <v>1</v>
      </c>
      <c r="F14" s="23">
        <v>3</v>
      </c>
    </row>
    <row r="15" spans="1:6" x14ac:dyDescent="0.35">
      <c r="A15" s="24" t="s">
        <v>98</v>
      </c>
      <c r="B15" s="25">
        <f>SUM(B10:B14)</f>
        <v>46405</v>
      </c>
      <c r="C15" s="25">
        <f>SUM(C10:C14)</f>
        <v>51081</v>
      </c>
      <c r="D15" s="25">
        <f>SUM(D10:D14)</f>
        <v>61550</v>
      </c>
      <c r="E15" s="25">
        <f>SUM(E10:E14)</f>
        <v>74424</v>
      </c>
      <c r="F15" s="25">
        <f>SUM(F10:F14)</f>
        <v>83174</v>
      </c>
    </row>
    <row r="17" spans="1:2" x14ac:dyDescent="0.35">
      <c r="A17" s="6" t="s">
        <v>99</v>
      </c>
      <c r="B17" s="21" t="s">
        <v>92</v>
      </c>
    </row>
    <row r="18" spans="1:2" x14ac:dyDescent="0.35">
      <c r="A18" s="20" t="s">
        <v>100</v>
      </c>
      <c r="B18" s="23">
        <v>10315</v>
      </c>
    </row>
    <row r="19" spans="1:2" x14ac:dyDescent="0.35">
      <c r="A19" s="20" t="s">
        <v>101</v>
      </c>
      <c r="B19" s="23">
        <v>10261</v>
      </c>
    </row>
    <row r="20" spans="1:2" x14ac:dyDescent="0.35">
      <c r="A20" s="20" t="s">
        <v>102</v>
      </c>
      <c r="B20" s="23">
        <v>4777</v>
      </c>
    </row>
    <row r="21" spans="1:2" x14ac:dyDescent="0.35">
      <c r="A21" s="20" t="s">
        <v>103</v>
      </c>
      <c r="B21" s="23">
        <v>4084</v>
      </c>
    </row>
    <row r="22" spans="1:2" x14ac:dyDescent="0.35">
      <c r="A22" s="20" t="s">
        <v>104</v>
      </c>
      <c r="B22" s="23">
        <v>3359</v>
      </c>
    </row>
    <row r="23" spans="1:2" x14ac:dyDescent="0.35">
      <c r="A23" s="20" t="s">
        <v>105</v>
      </c>
      <c r="B23" s="23">
        <v>50378</v>
      </c>
    </row>
    <row r="24" spans="1:2" x14ac:dyDescent="0.35">
      <c r="A24" s="24" t="s">
        <v>98</v>
      </c>
      <c r="B24" s="25">
        <f>SUM(B18:B23)</f>
        <v>83174</v>
      </c>
    </row>
    <row r="26" spans="1:2" x14ac:dyDescent="0.35">
      <c r="A26" t="s">
        <v>106</v>
      </c>
      <c r="B26" s="26">
        <f>MAX(_xlfn.AGGREGATE(4,6,B15:F15,B24:B24),0.000000001)</f>
        <v>83174</v>
      </c>
    </row>
    <row r="29" spans="1:2" hidden="1" x14ac:dyDescent="0.35"/>
    <row r="30" spans="1:2" hidden="1" x14ac:dyDescent="0.35"/>
    <row r="31" spans="1:2" hidden="1" x14ac:dyDescent="0.35"/>
    <row r="32" spans="1:2" hidden="1" x14ac:dyDescent="0.35"/>
    <row r="33" spans="2:6" hidden="1" x14ac:dyDescent="0.35"/>
    <row r="34" spans="2:6" hidden="1" x14ac:dyDescent="0.35"/>
    <row r="35" spans="2:6" hidden="1" x14ac:dyDescent="0.35"/>
    <row r="36" spans="2:6" hidden="1" x14ac:dyDescent="0.35"/>
    <row r="37" spans="2:6" hidden="1" x14ac:dyDescent="0.35"/>
    <row r="38" spans="2:6" hidden="1" x14ac:dyDescent="0.35">
      <c r="B38">
        <f>IF(ISBLANK(B10),NA(),B10/$B$26)</f>
        <v>0.20749272609228844</v>
      </c>
      <c r="C38">
        <f>IF(ISBLANK(C10),NA(),C10/$B$26)</f>
        <v>0.22042946112967995</v>
      </c>
      <c r="D38">
        <f>IF(ISBLANK(D10),NA(),D10/$B$26)</f>
        <v>0.26784812561617816</v>
      </c>
      <c r="E38">
        <f>IF(ISBLANK(E10),NA(),E10/$B$26)</f>
        <v>0.32422391612763601</v>
      </c>
      <c r="F38">
        <f>IF(ISBLANK(F10),NA(),F10/$B$26)</f>
        <v>0.35858561569721309</v>
      </c>
    </row>
    <row r="39" spans="2:6" hidden="1" x14ac:dyDescent="0.35">
      <c r="B39">
        <f>IF(ISBLANK(B11),NA(),B11/$B$26)</f>
        <v>0.22736672517854137</v>
      </c>
      <c r="C39">
        <f>IF(ISBLANK(C11),NA(),C11/$B$26)</f>
        <v>0.25180945968692137</v>
      </c>
      <c r="D39">
        <f>IF(ISBLANK(D11),NA(),D11/$B$26)</f>
        <v>0.31624065212686658</v>
      </c>
      <c r="E39">
        <f>IF(ISBLANK(E11),NA(),E11/$B$26)</f>
        <v>0.40195253324356167</v>
      </c>
      <c r="F39">
        <f>IF(ISBLANK(F11),NA(),F11/$B$26)</f>
        <v>0.47648303556399835</v>
      </c>
    </row>
    <row r="40" spans="2:6" hidden="1" x14ac:dyDescent="0.35">
      <c r="B40">
        <f>IF(ISBLANK(B12),NA(),B12/$B$26)</f>
        <v>2.6642941303772812E-2</v>
      </c>
      <c r="C40">
        <f>IF(ISBLANK(C12),NA(),C12/$B$26)</f>
        <v>2.8879217063024504E-2</v>
      </c>
      <c r="D40">
        <f>IF(ISBLANK(D12),NA(),D12/$B$26)</f>
        <v>3.4037078894846945E-2</v>
      </c>
      <c r="E40">
        <f>IF(ISBLANK(E12),NA(),E12/$B$26)</f>
        <v>3.6922596003558801E-2</v>
      </c>
      <c r="F40">
        <f>IF(ISBLANK(F12),NA(),F12/$B$26)</f>
        <v>3.7295308630100756E-2</v>
      </c>
    </row>
    <row r="41" spans="2:6" hidden="1" x14ac:dyDescent="0.35">
      <c r="B41">
        <f>IF(ISBLANK(B13),NA(),B13/$B$26)</f>
        <v>9.6376271430976032E-2</v>
      </c>
      <c r="C41">
        <f>IF(ISBLANK(C13),NA(),C13/$B$26)</f>
        <v>0.11300406376992811</v>
      </c>
      <c r="D41">
        <f>IF(ISBLANK(D13),NA(),D13/$B$26)</f>
        <v>0.12188905186717003</v>
      </c>
      <c r="E41">
        <f>IF(ISBLANK(E13),NA(),E13/$B$26)</f>
        <v>0.13168778704883738</v>
      </c>
      <c r="F41">
        <f>IF(ISBLANK(F13),NA(),F13/$B$26)</f>
        <v>0.12759997114482891</v>
      </c>
    </row>
    <row r="42" spans="2:6" hidden="1" x14ac:dyDescent="0.35">
      <c r="B42">
        <f>IF(ISBLANK(B14),NA(),B14/$B$26)</f>
        <v>4.8091951811864287E-5</v>
      </c>
      <c r="C42">
        <f>IF(ISBLANK(C14),NA(),C14/$B$26)</f>
        <v>2.4045975905932144E-5</v>
      </c>
      <c r="D42">
        <f>IF(ISBLANK(D14),NA(),D14/$B$26)</f>
        <v>0</v>
      </c>
      <c r="E42">
        <f>IF(ISBLANK(E14),NA(),E14/$B$26)</f>
        <v>1.2022987952966072E-5</v>
      </c>
      <c r="F42">
        <f>IF(ISBLANK(F14),NA(),F14/$B$26)</f>
        <v>3.6068963858898214E-5</v>
      </c>
    </row>
    <row r="43" spans="2:6" hidden="1" x14ac:dyDescent="0.35">
      <c r="B43">
        <f>IF(ISBLANK(B15),NA(),B15/$B$26)</f>
        <v>0.5579267559573905</v>
      </c>
      <c r="C43">
        <f>IF(ISBLANK(C15),NA(),C15/$B$26)</f>
        <v>0.61414624762545988</v>
      </c>
      <c r="D43">
        <f>IF(ISBLANK(D15),NA(),D15/$B$26)</f>
        <v>0.74001490850506169</v>
      </c>
      <c r="E43">
        <f>IF(ISBLANK(E15),NA(),E15/$B$26)</f>
        <v>0.89479885541154691</v>
      </c>
      <c r="F43">
        <f>IF(ISBLANK(F15),NA(),F15/$B$26)</f>
        <v>1</v>
      </c>
    </row>
    <row r="44" spans="2:6" hidden="1" x14ac:dyDescent="0.35"/>
    <row r="45" spans="2:6" hidden="1" x14ac:dyDescent="0.35"/>
    <row r="46" spans="2:6" hidden="1" x14ac:dyDescent="0.35">
      <c r="B46">
        <f>IF(ISBLANK(B18),NA(),B18/$B$26)</f>
        <v>0.12401712073484503</v>
      </c>
    </row>
    <row r="47" spans="2:6" hidden="1" x14ac:dyDescent="0.35">
      <c r="B47">
        <f>IF(ISBLANK(B19),NA(),B19/$B$26)</f>
        <v>0.12336787938538486</v>
      </c>
    </row>
    <row r="48" spans="2:6" hidden="1" x14ac:dyDescent="0.35">
      <c r="B48">
        <f>IF(ISBLANK(B20),NA(),B20/$B$26)</f>
        <v>5.743381345131892E-2</v>
      </c>
    </row>
    <row r="49" spans="2:2" hidden="1" x14ac:dyDescent="0.35">
      <c r="B49">
        <f>IF(ISBLANK(B21),NA(),B21/$B$26)</f>
        <v>4.9101882799913434E-2</v>
      </c>
    </row>
    <row r="50" spans="2:2" hidden="1" x14ac:dyDescent="0.35">
      <c r="B50">
        <f>IF(ISBLANK(B22),NA(),B22/$B$26)</f>
        <v>4.038521653401303E-2</v>
      </c>
    </row>
    <row r="51" spans="2:2" hidden="1" x14ac:dyDescent="0.35">
      <c r="B51">
        <f>IF(ISBLANK(B23),NA(),B23/$B$26)</f>
        <v>0.60569408709452477</v>
      </c>
    </row>
    <row r="52" spans="2:2" hidden="1" x14ac:dyDescent="0.35">
      <c r="B52">
        <f>IF(ISBLANK(B24),NA(),B24/$B$26)</f>
        <v>1</v>
      </c>
    </row>
    <row r="53" spans="2:2" hidden="1" x14ac:dyDescent="0.35"/>
    <row r="54" spans="2:2" hidden="1" x14ac:dyDescent="0.35"/>
    <row r="55" spans="2:2" hidden="1" x14ac:dyDescent="0.35"/>
    <row r="56" spans="2:2" hidden="1" x14ac:dyDescent="0.35"/>
    <row r="57" spans="2:2" hidden="1" x14ac:dyDescent="0.35"/>
    <row r="58" spans="2:2" hidden="1" x14ac:dyDescent="0.35"/>
    <row r="59" spans="2:2" hidden="1" x14ac:dyDescent="0.35"/>
    <row r="60" spans="2:2" hidden="1" x14ac:dyDescent="0.35"/>
    <row r="61" spans="2:2" hidden="1" x14ac:dyDescent="0.35"/>
    <row r="62" spans="2:2" hidden="1" x14ac:dyDescent="0.35"/>
    <row r="63" spans="2:2" hidden="1" x14ac:dyDescent="0.35"/>
    <row r="64" spans="2:2" hidden="1" x14ac:dyDescent="0.35"/>
    <row r="65" spans="2:6" hidden="1" x14ac:dyDescent="0.35"/>
    <row r="66" spans="2:6" hidden="1" x14ac:dyDescent="0.35">
      <c r="B66" t="str">
        <f>IF(ISBLANK(B10),"",IF(B10/83180*264&lt;(LEN(TEXT(B10,"# ##0")))*5,"",TEXT(B10,"# ##0")))</f>
        <v>17 258</v>
      </c>
      <c r="C66" t="str">
        <f>IF(ISBLANK(C10),"",IF(C10/83180*264&lt;(LEN(TEXT(C10,"# ##0")))*5,"",TEXT(C10,"# ##0")))</f>
        <v>18 334</v>
      </c>
      <c r="D66" t="str">
        <f>IF(ISBLANK(D10),"",IF(D10/83180*264&lt;(LEN(TEXT(D10,"# ##0")))*5,"",TEXT(D10,"# ##0")))</f>
        <v>22 278</v>
      </c>
      <c r="E66" t="str">
        <f>IF(ISBLANK(E10),"",IF(E10/83180*264&lt;(LEN(TEXT(E10,"# ##0")))*5,"",TEXT(E10,"# ##0")))</f>
        <v>26 967</v>
      </c>
      <c r="F66" t="str">
        <f>IF(ISBLANK(F10),"",IF(F10/83180*264&lt;(LEN(TEXT(F10,"# ##0")))*5,"",TEXT(F10,"# ##0")))</f>
        <v>29 825</v>
      </c>
    </row>
    <row r="67" spans="2:6" hidden="1" x14ac:dyDescent="0.35">
      <c r="B67" t="str">
        <f>IF(ISBLANK(B11),"",IF(B11/83180*264&lt;(LEN(TEXT(B11,"# ##0")))*5,"",TEXT(B11,"# ##0")))</f>
        <v>18 911</v>
      </c>
      <c r="C67" t="str">
        <f>IF(ISBLANK(C11),"",IF(C11/83180*264&lt;(LEN(TEXT(C11,"# ##0")))*5,"",TEXT(C11,"# ##0")))</f>
        <v>20 944</v>
      </c>
      <c r="D67" t="str">
        <f>IF(ISBLANK(D11),"",IF(D11/83180*264&lt;(LEN(TEXT(D11,"# ##0")))*5,"",TEXT(D11,"# ##0")))</f>
        <v>26 303</v>
      </c>
      <c r="E67" t="str">
        <f>IF(ISBLANK(E11),"",IF(E11/83180*264&lt;(LEN(TEXT(E11,"# ##0")))*5,"",TEXT(E11,"# ##0")))</f>
        <v>33 432</v>
      </c>
      <c r="F67" t="str">
        <f>IF(ISBLANK(F11),"",IF(F11/83180*264&lt;(LEN(TEXT(F11,"# ##0")))*5,"",TEXT(F11,"# ##0")))</f>
        <v>39 631</v>
      </c>
    </row>
    <row r="68" spans="2:6" hidden="1" x14ac:dyDescent="0.35">
      <c r="B68" t="str">
        <f>IF(ISBLANK(B12),"",IF(B12/83180*264&lt;(LEN(TEXT(B12,"# ##0")))*5,"",TEXT(B12,"# ##0")))</f>
        <v/>
      </c>
      <c r="C68" t="str">
        <f>IF(ISBLANK(C12),"",IF(C12/83180*264&lt;(LEN(TEXT(C12,"# ##0")))*5,"",TEXT(C12,"# ##0")))</f>
        <v/>
      </c>
      <c r="D68" t="str">
        <f>IF(ISBLANK(D12),"",IF(D12/83180*264&lt;(LEN(TEXT(D12,"# ##0")))*5,"",TEXT(D12,"# ##0")))</f>
        <v/>
      </c>
      <c r="E68" t="str">
        <f>IF(ISBLANK(E12),"",IF(E12/83180*264&lt;(LEN(TEXT(E12,"# ##0")))*5,"",TEXT(E12,"# ##0")))</f>
        <v/>
      </c>
      <c r="F68" t="str">
        <f>IF(ISBLANK(F12),"",IF(F12/83180*264&lt;(LEN(TEXT(F12,"# ##0")))*5,"",TEXT(F12,"# ##0")))</f>
        <v/>
      </c>
    </row>
    <row r="69" spans="2:6" hidden="1" x14ac:dyDescent="0.35">
      <c r="B69" t="str">
        <f>IF(ISBLANK(B13),"",IF(B13/83180*264&lt;(LEN(TEXT(B13,"# ##0")))*5,"",TEXT(B13,"# ##0")))</f>
        <v>8 016</v>
      </c>
      <c r="C69" t="str">
        <f>IF(ISBLANK(C13),"",IF(C13/83180*264&lt;(LEN(TEXT(C13,"# ##0")))*5,"",TEXT(C13,"# ##0")))</f>
        <v>9 399</v>
      </c>
      <c r="D69" t="str">
        <f>IF(ISBLANK(D13),"",IF(D13/83180*264&lt;(LEN(TEXT(D13,"# ##0")))*5,"",TEXT(D13,"# ##0")))</f>
        <v>10 138</v>
      </c>
      <c r="E69" t="str">
        <f>IF(ISBLANK(E13),"",IF(E13/83180*264&lt;(LEN(TEXT(E13,"# ##0")))*5,"",TEXT(E13,"# ##0")))</f>
        <v>10 953</v>
      </c>
      <c r="F69" t="str">
        <f>IF(ISBLANK(F13),"",IF(F13/83180*264&lt;(LEN(TEXT(F13,"# ##0")))*5,"",TEXT(F13,"# ##0")))</f>
        <v>10 613</v>
      </c>
    </row>
    <row r="70" spans="2:6" hidden="1" x14ac:dyDescent="0.35">
      <c r="B70" t="str">
        <f>IF(ISBLANK(B14),"",IF(B14/83180*264&lt;(LEN(TEXT(B14,"# ##0"))+LEN(TEXT(B15,"# ##0")))*5,"",TEXT(B14,"# ##0")))</f>
        <v/>
      </c>
      <c r="C70" t="str">
        <f>IF(ISBLANK(C14),"",IF(C14/83180*264&lt;(LEN(TEXT(C14,"# ##0"))+LEN(TEXT(C15,"# ##0")))*5,"",TEXT(C14,"# ##0")))</f>
        <v/>
      </c>
      <c r="D70" t="str">
        <f>IF(ISBLANK(D14),"",IF(D14/83180*264&lt;(LEN(TEXT(D14,"# ##0"))+LEN(TEXT(D15,"# ##0")))*5,"",TEXT(D14,"# ##0")))</f>
        <v/>
      </c>
      <c r="E70" t="str">
        <f>IF(ISBLANK(E14),"",IF(E14/83180*264&lt;(LEN(TEXT(E14,"# ##0"))+LEN(TEXT(E15,"# ##0")))*5,"",TEXT(E14,"# ##0")))</f>
        <v/>
      </c>
      <c r="F70" t="str">
        <f>IF(ISBLANK(F14),"",IF(F14/83180*264&lt;(LEN(TEXT(F14,"# ##0"))+LEN(TEXT(F15,"# ##0")))*5,"",TEXT(F14,"# ##0")))</f>
        <v/>
      </c>
    </row>
    <row r="71" spans="2:6" hidden="1" x14ac:dyDescent="0.35">
      <c r="B71" t="str">
        <f>IF(ISBLANK(B15),"",IF(B15/83180*264&lt;(LEN(TEXT(B15,"# ##0")))*5,"",TEXT(B15,"# ##0")))</f>
        <v>46 405</v>
      </c>
      <c r="C71" t="str">
        <f>IF(ISBLANK(C15),"",IF(C15/83180*264&lt;(LEN(TEXT(C15,"# ##0")))*5,"",TEXT(C15,"# ##0")))</f>
        <v>51 081</v>
      </c>
      <c r="D71" t="str">
        <f>IF(ISBLANK(D15),"",IF(D15/83180*264&lt;(LEN(TEXT(D15,"# ##0")))*5,"",TEXT(D15,"# ##0")))</f>
        <v>61 550</v>
      </c>
      <c r="E71" t="str">
        <f>IF(ISBLANK(E15),"",IF(E15/83180*264&lt;(LEN(TEXT(E15,"# ##0")))*5,"",TEXT(E15,"# ##0")))</f>
        <v>74 424</v>
      </c>
      <c r="F71" t="str">
        <f>IF(ISBLANK(F15),"",IF(F15/83180*264&lt;(LEN(TEXT(F15,"# ##0")))*5,"",TEXT(F15,"# ##0")))</f>
        <v>83 174</v>
      </c>
    </row>
    <row r="72" spans="2:6" hidden="1" x14ac:dyDescent="0.35"/>
    <row r="73" spans="2:6" hidden="1" x14ac:dyDescent="0.35"/>
    <row r="74" spans="2:6" hidden="1" x14ac:dyDescent="0.35">
      <c r="B74" t="str">
        <f>IF(ISBLANK(B18),"",IF(B18/83180*264&lt;(LEN(TEXT(B18,"# ##0")))*5,"",TEXT(B18,"# ##0")))</f>
        <v>10 315</v>
      </c>
    </row>
    <row r="75" spans="2:6" hidden="1" x14ac:dyDescent="0.35">
      <c r="B75" t="str">
        <f>IF(ISBLANK(B19),"",IF(B19/83180*264&lt;(LEN(TEXT(B19,"# ##0")))*5,"",TEXT(B19,"# ##0")))</f>
        <v>10 261</v>
      </c>
    </row>
    <row r="76" spans="2:6" hidden="1" x14ac:dyDescent="0.35">
      <c r="B76" t="str">
        <f>IF(ISBLANK(B20),"",IF(B20/83180*264&lt;(LEN(TEXT(B20,"# ##0")))*5,"",TEXT(B20,"# ##0")))</f>
        <v/>
      </c>
    </row>
    <row r="77" spans="2:6" hidden="1" x14ac:dyDescent="0.35">
      <c r="B77" t="str">
        <f>IF(ISBLANK(B21),"",IF(B21/83180*264&lt;(LEN(TEXT(B21,"# ##0")))*5,"",TEXT(B21,"# ##0")))</f>
        <v/>
      </c>
    </row>
    <row r="78" spans="2:6" hidden="1" x14ac:dyDescent="0.35">
      <c r="B78" t="str">
        <f>IF(ISBLANK(B22),"",IF(B22/83180*264&lt;(LEN(TEXT(B22,"# ##0")))*5,"",TEXT(B22,"# ##0")))</f>
        <v/>
      </c>
    </row>
    <row r="79" spans="2:6" hidden="1" x14ac:dyDescent="0.35">
      <c r="B79" t="str">
        <f>IF(ISBLANK(B23),"",IF(B23/83180*264&lt;(LEN(TEXT(B23,"# ##0"))+LEN(TEXT(B24,"# ##0")))*5,"",TEXT(B23,"# ##0")))</f>
        <v>50 378</v>
      </c>
    </row>
    <row r="80" spans="2:6" hidden="1" x14ac:dyDescent="0.35">
      <c r="B80" t="str">
        <f>IF(ISBLANK(B24),"",IF(B24/83180*264&lt;(LEN(TEXT(B24,"# ##0")))*5,"",TEXT(B24,"# ##0")))</f>
        <v>83 174</v>
      </c>
    </row>
    <row r="81" hidden="1" x14ac:dyDescent="0.35"/>
  </sheetData>
  <mergeCells count="7">
    <mergeCell ref="B7:F7"/>
    <mergeCell ref="B1:F1"/>
    <mergeCell ref="B2:F2"/>
    <mergeCell ref="B3:F3"/>
    <mergeCell ref="B4:F4"/>
    <mergeCell ref="B5:F5"/>
    <mergeCell ref="B6:F6"/>
  </mergeCells>
  <printOptions horizontalCentered="1" verticalCentered="1"/>
  <pageMargins left="0.25" right="0.25" top="0.25" bottom="0.25" header="0.125" footer="0.125"/>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12BFD-1D77-4648-B577-3D83905272CA}">
  <sheetPr>
    <pageSetUpPr fitToPage="1"/>
  </sheetPr>
  <dimension ref="A1:V48"/>
  <sheetViews>
    <sheetView showGridLines="0" workbookViewId="0"/>
  </sheetViews>
  <sheetFormatPr defaultRowHeight="14.5" x14ac:dyDescent="0.35"/>
  <cols>
    <col min="1" max="1" width="17.6328125" customWidth="1"/>
    <col min="2" max="22" width="9.1796875" customWidth="1"/>
  </cols>
  <sheetData>
    <row r="1" spans="1:22" ht="14.5" customHeight="1" x14ac:dyDescent="0.35">
      <c r="A1" s="16" t="s">
        <v>75</v>
      </c>
      <c r="B1" s="18" t="s">
        <v>76</v>
      </c>
      <c r="C1" s="18"/>
      <c r="D1" s="18"/>
      <c r="E1" s="18"/>
      <c r="F1" s="18"/>
      <c r="G1" s="18"/>
      <c r="H1" s="18"/>
      <c r="I1" s="18"/>
      <c r="J1" s="18"/>
      <c r="K1" s="18"/>
      <c r="L1" s="18"/>
      <c r="M1" s="18"/>
      <c r="N1" s="18"/>
      <c r="O1" s="18"/>
      <c r="P1" s="18"/>
      <c r="Q1" s="18"/>
      <c r="R1" s="18"/>
      <c r="S1" s="18"/>
      <c r="T1" s="18"/>
      <c r="U1" s="18"/>
      <c r="V1" s="18"/>
    </row>
    <row r="2" spans="1:22" x14ac:dyDescent="0.35">
      <c r="A2" s="16" t="s">
        <v>77</v>
      </c>
      <c r="B2" s="18" t="s">
        <v>107</v>
      </c>
      <c r="C2" s="17"/>
      <c r="D2" s="17"/>
      <c r="E2" s="17"/>
      <c r="F2" s="17"/>
    </row>
    <row r="3" spans="1:22" x14ac:dyDescent="0.35">
      <c r="A3" s="16" t="s">
        <v>79</v>
      </c>
      <c r="B3" s="18" t="s">
        <v>80</v>
      </c>
      <c r="C3" s="17"/>
      <c r="D3" s="17"/>
      <c r="E3" s="17"/>
      <c r="F3" s="17"/>
    </row>
    <row r="4" spans="1:22" x14ac:dyDescent="0.35">
      <c r="A4" s="16" t="s">
        <v>81</v>
      </c>
      <c r="B4" s="18" t="s">
        <v>108</v>
      </c>
      <c r="C4" s="17"/>
      <c r="D4" s="17"/>
      <c r="E4" s="17"/>
      <c r="F4" s="17"/>
    </row>
    <row r="5" spans="1:22" x14ac:dyDescent="0.35">
      <c r="A5" s="16" t="s">
        <v>83</v>
      </c>
      <c r="B5" s="18" t="s">
        <v>31</v>
      </c>
      <c r="C5" s="17"/>
      <c r="D5" s="17"/>
      <c r="E5" s="17"/>
      <c r="F5" s="17"/>
    </row>
    <row r="6" spans="1:22" ht="60" customHeight="1" x14ac:dyDescent="0.35">
      <c r="A6" s="16" t="s">
        <v>84</v>
      </c>
      <c r="B6" s="18" t="s">
        <v>109</v>
      </c>
      <c r="C6" s="18"/>
      <c r="D6" s="18"/>
      <c r="E6" s="18"/>
      <c r="F6" s="18"/>
      <c r="G6" s="18"/>
      <c r="H6" s="18"/>
      <c r="I6" s="18"/>
      <c r="J6" s="18"/>
      <c r="K6" s="18"/>
      <c r="L6" s="18"/>
      <c r="M6" s="18"/>
      <c r="N6" s="18"/>
      <c r="O6" s="18"/>
      <c r="P6" s="18"/>
      <c r="Q6" s="18"/>
      <c r="R6" s="18"/>
      <c r="S6" s="18"/>
      <c r="T6" s="18"/>
      <c r="U6" s="18"/>
      <c r="V6" s="18"/>
    </row>
    <row r="7" spans="1:22" ht="14.5" customHeight="1" x14ac:dyDescent="0.35">
      <c r="A7" s="16" t="s">
        <v>86</v>
      </c>
      <c r="B7" s="19" t="str">
        <f>B2&amp;IF(B3="",""," in "&amp;B3)</f>
        <v>Net premiums earned in $m</v>
      </c>
      <c r="C7" s="19"/>
      <c r="D7" s="19"/>
      <c r="E7" s="19"/>
      <c r="F7" s="19"/>
      <c r="G7" s="19"/>
      <c r="H7" s="19"/>
      <c r="I7" s="19"/>
      <c r="J7" s="19"/>
      <c r="K7" s="19"/>
      <c r="L7" s="19"/>
      <c r="M7" s="19"/>
      <c r="N7" s="19"/>
      <c r="O7" s="19"/>
      <c r="P7" s="19"/>
      <c r="Q7" s="19"/>
      <c r="R7" s="19"/>
      <c r="S7" s="19"/>
      <c r="T7" s="19"/>
      <c r="U7" s="19"/>
      <c r="V7" s="19"/>
    </row>
    <row r="9" spans="1:22" x14ac:dyDescent="0.35">
      <c r="A9" s="6" t="s">
        <v>20</v>
      </c>
      <c r="B9" s="21" t="s">
        <v>93</v>
      </c>
      <c r="C9" s="21" t="s">
        <v>94</v>
      </c>
      <c r="D9" s="21" t="s">
        <v>95</v>
      </c>
      <c r="E9" s="21" t="s">
        <v>110</v>
      </c>
      <c r="F9" s="21" t="s">
        <v>96</v>
      </c>
      <c r="G9" s="21" t="s">
        <v>111</v>
      </c>
    </row>
    <row r="10" spans="1:22" x14ac:dyDescent="0.35">
      <c r="A10" s="20" t="s">
        <v>112</v>
      </c>
      <c r="B10" s="23">
        <v>19186</v>
      </c>
      <c r="C10" s="23">
        <v>26030</v>
      </c>
      <c r="D10" s="23">
        <v>1424</v>
      </c>
      <c r="E10" s="25">
        <f>SUM(B10:D10)</f>
        <v>46640</v>
      </c>
      <c r="F10" s="23">
        <v>7225</v>
      </c>
      <c r="G10" s="25">
        <f>SUM(B10:D10)+F10</f>
        <v>53865</v>
      </c>
    </row>
    <row r="11" spans="1:22" x14ac:dyDescent="0.35">
      <c r="A11" s="20" t="s">
        <v>113</v>
      </c>
      <c r="B11" s="23">
        <v>5906</v>
      </c>
      <c r="C11" s="23">
        <v>8460</v>
      </c>
      <c r="D11" s="23">
        <v>916</v>
      </c>
      <c r="E11" s="25">
        <f>SUM(B11:D11)</f>
        <v>15282</v>
      </c>
      <c r="F11" s="23">
        <v>2241</v>
      </c>
      <c r="G11" s="25">
        <f>SUM(B11:D11)+F11</f>
        <v>17523</v>
      </c>
    </row>
    <row r="12" spans="1:22" x14ac:dyDescent="0.35">
      <c r="A12" s="20" t="s">
        <v>114</v>
      </c>
      <c r="B12" s="23">
        <v>4290</v>
      </c>
      <c r="C12" s="23">
        <v>3790</v>
      </c>
      <c r="D12" s="23">
        <v>776</v>
      </c>
      <c r="E12" s="25">
        <f>SUM(B12:D12)</f>
        <v>8856</v>
      </c>
      <c r="F12" s="23">
        <v>1415</v>
      </c>
      <c r="G12" s="25">
        <f>SUM(B12:D12)+F12</f>
        <v>10271</v>
      </c>
    </row>
    <row r="13" spans="1:22" x14ac:dyDescent="0.35">
      <c r="A13" s="24" t="s">
        <v>98</v>
      </c>
      <c r="B13" s="25">
        <f>SUM(B10:B12)</f>
        <v>29382</v>
      </c>
      <c r="C13" s="25">
        <f>SUM(C10:C12)</f>
        <v>38280</v>
      </c>
      <c r="D13" s="25">
        <f>SUM(D10:D12)</f>
        <v>3116</v>
      </c>
      <c r="E13" s="25">
        <f>SUM(E10:E12)</f>
        <v>70778</v>
      </c>
      <c r="F13" s="25">
        <f>SUM(F10:F12)</f>
        <v>10881</v>
      </c>
      <c r="G13" s="25">
        <f>SUM(G10:G12)</f>
        <v>81659</v>
      </c>
    </row>
    <row r="15" spans="1:22" x14ac:dyDescent="0.35">
      <c r="A15" t="s">
        <v>106</v>
      </c>
      <c r="B15" s="26">
        <f>MAX(_xlfn.AGGREGATE(4,6,$B$13:$D$13,$F$13:$F$13),0.000000001)</f>
        <v>38280</v>
      </c>
    </row>
    <row r="18" spans="2:7" hidden="1" x14ac:dyDescent="0.35"/>
    <row r="19" spans="2:7" hidden="1" x14ac:dyDescent="0.35"/>
    <row r="20" spans="2:7" hidden="1" x14ac:dyDescent="0.35"/>
    <row r="21" spans="2:7" hidden="1" x14ac:dyDescent="0.35"/>
    <row r="22" spans="2:7" hidden="1" x14ac:dyDescent="0.35"/>
    <row r="23" spans="2:7" hidden="1" x14ac:dyDescent="0.35"/>
    <row r="24" spans="2:7" hidden="1" x14ac:dyDescent="0.35"/>
    <row r="25" spans="2:7" hidden="1" x14ac:dyDescent="0.35"/>
    <row r="26" spans="2:7" hidden="1" x14ac:dyDescent="0.35"/>
    <row r="27" spans="2:7" hidden="1" x14ac:dyDescent="0.35">
      <c r="B27">
        <f>IF(ISBLANK(B10),NA(),B10/$B$15)</f>
        <v>0.50120167189132703</v>
      </c>
      <c r="C27">
        <f>IF(ISBLANK(C10),NA(),C10/$B$15)</f>
        <v>0.67998955067920586</v>
      </c>
      <c r="D27">
        <f>IF(ISBLANK(D10),NA(),D10/$B$15)</f>
        <v>3.7199582027168235E-2</v>
      </c>
      <c r="E27">
        <f>IF(ISBLANK(E10),NA(),E10/$B$15)</f>
        <v>1.2183908045977012</v>
      </c>
      <c r="F27">
        <f>IF(ISBLANK(F10),NA(),F10/$B$15)</f>
        <v>0.18874085684430511</v>
      </c>
      <c r="G27">
        <f>IF(ISBLANK(G10),NA(),G10/$B$15)</f>
        <v>1.4071316614420062</v>
      </c>
    </row>
    <row r="28" spans="2:7" hidden="1" x14ac:dyDescent="0.35">
      <c r="B28">
        <f>IF(ISBLANK(B11),NA(),B11/$B$15)</f>
        <v>0.15428422152560084</v>
      </c>
      <c r="C28">
        <f>IF(ISBLANK(C11),NA(),C11/$B$15)</f>
        <v>0.22100313479623823</v>
      </c>
      <c r="D28">
        <f>IF(ISBLANK(D11),NA(),D11/$B$15)</f>
        <v>2.392894461859979E-2</v>
      </c>
      <c r="E28">
        <f>IF(ISBLANK(E11),NA(),E11/$B$15)</f>
        <v>0.39921630094043886</v>
      </c>
      <c r="F28">
        <f>IF(ISBLANK(F11),NA(),F11/$B$15)</f>
        <v>5.8542319749216302E-2</v>
      </c>
      <c r="G28">
        <f>IF(ISBLANK(G11),NA(),G11/$B$15)</f>
        <v>0.45775862068965517</v>
      </c>
    </row>
    <row r="29" spans="2:7" hidden="1" x14ac:dyDescent="0.35">
      <c r="B29">
        <f>IF(ISBLANK(B12),NA(),B12/$B$15)</f>
        <v>0.11206896551724138</v>
      </c>
      <c r="C29">
        <f>IF(ISBLANK(C12),NA(),C12/$B$15)</f>
        <v>9.9007314524555898E-2</v>
      </c>
      <c r="D29">
        <f>IF(ISBLANK(D12),NA(),D12/$B$15)</f>
        <v>2.0271682340647856E-2</v>
      </c>
      <c r="E29">
        <f>IF(ISBLANK(E12),NA(),E12/$B$15)</f>
        <v>0.23134796238244515</v>
      </c>
      <c r="F29">
        <f>IF(ISBLANK(F12),NA(),F12/$B$15)</f>
        <v>3.6964472309299896E-2</v>
      </c>
      <c r="G29">
        <f>IF(ISBLANK(G12),NA(),G12/$B$15)</f>
        <v>0.26831243469174504</v>
      </c>
    </row>
    <row r="30" spans="2:7" hidden="1" x14ac:dyDescent="0.35">
      <c r="B30">
        <f>IF(ISBLANK(B13),NA(),B13/$B$15)</f>
        <v>0.7675548589341693</v>
      </c>
      <c r="C30">
        <f>IF(ISBLANK(C13),NA(),C13/$B$15)</f>
        <v>1</v>
      </c>
      <c r="D30">
        <f>IF(ISBLANK(D13),NA(),D13/$B$15)</f>
        <v>8.1400208986415881E-2</v>
      </c>
      <c r="E30">
        <f>IF(ISBLANK(E13),NA(),E13/$B$15)</f>
        <v>1.8489550679205851</v>
      </c>
      <c r="F30">
        <f>IF(ISBLANK(F13),NA(),F13/$B$15)</f>
        <v>0.28424764890282134</v>
      </c>
      <c r="G30">
        <f>IF(ISBLANK(G13),NA(),G13/$B$15)</f>
        <v>2.1332027168234067</v>
      </c>
    </row>
    <row r="31" spans="2:7" hidden="1" x14ac:dyDescent="0.35"/>
    <row r="32" spans="2:7" hidden="1" x14ac:dyDescent="0.35"/>
    <row r="33" spans="2:7" hidden="1" x14ac:dyDescent="0.35"/>
    <row r="34" spans="2:7" hidden="1" x14ac:dyDescent="0.35"/>
    <row r="35" spans="2:7" hidden="1" x14ac:dyDescent="0.35"/>
    <row r="36" spans="2:7" hidden="1" x14ac:dyDescent="0.35"/>
    <row r="37" spans="2:7" hidden="1" x14ac:dyDescent="0.35"/>
    <row r="38" spans="2:7" hidden="1" x14ac:dyDescent="0.35"/>
    <row r="39" spans="2:7" hidden="1" x14ac:dyDescent="0.35"/>
    <row r="40" spans="2:7" hidden="1" x14ac:dyDescent="0.35"/>
    <row r="41" spans="2:7" hidden="1" x14ac:dyDescent="0.35"/>
    <row r="42" spans="2:7" hidden="1" x14ac:dyDescent="0.35"/>
    <row r="43" spans="2:7" hidden="1" x14ac:dyDescent="0.35"/>
    <row r="44" spans="2:7" hidden="1" x14ac:dyDescent="0.35">
      <c r="B44" t="str">
        <f>IF(ISBLANK(B10),"",IF(B10/38300*492.8&lt;(LEN(TEXT(B10,"# ##0")))*5,"",TEXT(B10,"# ##0")))</f>
        <v>19 186</v>
      </c>
      <c r="C44" t="str">
        <f>IF(ISBLANK(C10),"",IF(C10/38300*492.8&lt;(LEN(TEXT(C10,"# ##0")))*5,"",TEXT(C10,"# ##0")))</f>
        <v>26 030</v>
      </c>
      <c r="D44" t="str">
        <f>IF(ISBLANK(D10),"",IF(D10/38300*492.8&lt;(LEN(TEXT(D10,"# ##0")))*5,"",TEXT(D10,"# ##0")))</f>
        <v/>
      </c>
      <c r="E44" t="str">
        <f>IF(ISBLANK(E10),"",IF(E10/38300*492.8&lt;(LEN(TEXT(E10,"# ##0")))*5,"",TEXT(E10,"# ##0")))</f>
        <v>46 640</v>
      </c>
      <c r="F44" t="str">
        <f>IF(ISBLANK(F10),"",IF(F10/38300*492.8&lt;(LEN(TEXT(F10,"# ##0")))*5,"",TEXT(F10,"# ##0")))</f>
        <v>7 225</v>
      </c>
      <c r="G44" t="str">
        <f>IF(ISBLANK(G10),"",IF(G10/38300*492.8&lt;(LEN(TEXT(G10,"# ##0")))*5,"",TEXT(G10,"# ##0")))</f>
        <v>53 865</v>
      </c>
    </row>
    <row r="45" spans="2:7" hidden="1" x14ac:dyDescent="0.35">
      <c r="B45" t="str">
        <f>IF(ISBLANK(B11),"",IF(B11/38300*492.8&lt;(LEN(TEXT(B11,"# ##0")))*5,"",TEXT(B11,"# ##0")))</f>
        <v>5 906</v>
      </c>
      <c r="C45" t="str">
        <f>IF(ISBLANK(C11),"",IF(C11/38300*492.8&lt;(LEN(TEXT(C11,"# ##0")))*5,"",TEXT(C11,"# ##0")))</f>
        <v>8 460</v>
      </c>
      <c r="D45" t="str">
        <f>IF(ISBLANK(D11),"",IF(D11/38300*492.8&lt;(LEN(TEXT(D11,"# ##0")))*5,"",TEXT(D11,"# ##0")))</f>
        <v/>
      </c>
      <c r="E45" t="str">
        <f>IF(ISBLANK(E11),"",IF(E11/38300*492.8&lt;(LEN(TEXT(E11,"# ##0")))*5,"",TEXT(E11,"# ##0")))</f>
        <v>15 282</v>
      </c>
      <c r="F45" t="str">
        <f>IF(ISBLANK(F11),"",IF(F11/38300*492.8&lt;(LEN(TEXT(F11,"# ##0")))*5,"",TEXT(F11,"# ##0")))</f>
        <v>2 241</v>
      </c>
      <c r="G45" t="str">
        <f>IF(ISBLANK(G11),"",IF(G11/38300*492.8&lt;(LEN(TEXT(G11,"# ##0")))*5,"",TEXT(G11,"# ##0")))</f>
        <v>17 523</v>
      </c>
    </row>
    <row r="46" spans="2:7" hidden="1" x14ac:dyDescent="0.35">
      <c r="B46" t="str">
        <f>IF(ISBLANK(B12),"",IF(B12/38300*492.8&lt;(LEN(TEXT(B12,"# ##0"))+LEN(TEXT(B13,"# ##0")))*5,"",TEXT(B12,"# ##0")))</f>
        <v>4 290</v>
      </c>
      <c r="C46" t="str">
        <f>IF(ISBLANK(C12),"",IF(C12/38300*492.8&lt;(LEN(TEXT(C12,"# ##0"))+LEN(TEXT(C13,"# ##0")))*5,"",TEXT(C12,"# ##0")))</f>
        <v/>
      </c>
      <c r="D46" t="str">
        <f>IF(ISBLANK(D12),"",IF(D12/38300*492.8&lt;(LEN(TEXT(D12,"# ##0"))+LEN(TEXT(D13,"# ##0")))*5,"",TEXT(D12,"# ##0")))</f>
        <v/>
      </c>
      <c r="E46" t="str">
        <f>IF(ISBLANK(E12),"",IF(E12/38300*492.8&lt;(LEN(TEXT(E12,"# ##0"))+LEN(TEXT(E13,"# ##0")))*5,"",TEXT(E12,"# ##0")))</f>
        <v>8 856</v>
      </c>
      <c r="F46" t="str">
        <f>IF(ISBLANK(F12),"",IF(F12/38300*492.8&lt;(LEN(TEXT(F12,"# ##0"))+LEN(TEXT(F13,"# ##0")))*5,"",TEXT(F12,"# ##0")))</f>
        <v/>
      </c>
      <c r="G46" t="str">
        <f>IF(ISBLANK(G12),"",IF(G12/38300*492.8&lt;(LEN(TEXT(G12,"# ##0"))+LEN(TEXT(G13,"# ##0")))*5,"",TEXT(G12,"# ##0")))</f>
        <v>10 271</v>
      </c>
    </row>
    <row r="47" spans="2:7" hidden="1" x14ac:dyDescent="0.35">
      <c r="B47" t="str">
        <f>IF(ISBLANK(B13),"",IF(B13/38300*492.8&lt;(LEN(TEXT(B13,"# ##0")))*5,"",TEXT(B13,"# ##0")))</f>
        <v>29 382</v>
      </c>
      <c r="C47" t="str">
        <f>IF(ISBLANK(C13),"",IF(C13/38300*492.8&lt;(LEN(TEXT(C13,"# ##0")))*5,"",TEXT(C13,"# ##0")))</f>
        <v>38 280</v>
      </c>
      <c r="D47" t="str">
        <f>IF(ISBLANK(D13),"",IF(D13/38300*492.8&lt;(LEN(TEXT(D13,"# ##0")))*5,"",TEXT(D13,"# ##0")))</f>
        <v>3 116</v>
      </c>
      <c r="E47" t="str">
        <f>IF(ISBLANK(E13),"",IF(E13/38300*492.8&lt;(LEN(TEXT(E13,"# ##0")))*5,"",TEXT(E13,"# ##0")))</f>
        <v>70 778</v>
      </c>
      <c r="F47" t="str">
        <f>IF(ISBLANK(F13),"",IF(F13/38300*492.8&lt;(LEN(TEXT(F13,"# ##0")))*5,"",TEXT(F13,"# ##0")))</f>
        <v>10 881</v>
      </c>
      <c r="G47" t="str">
        <f>IF(ISBLANK(G13),"",IF(G13/38300*492.8&lt;(LEN(TEXT(G13,"# ##0")))*5,"",TEXT(G13,"# ##0")))</f>
        <v>81 659</v>
      </c>
    </row>
    <row r="48" spans="2:7" hidden="1" x14ac:dyDescent="0.35"/>
  </sheetData>
  <mergeCells count="7">
    <mergeCell ref="B1:V1"/>
    <mergeCell ref="B6:V6"/>
    <mergeCell ref="B7:V7"/>
    <mergeCell ref="B2:F2"/>
    <mergeCell ref="B3:F3"/>
    <mergeCell ref="B4:F4"/>
    <mergeCell ref="B5:F5"/>
  </mergeCells>
  <printOptions horizontalCentered="1" verticalCentered="1"/>
  <pageMargins left="0.25" right="0.25" top="0.25" bottom="0.25" header="0.125" footer="0.125"/>
  <pageSetup orientation="landscape"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29B72-88ED-4EA3-97DB-B334E2FA417B}">
  <sheetPr>
    <pageSetUpPr fitToPage="1"/>
  </sheetPr>
  <dimension ref="A1:AC26"/>
  <sheetViews>
    <sheetView showGridLines="0" workbookViewId="0"/>
  </sheetViews>
  <sheetFormatPr defaultRowHeight="14.5" x14ac:dyDescent="0.35"/>
  <cols>
    <col min="1" max="1" width="8.6328125" customWidth="1"/>
    <col min="2" max="2" width="9.6328125" customWidth="1"/>
    <col min="3" max="3" width="9.1796875" customWidth="1"/>
    <col min="4" max="4" width="9.6328125" customWidth="1"/>
    <col min="5" max="6" width="9.1796875" customWidth="1"/>
    <col min="7" max="14" width="8.1796875" customWidth="1"/>
    <col min="15" max="29" width="8.6328125" hidden="1" customWidth="1"/>
  </cols>
  <sheetData>
    <row r="1" spans="1:29" ht="15" customHeight="1" x14ac:dyDescent="0.35">
      <c r="A1" s="30" t="s">
        <v>75</v>
      </c>
      <c r="B1" s="18" t="s">
        <v>76</v>
      </c>
      <c r="C1" s="18"/>
      <c r="D1" s="18"/>
      <c r="E1" s="18"/>
      <c r="F1" s="18"/>
      <c r="G1" s="18"/>
      <c r="H1" s="18"/>
      <c r="I1" s="18"/>
      <c r="J1" s="18"/>
      <c r="K1" s="18"/>
      <c r="L1" s="18"/>
      <c r="M1" s="18"/>
      <c r="N1" s="18"/>
      <c r="O1" s="18"/>
      <c r="P1" s="18"/>
      <c r="Q1" s="18"/>
      <c r="R1" s="18"/>
      <c r="S1" s="18"/>
      <c r="T1" s="18"/>
      <c r="U1" s="18"/>
      <c r="V1" s="18"/>
      <c r="W1" s="18"/>
      <c r="X1" s="18"/>
      <c r="Y1" s="18"/>
      <c r="Z1" s="18"/>
      <c r="AA1" s="18"/>
      <c r="AB1" s="18"/>
      <c r="AC1" s="18"/>
    </row>
    <row r="2" spans="1:29" ht="15" customHeight="1" x14ac:dyDescent="0.35">
      <c r="A2" s="30" t="s">
        <v>77</v>
      </c>
      <c r="B2" s="18" t="s">
        <v>78</v>
      </c>
      <c r="C2" s="18"/>
      <c r="D2" s="18"/>
      <c r="E2" s="18"/>
      <c r="F2" s="18"/>
      <c r="G2" s="18"/>
      <c r="H2" s="18"/>
      <c r="I2" s="18"/>
      <c r="J2" s="18"/>
      <c r="K2" s="18"/>
      <c r="L2" s="18"/>
      <c r="M2" s="18"/>
      <c r="N2" s="18"/>
      <c r="O2" s="18"/>
      <c r="P2" s="18"/>
      <c r="Q2" s="18"/>
      <c r="R2" s="18"/>
      <c r="S2" s="18"/>
      <c r="T2" s="18"/>
      <c r="U2" s="18"/>
      <c r="V2" s="18"/>
      <c r="W2" s="18"/>
      <c r="X2" s="18"/>
      <c r="Y2" s="18"/>
      <c r="Z2" s="18"/>
      <c r="AA2" s="18"/>
      <c r="AB2" s="18"/>
      <c r="AC2" s="18"/>
    </row>
    <row r="3" spans="1:29" ht="15" customHeight="1" x14ac:dyDescent="0.35">
      <c r="A3" s="30" t="s">
        <v>79</v>
      </c>
      <c r="B3" s="18" t="s">
        <v>80</v>
      </c>
      <c r="C3" s="17"/>
      <c r="D3" s="17"/>
      <c r="E3" s="17"/>
      <c r="F3" s="17"/>
      <c r="G3" s="17"/>
      <c r="H3" s="17"/>
      <c r="I3" s="17"/>
      <c r="J3" s="17"/>
      <c r="K3" s="17"/>
      <c r="L3" s="17"/>
      <c r="M3" s="17"/>
      <c r="N3" s="17"/>
      <c r="O3" s="17"/>
      <c r="P3" s="17"/>
      <c r="Q3" s="17"/>
      <c r="R3" s="17"/>
      <c r="S3" s="17"/>
      <c r="T3" s="17"/>
      <c r="U3" s="17"/>
      <c r="V3" s="17"/>
      <c r="W3" s="17"/>
      <c r="X3" s="17"/>
      <c r="Y3" s="17"/>
      <c r="Z3" s="17"/>
      <c r="AA3" s="17"/>
      <c r="AB3" s="17"/>
      <c r="AC3" s="17"/>
    </row>
    <row r="4" spans="1:29" ht="15" customHeight="1" x14ac:dyDescent="0.35">
      <c r="A4" s="30" t="s">
        <v>81</v>
      </c>
      <c r="B4" s="18" t="s">
        <v>115</v>
      </c>
      <c r="C4" s="17"/>
      <c r="D4" s="17"/>
      <c r="E4" s="17"/>
      <c r="F4" s="17"/>
      <c r="G4" s="17"/>
      <c r="H4" s="17"/>
      <c r="I4" s="17"/>
      <c r="J4" s="17"/>
      <c r="K4" s="17"/>
      <c r="L4" s="17"/>
      <c r="M4" s="17"/>
      <c r="N4" s="17"/>
      <c r="O4" s="17"/>
      <c r="P4" s="17"/>
      <c r="Q4" s="17"/>
      <c r="R4" s="17"/>
      <c r="S4" s="17"/>
      <c r="T4" s="17"/>
      <c r="U4" s="17"/>
      <c r="V4" s="17"/>
      <c r="W4" s="17"/>
      <c r="X4" s="17"/>
      <c r="Y4" s="17"/>
      <c r="Z4" s="17"/>
      <c r="AA4" s="17"/>
      <c r="AB4" s="17"/>
      <c r="AC4" s="17"/>
    </row>
    <row r="5" spans="1:29" ht="15" customHeight="1" x14ac:dyDescent="0.35">
      <c r="A5" s="30" t="s">
        <v>83</v>
      </c>
      <c r="B5" s="18" t="s">
        <v>24</v>
      </c>
      <c r="C5" s="17"/>
      <c r="D5" s="17"/>
      <c r="E5" s="17"/>
      <c r="F5" s="17"/>
      <c r="G5" s="17"/>
      <c r="H5" s="17"/>
      <c r="I5" s="17"/>
      <c r="J5" s="17"/>
      <c r="K5" s="17"/>
      <c r="L5" s="17"/>
      <c r="M5" s="17"/>
      <c r="N5" s="17"/>
      <c r="O5" s="17"/>
      <c r="P5" s="17"/>
      <c r="Q5" s="17"/>
      <c r="R5" s="17"/>
      <c r="S5" s="17"/>
      <c r="T5" s="17"/>
      <c r="U5" s="17"/>
      <c r="V5" s="17"/>
      <c r="W5" s="17"/>
      <c r="X5" s="17"/>
      <c r="Y5" s="17"/>
      <c r="Z5" s="17"/>
      <c r="AA5" s="17"/>
      <c r="AB5" s="17"/>
      <c r="AC5" s="17"/>
    </row>
    <row r="6" spans="1:29" ht="29.5" customHeight="1" x14ac:dyDescent="0.35">
      <c r="A6" s="30" t="s">
        <v>84</v>
      </c>
      <c r="B6" s="32" t="s">
        <v>116</v>
      </c>
      <c r="C6" s="32"/>
      <c r="D6" s="32"/>
      <c r="E6" s="32"/>
      <c r="F6" s="32"/>
      <c r="G6" s="32"/>
      <c r="H6" s="32"/>
      <c r="I6" s="32"/>
      <c r="J6" s="32"/>
      <c r="K6" s="32"/>
      <c r="L6" s="32"/>
      <c r="M6" s="32"/>
      <c r="N6" s="32"/>
      <c r="O6" s="32"/>
      <c r="P6" s="32"/>
      <c r="Q6" s="32"/>
      <c r="R6" s="32"/>
      <c r="S6" s="32"/>
      <c r="T6" s="32"/>
      <c r="U6" s="32"/>
      <c r="V6" s="32"/>
      <c r="W6" s="32"/>
      <c r="X6" s="32"/>
      <c r="Y6" s="32"/>
      <c r="Z6" s="32"/>
      <c r="AA6" s="32"/>
      <c r="AB6" s="32"/>
      <c r="AC6" s="32"/>
    </row>
    <row r="7" spans="1:29" ht="15" customHeight="1" x14ac:dyDescent="0.35">
      <c r="A7" s="30" t="s">
        <v>86</v>
      </c>
      <c r="B7" s="31" t="str">
        <f>B2&amp;" in "&amp;B3</f>
        <v>Net premiums written in $m</v>
      </c>
      <c r="C7" s="31"/>
      <c r="D7" s="31"/>
      <c r="E7" s="31"/>
      <c r="F7" s="31"/>
      <c r="G7" s="31"/>
      <c r="H7" s="31"/>
      <c r="I7" s="31"/>
      <c r="J7" s="31"/>
      <c r="K7" s="31"/>
      <c r="L7" s="31"/>
      <c r="M7" s="31"/>
      <c r="N7" s="31"/>
      <c r="O7" s="31"/>
      <c r="P7" s="31"/>
      <c r="Q7" s="31"/>
      <c r="R7" s="31"/>
      <c r="S7" s="31"/>
      <c r="T7" s="31"/>
      <c r="U7" s="31"/>
      <c r="V7" s="31"/>
      <c r="W7" s="31"/>
      <c r="X7" s="31"/>
      <c r="Y7" s="31"/>
      <c r="Z7" s="31"/>
      <c r="AA7" s="31"/>
      <c r="AB7" s="31"/>
      <c r="AC7" s="31"/>
    </row>
    <row r="8" spans="1:29" ht="15" customHeight="1" x14ac:dyDescent="0.35"/>
    <row r="9" spans="1:29" ht="15" customHeight="1" x14ac:dyDescent="0.35">
      <c r="A9" s="30" t="s">
        <v>117</v>
      </c>
      <c r="B9" s="19" t="str">
        <f>"Δ"&amp;$B$5&amp;"%"</f>
        <v>ΔPY%</v>
      </c>
      <c r="C9" s="17"/>
      <c r="D9" s="17"/>
      <c r="E9" s="17"/>
      <c r="F9" s="17"/>
      <c r="G9" s="17"/>
      <c r="H9" s="17"/>
      <c r="I9" s="17"/>
      <c r="J9" s="17"/>
      <c r="K9" s="17"/>
      <c r="L9" s="17"/>
      <c r="M9" s="17"/>
      <c r="N9" s="17"/>
      <c r="O9" s="17"/>
      <c r="P9" s="17"/>
      <c r="Q9" s="17"/>
      <c r="R9" s="17"/>
      <c r="S9" s="17"/>
      <c r="T9" s="17"/>
      <c r="U9" s="17"/>
      <c r="V9" s="17"/>
      <c r="W9" s="17"/>
      <c r="X9" s="17"/>
      <c r="Y9" s="17"/>
      <c r="Z9" s="17"/>
      <c r="AA9" s="17"/>
      <c r="AB9" s="17"/>
      <c r="AC9" s="17"/>
    </row>
    <row r="10" spans="1:29" ht="15" customHeight="1" x14ac:dyDescent="0.35">
      <c r="A10" s="30" t="s">
        <v>118</v>
      </c>
      <c r="B10" s="19" t="str">
        <f>"Δ"&amp;$B$5&amp;" "&amp;$B$3</f>
        <v>ΔPY $m</v>
      </c>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ht="15" customHeight="1" x14ac:dyDescent="0.35"/>
    <row r="12" spans="1:29" ht="28" customHeight="1" x14ac:dyDescent="0.35">
      <c r="A12" s="33" t="s">
        <v>81</v>
      </c>
      <c r="B12" s="33" t="s">
        <v>13</v>
      </c>
      <c r="C12" s="33" t="s">
        <v>24</v>
      </c>
      <c r="D12" s="33" t="s">
        <v>77</v>
      </c>
      <c r="E12" s="33" t="s">
        <v>119</v>
      </c>
      <c r="F12" s="33" t="s">
        <v>120</v>
      </c>
      <c r="G12" s="33" t="s">
        <v>121</v>
      </c>
      <c r="H12" s="33" t="s">
        <v>122</v>
      </c>
      <c r="I12" s="33" t="s">
        <v>123</v>
      </c>
      <c r="J12" s="33" t="s">
        <v>124</v>
      </c>
      <c r="K12" s="33" t="s">
        <v>125</v>
      </c>
      <c r="L12" s="33" t="s">
        <v>126</v>
      </c>
      <c r="M12" s="33" t="s">
        <v>127</v>
      </c>
      <c r="N12" s="33" t="s">
        <v>128</v>
      </c>
      <c r="O12" s="33" t="s">
        <v>129</v>
      </c>
      <c r="P12" s="33" t="s">
        <v>130</v>
      </c>
      <c r="Q12" s="33" t="s">
        <v>131</v>
      </c>
      <c r="R12" s="33" t="s">
        <v>132</v>
      </c>
      <c r="S12" s="33" t="s">
        <v>133</v>
      </c>
      <c r="T12" s="33" t="s">
        <v>134</v>
      </c>
      <c r="U12" s="33" t="s">
        <v>135</v>
      </c>
      <c r="V12" s="33" t="s">
        <v>136</v>
      </c>
      <c r="W12" s="33" t="s">
        <v>137</v>
      </c>
      <c r="X12" s="33" t="s">
        <v>138</v>
      </c>
      <c r="Y12" s="33" t="s">
        <v>139</v>
      </c>
      <c r="Z12" s="33" t="s">
        <v>140</v>
      </c>
      <c r="AA12" s="33" t="s">
        <v>141</v>
      </c>
      <c r="AB12" s="33" t="s">
        <v>142</v>
      </c>
      <c r="AC12" s="33" t="s">
        <v>143</v>
      </c>
    </row>
    <row r="13" spans="1:29" x14ac:dyDescent="0.35">
      <c r="A13" s="20" t="s">
        <v>144</v>
      </c>
      <c r="B13" t="s">
        <v>17</v>
      </c>
      <c r="C13" s="35">
        <v>6481</v>
      </c>
      <c r="D13" s="35">
        <v>6735</v>
      </c>
      <c r="E13" s="37">
        <f>D13-C13</f>
        <v>254</v>
      </c>
      <c r="F13" s="38">
        <f>IF(C13&lt;=0,NA(),(D13-C13)/C13*100)</f>
        <v>3.919148279586484</v>
      </c>
      <c r="G13" s="38">
        <f>IF($B13="AC",$D13,NA())</f>
        <v>6735</v>
      </c>
      <c r="H13" s="38" t="e">
        <f>IF($B13="AC",NA(),$D13)</f>
        <v>#N/A</v>
      </c>
      <c r="I13" s="38">
        <f>IF($E13&gt;0,$E13,NA())</f>
        <v>254</v>
      </c>
      <c r="J13" s="38" t="e">
        <f>IF($E13&lt;0,$E13,NA())</f>
        <v>#N/A</v>
      </c>
      <c r="K13" s="38">
        <f>IF($F13&gt;0,$F13,NA())</f>
        <v>3.919148279586484</v>
      </c>
      <c r="L13" s="38" t="e">
        <f>IF($F13&lt;0,$F13,NA())</f>
        <v>#N/A</v>
      </c>
      <c r="M13" s="38">
        <f>IF($F13&gt;0,$F13,0)</f>
        <v>3.919148279586484</v>
      </c>
      <c r="N13" s="38">
        <f>IF($F13&lt;0,-$F13,0)</f>
        <v>0</v>
      </c>
      <c r="O13" s="39">
        <f>MAX(_xlfn.AGGREGATE(4,6,C13:C24,D13:D24,E13:E24,I13:I24,J13:J24),-_xlfn.AGGREGATE(5,6,C13:C24,D13:D24,E13:E24,I13:I24,J13:J24),0.000000001)</f>
        <v>9911</v>
      </c>
      <c r="P13" s="39">
        <f>MAX(_xlfn.AGGREGATE(4,6,K13:K24,L13:L24,M13:M24,N13:N24),-_xlfn.AGGREGATE(5,6,K13:K24,L13:L24,M13:M24,N13:N24),0.000000001)</f>
        <v>9.6228293330383803</v>
      </c>
      <c r="Q13" s="39">
        <f>C13/$O$13</f>
        <v>0.65391988699424886</v>
      </c>
      <c r="R13" s="39">
        <f>D13/$O$13</f>
        <v>0.67954797699525782</v>
      </c>
      <c r="S13" s="16" t="str">
        <f>IF(ISNA(D13),"",TEXT(D13,"0"))</f>
        <v>6735</v>
      </c>
      <c r="T13" s="39">
        <f>E13/$O$13</f>
        <v>2.562809000100898E-2</v>
      </c>
      <c r="U13" s="16" t="str">
        <f>IF(ISNA(E13),"",TEXT(E13,"+0;-0"))</f>
        <v>+254</v>
      </c>
      <c r="V13" s="39">
        <f>I13/$O$13</f>
        <v>2.562809000100898E-2</v>
      </c>
      <c r="W13" s="39" t="e">
        <f>J13/$O$13</f>
        <v>#N/A</v>
      </c>
      <c r="X13" s="39">
        <f>K13/$P$13</f>
        <v>0.40727608730737247</v>
      </c>
      <c r="Y13" s="16" t="str">
        <f>IF(ISNA(K13),"",TEXT(K13,"+0.0;-0.0"))</f>
        <v>+3.9</v>
      </c>
      <c r="Z13" s="39" t="e">
        <f>L13/$P$13</f>
        <v>#N/A</v>
      </c>
      <c r="AA13" s="16" t="str">
        <f>IF(ISNA(L13),"",TEXT(L13,"+0.0;-0.0"))</f>
        <v/>
      </c>
      <c r="AB13" s="39">
        <f>M13/$P$13</f>
        <v>0.40727608730737247</v>
      </c>
      <c r="AC13" s="39">
        <f>N13/$P$13</f>
        <v>0</v>
      </c>
    </row>
    <row r="14" spans="1:29" x14ac:dyDescent="0.35">
      <c r="A14" s="20" t="s">
        <v>145</v>
      </c>
      <c r="B14" t="s">
        <v>17</v>
      </c>
      <c r="C14" s="35">
        <v>6684</v>
      </c>
      <c r="D14" s="35">
        <v>6995</v>
      </c>
      <c r="E14" s="37">
        <f>D14-C14</f>
        <v>311</v>
      </c>
      <c r="F14" s="38">
        <f>IF(C14&lt;=0,NA(),(D14-C14)/C14*100)</f>
        <v>4.6529024536205865</v>
      </c>
      <c r="G14" s="38">
        <f>IF($B14="AC",$D14,NA())</f>
        <v>6995</v>
      </c>
      <c r="H14" s="38" t="e">
        <f>IF($B14="AC",NA(),$D14)</f>
        <v>#N/A</v>
      </c>
      <c r="I14" s="38">
        <f>IF($E14&gt;0,$E14,NA())</f>
        <v>311</v>
      </c>
      <c r="J14" s="38" t="e">
        <f>IF($E14&lt;0,$E14,NA())</f>
        <v>#N/A</v>
      </c>
      <c r="K14" s="38">
        <f>IF($F14&gt;0,$F14,NA())</f>
        <v>4.6529024536205865</v>
      </c>
      <c r="L14" s="38" t="e">
        <f>IF($F14&lt;0,$F14,NA())</f>
        <v>#N/A</v>
      </c>
      <c r="M14" s="38">
        <f>IF($F14&gt;0,$F14,0)</f>
        <v>4.6529024536205865</v>
      </c>
      <c r="N14" s="38">
        <f>IF($F14&lt;0,-$F14,0)</f>
        <v>0</v>
      </c>
      <c r="O14" s="39"/>
      <c r="P14" s="39"/>
      <c r="Q14" s="39">
        <f>C14/$O$13</f>
        <v>0.67440217939663005</v>
      </c>
      <c r="R14" s="39">
        <f>D14/$O$13</f>
        <v>0.70578145494904654</v>
      </c>
      <c r="S14" s="16" t="str">
        <f>IF(ISNA(D14),"",TEXT(D14,"0"))</f>
        <v>6995</v>
      </c>
      <c r="T14" s="39">
        <f>E14/$O$13</f>
        <v>3.1379275552416507E-2</v>
      </c>
      <c r="U14" s="16" t="str">
        <f>IF(ISNA(E14),"",TEXT(E14,"+0;-0"))</f>
        <v>+311</v>
      </c>
      <c r="V14" s="39">
        <f>I14/$O$13</f>
        <v>3.1379275552416507E-2</v>
      </c>
      <c r="W14" s="39" t="e">
        <f>J14/$O$13</f>
        <v>#N/A</v>
      </c>
      <c r="X14" s="39">
        <f>K14/$P$13</f>
        <v>0.48352748371475546</v>
      </c>
      <c r="Y14" s="16" t="str">
        <f>IF(ISNA(K14),"",TEXT(K14,"+0.0;-0.0"))</f>
        <v>+4.7</v>
      </c>
      <c r="Z14" s="39" t="e">
        <f>L14/$P$13</f>
        <v>#N/A</v>
      </c>
      <c r="AA14" s="16" t="str">
        <f>IF(ISNA(L14),"",TEXT(L14,"+0.0;-0.0"))</f>
        <v/>
      </c>
      <c r="AB14" s="39">
        <f>M14/$P$13</f>
        <v>0.48352748371475546</v>
      </c>
      <c r="AC14" s="39">
        <f>N14/$P$13</f>
        <v>0</v>
      </c>
    </row>
    <row r="15" spans="1:29" x14ac:dyDescent="0.35">
      <c r="A15" s="20" t="s">
        <v>146</v>
      </c>
      <c r="B15" t="s">
        <v>17</v>
      </c>
      <c r="C15" s="35">
        <v>9041</v>
      </c>
      <c r="D15" s="35">
        <v>9911</v>
      </c>
      <c r="E15" s="37">
        <f>D15-C15</f>
        <v>870</v>
      </c>
      <c r="F15" s="38">
        <f>IF(C15&lt;=0,NA(),(D15-C15)/C15*100)</f>
        <v>9.6228293330383803</v>
      </c>
      <c r="G15" s="38">
        <f>IF($B15="AC",$D15,NA())</f>
        <v>9911</v>
      </c>
      <c r="H15" s="38" t="e">
        <f>IF($B15="AC",NA(),$D15)</f>
        <v>#N/A</v>
      </c>
      <c r="I15" s="38">
        <f>IF($E15&gt;0,$E15,NA())</f>
        <v>870</v>
      </c>
      <c r="J15" s="38" t="e">
        <f>IF($E15&lt;0,$E15,NA())</f>
        <v>#N/A</v>
      </c>
      <c r="K15" s="38">
        <f>IF($F15&gt;0,$F15,NA())</f>
        <v>9.6228293330383803</v>
      </c>
      <c r="L15" s="38" t="e">
        <f>IF($F15&lt;0,$F15,NA())</f>
        <v>#N/A</v>
      </c>
      <c r="M15" s="38">
        <f>IF($F15&gt;0,$F15,0)</f>
        <v>9.6228293330383803</v>
      </c>
      <c r="N15" s="38">
        <f>IF($F15&lt;0,-$F15,0)</f>
        <v>0</v>
      </c>
      <c r="O15" s="39"/>
      <c r="P15" s="39"/>
      <c r="Q15" s="39">
        <f>C15/$O$13</f>
        <v>0.91221874684693771</v>
      </c>
      <c r="R15" s="39">
        <f>D15/$O$13</f>
        <v>1</v>
      </c>
      <c r="S15" s="16" t="str">
        <f>IF(ISNA(D15),"",TEXT(D15,"0"))</f>
        <v>9911</v>
      </c>
      <c r="T15" s="39">
        <f>E15/$O$13</f>
        <v>8.7781253153062261E-2</v>
      </c>
      <c r="U15" s="16" t="str">
        <f>IF(ISNA(E15),"",TEXT(E15,"+0;-0"))</f>
        <v>+870</v>
      </c>
      <c r="V15" s="39">
        <f>I15/$O$13</f>
        <v>8.7781253153062261E-2</v>
      </c>
      <c r="W15" s="39" t="e">
        <f>J15/$O$13</f>
        <v>#N/A</v>
      </c>
      <c r="X15" s="39">
        <f>K15/$P$13</f>
        <v>1</v>
      </c>
      <c r="Y15" s="16" t="str">
        <f>IF(ISNA(K15),"",TEXT(K15,"+0.0;-0.0"))</f>
        <v>+9.6</v>
      </c>
      <c r="Z15" s="39" t="e">
        <f>L15/$P$13</f>
        <v>#N/A</v>
      </c>
      <c r="AA15" s="16" t="str">
        <f>IF(ISNA(L15),"",TEXT(L15,"+0.0;-0.0"))</f>
        <v/>
      </c>
      <c r="AB15" s="39">
        <f>M15/$P$13</f>
        <v>1</v>
      </c>
      <c r="AC15" s="39">
        <f>N15/$P$13</f>
        <v>0</v>
      </c>
    </row>
    <row r="16" spans="1:29" x14ac:dyDescent="0.35">
      <c r="A16" s="20" t="s">
        <v>147</v>
      </c>
      <c r="B16" t="s">
        <v>17</v>
      </c>
      <c r="C16" s="35">
        <v>6837</v>
      </c>
      <c r="D16" s="35">
        <v>7278</v>
      </c>
      <c r="E16" s="37">
        <f>D16-C16</f>
        <v>441</v>
      </c>
      <c r="F16" s="38">
        <f>IF(C16&lt;=0,NA(),(D16-C16)/C16*100)</f>
        <v>6.4501974550241332</v>
      </c>
      <c r="G16" s="38">
        <f>IF($B16="AC",$D16,NA())</f>
        <v>7278</v>
      </c>
      <c r="H16" s="38" t="e">
        <f>IF($B16="AC",NA(),$D16)</f>
        <v>#N/A</v>
      </c>
      <c r="I16" s="38">
        <f>IF($E16&gt;0,$E16,NA())</f>
        <v>441</v>
      </c>
      <c r="J16" s="38" t="e">
        <f>IF($E16&lt;0,$E16,NA())</f>
        <v>#N/A</v>
      </c>
      <c r="K16" s="38">
        <f>IF($F16&gt;0,$F16,NA())</f>
        <v>6.4501974550241332</v>
      </c>
      <c r="L16" s="38" t="e">
        <f>IF($F16&lt;0,$F16,NA())</f>
        <v>#N/A</v>
      </c>
      <c r="M16" s="38">
        <f>IF($F16&gt;0,$F16,0)</f>
        <v>6.4501974550241332</v>
      </c>
      <c r="N16" s="38">
        <f>IF($F16&lt;0,-$F16,0)</f>
        <v>0</v>
      </c>
      <c r="O16" s="39"/>
      <c r="P16" s="39"/>
      <c r="Q16" s="39">
        <f>C16/$O$13</f>
        <v>0.68983957219251335</v>
      </c>
      <c r="R16" s="39">
        <f>D16/$O$13</f>
        <v>0.7343355867218242</v>
      </c>
      <c r="S16" s="16" t="str">
        <f>IF(ISNA(D16),"",TEXT(D16,"0"))</f>
        <v>7278</v>
      </c>
      <c r="T16" s="39">
        <f>E16/$O$13</f>
        <v>4.4496014529310866E-2</v>
      </c>
      <c r="U16" s="16" t="str">
        <f>IF(ISNA(E16),"",TEXT(E16,"+0;-0"))</f>
        <v>+441</v>
      </c>
      <c r="V16" s="39">
        <f>I16/$O$13</f>
        <v>4.4496014529310866E-2</v>
      </c>
      <c r="W16" s="39" t="e">
        <f>J16/$O$13</f>
        <v>#N/A</v>
      </c>
      <c r="X16" s="39">
        <f>K16/$P$13</f>
        <v>0.67030155391808266</v>
      </c>
      <c r="Y16" s="16" t="str">
        <f>IF(ISNA(K16),"",TEXT(K16,"+0.0;-0.0"))</f>
        <v>+6.5</v>
      </c>
      <c r="Z16" s="39" t="e">
        <f>L16/$P$13</f>
        <v>#N/A</v>
      </c>
      <c r="AA16" s="16" t="str">
        <f>IF(ISNA(L16),"",TEXT(L16,"+0.0;-0.0"))</f>
        <v/>
      </c>
      <c r="AB16" s="39">
        <f>M16/$P$13</f>
        <v>0.67030155391808266</v>
      </c>
      <c r="AC16" s="39">
        <f>N16/$P$13</f>
        <v>0</v>
      </c>
    </row>
    <row r="17" spans="1:29" x14ac:dyDescent="0.35">
      <c r="A17" s="20" t="s">
        <v>148</v>
      </c>
      <c r="B17" t="s">
        <v>17</v>
      </c>
      <c r="C17" s="35">
        <v>6634</v>
      </c>
      <c r="D17" s="35">
        <v>7027</v>
      </c>
      <c r="E17" s="37">
        <f>D17-C17</f>
        <v>393</v>
      </c>
      <c r="F17" s="38">
        <f>IF(C17&lt;=0,NA(),(D17-C17)/C17*100)</f>
        <v>5.9240277359059395</v>
      </c>
      <c r="G17" s="38">
        <f>IF($B17="AC",$D17,NA())</f>
        <v>7027</v>
      </c>
      <c r="H17" s="38" t="e">
        <f>IF($B17="AC",NA(),$D17)</f>
        <v>#N/A</v>
      </c>
      <c r="I17" s="38">
        <f>IF($E17&gt;0,$E17,NA())</f>
        <v>393</v>
      </c>
      <c r="J17" s="38" t="e">
        <f>IF($E17&lt;0,$E17,NA())</f>
        <v>#N/A</v>
      </c>
      <c r="K17" s="38">
        <f>IF($F17&gt;0,$F17,NA())</f>
        <v>5.9240277359059395</v>
      </c>
      <c r="L17" s="38" t="e">
        <f>IF($F17&lt;0,$F17,NA())</f>
        <v>#N/A</v>
      </c>
      <c r="M17" s="38">
        <f>IF($F17&gt;0,$F17,0)</f>
        <v>5.9240277359059395</v>
      </c>
      <c r="N17" s="38">
        <f>IF($F17&lt;0,-$F17,0)</f>
        <v>0</v>
      </c>
      <c r="O17" s="39"/>
      <c r="P17" s="39"/>
      <c r="Q17" s="39">
        <f>C17/$O$13</f>
        <v>0.66935727979013215</v>
      </c>
      <c r="R17" s="39">
        <f>D17/$O$13</f>
        <v>0.70901019069720517</v>
      </c>
      <c r="S17" s="16" t="str">
        <f>IF(ISNA(D17),"",TEXT(D17,"0"))</f>
        <v>7027</v>
      </c>
      <c r="T17" s="39">
        <f>E17/$O$13</f>
        <v>3.9652910907072951E-2</v>
      </c>
      <c r="U17" s="16" t="str">
        <f>IF(ISNA(E17),"",TEXT(E17,"+0;-0"))</f>
        <v>+393</v>
      </c>
      <c r="V17" s="39">
        <f>I17/$O$13</f>
        <v>3.9652910907072951E-2</v>
      </c>
      <c r="W17" s="39" t="e">
        <f>J17/$O$13</f>
        <v>#N/A</v>
      </c>
      <c r="X17" s="39">
        <f>K17/$P$13</f>
        <v>0.61562223862443222</v>
      </c>
      <c r="Y17" s="16" t="str">
        <f>IF(ISNA(K17),"",TEXT(K17,"+0.0;-0.0"))</f>
        <v>+5.9</v>
      </c>
      <c r="Z17" s="39" t="e">
        <f>L17/$P$13</f>
        <v>#N/A</v>
      </c>
      <c r="AA17" s="16" t="str">
        <f>IF(ISNA(L17),"",TEXT(L17,"+0.0;-0.0"))</f>
        <v/>
      </c>
      <c r="AB17" s="39">
        <f>M17/$P$13</f>
        <v>0.61562223862443222</v>
      </c>
      <c r="AC17" s="39">
        <f>N17/$P$13</f>
        <v>0</v>
      </c>
    </row>
    <row r="18" spans="1:29" x14ac:dyDescent="0.35">
      <c r="A18" s="20" t="s">
        <v>149</v>
      </c>
      <c r="B18" t="s">
        <v>17</v>
      </c>
      <c r="C18" s="35">
        <v>6605</v>
      </c>
      <c r="D18" s="35">
        <v>6772</v>
      </c>
      <c r="E18" s="37">
        <f>D18-C18</f>
        <v>167</v>
      </c>
      <c r="F18" s="38">
        <f>IF(C18&lt;=0,NA(),(D18-C18)/C18*100)</f>
        <v>2.5283875851627555</v>
      </c>
      <c r="G18" s="38">
        <f>IF($B18="AC",$D18,NA())</f>
        <v>6772</v>
      </c>
      <c r="H18" s="38" t="e">
        <f>IF($B18="AC",NA(),$D18)</f>
        <v>#N/A</v>
      </c>
      <c r="I18" s="38">
        <f>IF($E18&gt;0,$E18,NA())</f>
        <v>167</v>
      </c>
      <c r="J18" s="38" t="e">
        <f>IF($E18&lt;0,$E18,NA())</f>
        <v>#N/A</v>
      </c>
      <c r="K18" s="38">
        <f>IF($F18&gt;0,$F18,NA())</f>
        <v>2.5283875851627555</v>
      </c>
      <c r="L18" s="38" t="e">
        <f>IF($F18&lt;0,$F18,NA())</f>
        <v>#N/A</v>
      </c>
      <c r="M18" s="38">
        <f>IF($F18&gt;0,$F18,0)</f>
        <v>2.5283875851627555</v>
      </c>
      <c r="N18" s="38">
        <f>IF($F18&lt;0,-$F18,0)</f>
        <v>0</v>
      </c>
      <c r="O18" s="39"/>
      <c r="P18" s="39"/>
      <c r="Q18" s="39">
        <f>C18/$O$13</f>
        <v>0.66643123801836346</v>
      </c>
      <c r="R18" s="39">
        <f>D18/$O$13</f>
        <v>0.68328120270406623</v>
      </c>
      <c r="S18" s="16" t="str">
        <f>IF(ISNA(D18),"",TEXT(D18,"0"))</f>
        <v>6772</v>
      </c>
      <c r="T18" s="39">
        <f>E18/$O$13</f>
        <v>1.6849964685702754E-2</v>
      </c>
      <c r="U18" s="16" t="str">
        <f>IF(ISNA(E18),"",TEXT(E18,"+0;-0"))</f>
        <v>+167</v>
      </c>
      <c r="V18" s="39">
        <f>I18/$O$13</f>
        <v>1.6849964685702754E-2</v>
      </c>
      <c r="W18" s="39" t="e">
        <f>J18/$O$13</f>
        <v>#N/A</v>
      </c>
      <c r="X18" s="39">
        <f>K18/$P$13</f>
        <v>0.26274887537306291</v>
      </c>
      <c r="Y18" s="16" t="str">
        <f>IF(ISNA(K18),"",TEXT(K18,"+0.0;-0.0"))</f>
        <v>+2.5</v>
      </c>
      <c r="Z18" s="39" t="e">
        <f>L18/$P$13</f>
        <v>#N/A</v>
      </c>
      <c r="AA18" s="16" t="str">
        <f>IF(ISNA(L18),"",TEXT(L18,"+0.0;-0.0"))</f>
        <v/>
      </c>
      <c r="AB18" s="39">
        <f>M18/$P$13</f>
        <v>0.26274887537306291</v>
      </c>
      <c r="AC18" s="39">
        <f>N18/$P$13</f>
        <v>0</v>
      </c>
    </row>
    <row r="19" spans="1:29" x14ac:dyDescent="0.35">
      <c r="A19" s="20" t="s">
        <v>150</v>
      </c>
      <c r="B19" t="s">
        <v>17</v>
      </c>
      <c r="C19" s="35">
        <v>7057</v>
      </c>
      <c r="D19" s="35">
        <v>7441</v>
      </c>
      <c r="E19" s="37">
        <f>D19-C19</f>
        <v>384</v>
      </c>
      <c r="F19" s="38">
        <f>IF(C19&lt;=0,NA(),(D19-C19)/C19*100)</f>
        <v>5.4414056964715884</v>
      </c>
      <c r="G19" s="38">
        <f>IF($B19="AC",$D19,NA())</f>
        <v>7441</v>
      </c>
      <c r="H19" s="38" t="e">
        <f>IF($B19="AC",NA(),$D19)</f>
        <v>#N/A</v>
      </c>
      <c r="I19" s="38">
        <f>IF($E19&gt;0,$E19,NA())</f>
        <v>384</v>
      </c>
      <c r="J19" s="38" t="e">
        <f>IF($E19&lt;0,$E19,NA())</f>
        <v>#N/A</v>
      </c>
      <c r="K19" s="38">
        <f>IF($F19&gt;0,$F19,NA())</f>
        <v>5.4414056964715884</v>
      </c>
      <c r="L19" s="38" t="e">
        <f>IF($F19&lt;0,$F19,NA())</f>
        <v>#N/A</v>
      </c>
      <c r="M19" s="38">
        <f>IF($F19&gt;0,$F19,0)</f>
        <v>5.4414056964715884</v>
      </c>
      <c r="N19" s="38">
        <f>IF($F19&lt;0,-$F19,0)</f>
        <v>0</v>
      </c>
      <c r="O19" s="39"/>
      <c r="P19" s="39"/>
      <c r="Q19" s="39">
        <f>C19/$O$13</f>
        <v>0.71203713046110384</v>
      </c>
      <c r="R19" s="39">
        <f>D19/$O$13</f>
        <v>0.75078195943900716</v>
      </c>
      <c r="S19" s="16" t="str">
        <f>IF(ISNA(D19),"",TEXT(D19,"0"))</f>
        <v>7441</v>
      </c>
      <c r="T19" s="39">
        <f>E19/$O$13</f>
        <v>3.8744828977903337E-2</v>
      </c>
      <c r="U19" s="16" t="str">
        <f>IF(ISNA(E19),"",TEXT(E19,"+0;-0"))</f>
        <v>+384</v>
      </c>
      <c r="V19" s="39">
        <f>I19/$O$13</f>
        <v>3.8744828977903337E-2</v>
      </c>
      <c r="W19" s="39" t="e">
        <f>J19/$O$13</f>
        <v>#N/A</v>
      </c>
      <c r="X19" s="39">
        <f>K19/$P$13</f>
        <v>0.565468378181605</v>
      </c>
      <c r="Y19" s="16" t="str">
        <f>IF(ISNA(K19),"",TEXT(K19,"+0.0;-0.0"))</f>
        <v>+5.4</v>
      </c>
      <c r="Z19" s="39" t="e">
        <f>L19/$P$13</f>
        <v>#N/A</v>
      </c>
      <c r="AA19" s="16" t="str">
        <f>IF(ISNA(L19),"",TEXT(L19,"+0.0;-0.0"))</f>
        <v/>
      </c>
      <c r="AB19" s="39">
        <f>M19/$P$13</f>
        <v>0.565468378181605</v>
      </c>
      <c r="AC19" s="39">
        <f>N19/$P$13</f>
        <v>0</v>
      </c>
    </row>
    <row r="20" spans="1:29" x14ac:dyDescent="0.35">
      <c r="A20" s="20" t="s">
        <v>151</v>
      </c>
      <c r="B20" t="s">
        <v>26</v>
      </c>
      <c r="C20" s="35">
        <v>7199</v>
      </c>
      <c r="D20" s="36">
        <v>7610</v>
      </c>
      <c r="E20" s="37">
        <f>D20-C20</f>
        <v>411</v>
      </c>
      <c r="F20" s="38">
        <f>IF(C20&lt;=0,NA(),(D20-C20)/C20*100)</f>
        <v>5.7091262675371581</v>
      </c>
      <c r="G20" s="38" t="e">
        <f>IF($B20="AC",$D20,NA())</f>
        <v>#N/A</v>
      </c>
      <c r="H20" s="38">
        <f>IF($B20="AC",NA(),$D20)</f>
        <v>7610</v>
      </c>
      <c r="I20" s="38">
        <f>IF($E20&gt;0,$E20,NA())</f>
        <v>411</v>
      </c>
      <c r="J20" s="38" t="e">
        <f>IF($E20&lt;0,$E20,NA())</f>
        <v>#N/A</v>
      </c>
      <c r="K20" s="38">
        <f>IF($F20&gt;0,$F20,NA())</f>
        <v>5.7091262675371581</v>
      </c>
      <c r="L20" s="38" t="e">
        <f>IF($F20&lt;0,$F20,NA())</f>
        <v>#N/A</v>
      </c>
      <c r="M20" s="38">
        <f>IF($F20&gt;0,$F20,0)</f>
        <v>5.7091262675371581</v>
      </c>
      <c r="N20" s="38">
        <f>IF($F20&lt;0,-$F20,0)</f>
        <v>0</v>
      </c>
      <c r="O20" s="39"/>
      <c r="P20" s="39"/>
      <c r="Q20" s="39">
        <f>C20/$O$13</f>
        <v>0.72636464534355771</v>
      </c>
      <c r="R20" s="39">
        <f>D20/$O$13</f>
        <v>0.76783372010896989</v>
      </c>
      <c r="S20" s="16" t="str">
        <f>IF(ISNA(D20),"",TEXT(D20,"0"))</f>
        <v>7610</v>
      </c>
      <c r="T20" s="39">
        <f>E20/$O$13</f>
        <v>4.1469074765412166E-2</v>
      </c>
      <c r="U20" s="16" t="str">
        <f>IF(ISNA(E20),"",TEXT(E20,"+0;-0"))</f>
        <v>+411</v>
      </c>
      <c r="V20" s="39">
        <f>I20/$O$13</f>
        <v>4.1469074765412166E-2</v>
      </c>
      <c r="W20" s="39" t="e">
        <f>J20/$O$13</f>
        <v>#N/A</v>
      </c>
      <c r="X20" s="39">
        <f>K20/$P$13</f>
        <v>0.59328977683682127</v>
      </c>
      <c r="Y20" s="16" t="str">
        <f>IF(ISNA(K20),"",TEXT(K20,"+0.0;-0.0"))</f>
        <v>+5.7</v>
      </c>
      <c r="Z20" s="39" t="e">
        <f>L20/$P$13</f>
        <v>#N/A</v>
      </c>
      <c r="AA20" s="16" t="str">
        <f>IF(ISNA(L20),"",TEXT(L20,"+0.0;-0.0"))</f>
        <v/>
      </c>
      <c r="AB20" s="39">
        <f>M20/$P$13</f>
        <v>0.59328977683682127</v>
      </c>
      <c r="AC20" s="39">
        <f>N20/$P$13</f>
        <v>0</v>
      </c>
    </row>
    <row r="21" spans="1:29" x14ac:dyDescent="0.35">
      <c r="A21" s="20" t="s">
        <v>152</v>
      </c>
      <c r="B21" t="s">
        <v>26</v>
      </c>
      <c r="C21" s="35">
        <v>7128</v>
      </c>
      <c r="D21" s="36">
        <v>7535</v>
      </c>
      <c r="E21" s="37">
        <f>D21-C21</f>
        <v>407</v>
      </c>
      <c r="F21" s="38">
        <f>IF(C21&lt;=0,NA(),(D21-C21)/C21*100)</f>
        <v>5.7098765432098766</v>
      </c>
      <c r="G21" s="38" t="e">
        <f>IF($B21="AC",$D21,NA())</f>
        <v>#N/A</v>
      </c>
      <c r="H21" s="38">
        <f>IF($B21="AC",NA(),$D21)</f>
        <v>7535</v>
      </c>
      <c r="I21" s="38">
        <f>IF($E21&gt;0,$E21,NA())</f>
        <v>407</v>
      </c>
      <c r="J21" s="38" t="e">
        <f>IF($E21&lt;0,$E21,NA())</f>
        <v>#N/A</v>
      </c>
      <c r="K21" s="38">
        <f>IF($F21&gt;0,$F21,NA())</f>
        <v>5.7098765432098766</v>
      </c>
      <c r="L21" s="38" t="e">
        <f>IF($F21&lt;0,$F21,NA())</f>
        <v>#N/A</v>
      </c>
      <c r="M21" s="38">
        <f>IF($F21&gt;0,$F21,0)</f>
        <v>5.7098765432098766</v>
      </c>
      <c r="N21" s="38">
        <f>IF($F21&lt;0,-$F21,0)</f>
        <v>0</v>
      </c>
      <c r="O21" s="39"/>
      <c r="P21" s="39"/>
      <c r="Q21" s="39">
        <f>C21/$O$13</f>
        <v>0.71920088790233072</v>
      </c>
      <c r="R21" s="39">
        <f>D21/$O$13</f>
        <v>0.76026637069922309</v>
      </c>
      <c r="S21" s="16" t="str">
        <f>IF(ISNA(D21),"",TEXT(D21,"0"))</f>
        <v>7535</v>
      </c>
      <c r="T21" s="39">
        <f>E21/$O$13</f>
        <v>4.1065482796892344E-2</v>
      </c>
      <c r="U21" s="16" t="str">
        <f>IF(ISNA(E21),"",TEXT(E21,"+0;-0"))</f>
        <v>+407</v>
      </c>
      <c r="V21" s="39">
        <f>I21/$O$13</f>
        <v>4.1065482796892344E-2</v>
      </c>
      <c r="W21" s="39" t="e">
        <f>J21/$O$13</f>
        <v>#N/A</v>
      </c>
      <c r="X21" s="39">
        <f>K21/$P$13</f>
        <v>0.59336774513977586</v>
      </c>
      <c r="Y21" s="16" t="str">
        <f>IF(ISNA(K21),"",TEXT(K21,"+0.0;-0.0"))</f>
        <v>+5.7</v>
      </c>
      <c r="Z21" s="39" t="e">
        <f>L21/$P$13</f>
        <v>#N/A</v>
      </c>
      <c r="AA21" s="16" t="str">
        <f>IF(ISNA(L21),"",TEXT(L21,"+0.0;-0.0"))</f>
        <v/>
      </c>
      <c r="AB21" s="39">
        <f>M21/$P$13</f>
        <v>0.59336774513977586</v>
      </c>
      <c r="AC21" s="39">
        <f>N21/$P$13</f>
        <v>0</v>
      </c>
    </row>
    <row r="22" spans="1:29" x14ac:dyDescent="0.35">
      <c r="A22" s="20" t="s">
        <v>153</v>
      </c>
      <c r="B22" t="s">
        <v>26</v>
      </c>
      <c r="C22" s="35">
        <v>7002</v>
      </c>
      <c r="D22" s="36">
        <v>7402</v>
      </c>
      <c r="E22" s="37">
        <f>D22-C22</f>
        <v>400</v>
      </c>
      <c r="F22" s="38">
        <f>IF(C22&lt;=0,NA(),(D22-C22)/C22*100)</f>
        <v>5.7126535275635533</v>
      </c>
      <c r="G22" s="38" t="e">
        <f>IF($B22="AC",$D22,NA())</f>
        <v>#N/A</v>
      </c>
      <c r="H22" s="38">
        <f>IF($B22="AC",NA(),$D22)</f>
        <v>7402</v>
      </c>
      <c r="I22" s="38">
        <f>IF($E22&gt;0,$E22,NA())</f>
        <v>400</v>
      </c>
      <c r="J22" s="38" t="e">
        <f>IF($E22&lt;0,$E22,NA())</f>
        <v>#N/A</v>
      </c>
      <c r="K22" s="38">
        <f>IF($F22&gt;0,$F22,NA())</f>
        <v>5.7126535275635533</v>
      </c>
      <c r="L22" s="38" t="e">
        <f>IF($F22&lt;0,$F22,NA())</f>
        <v>#N/A</v>
      </c>
      <c r="M22" s="38">
        <f>IF($F22&gt;0,$F22,0)</f>
        <v>5.7126535275635533</v>
      </c>
      <c r="N22" s="38">
        <f>IF($F22&lt;0,-$F22,0)</f>
        <v>0</v>
      </c>
      <c r="O22" s="39"/>
      <c r="P22" s="39"/>
      <c r="Q22" s="39">
        <f>C22/$O$13</f>
        <v>0.70648774089395616</v>
      </c>
      <c r="R22" s="39">
        <f>D22/$O$13</f>
        <v>0.74684693774593891</v>
      </c>
      <c r="S22" s="16" t="str">
        <f>IF(ISNA(D22),"",TEXT(D22,"0"))</f>
        <v>7402</v>
      </c>
      <c r="T22" s="39">
        <f>E22/$O$13</f>
        <v>4.0359196851982644E-2</v>
      </c>
      <c r="U22" s="16" t="str">
        <f>IF(ISNA(E22),"",TEXT(E22,"+0;-0"))</f>
        <v>+400</v>
      </c>
      <c r="V22" s="39">
        <f>I22/$O$13</f>
        <v>4.0359196851982644E-2</v>
      </c>
      <c r="W22" s="39" t="e">
        <f>J22/$O$13</f>
        <v>#N/A</v>
      </c>
      <c r="X22" s="39">
        <f>K22/$P$13</f>
        <v>0.5936563280770355</v>
      </c>
      <c r="Y22" s="16" t="str">
        <f>IF(ISNA(K22),"",TEXT(K22,"+0.0;-0.0"))</f>
        <v>+5.7</v>
      </c>
      <c r="Z22" s="39" t="e">
        <f>L22/$P$13</f>
        <v>#N/A</v>
      </c>
      <c r="AA22" s="16" t="str">
        <f>IF(ISNA(L22),"",TEXT(L22,"+0.0;-0.0"))</f>
        <v/>
      </c>
      <c r="AB22" s="39">
        <f>M22/$P$13</f>
        <v>0.5936563280770355</v>
      </c>
      <c r="AC22" s="39">
        <f>N22/$P$13</f>
        <v>0</v>
      </c>
    </row>
    <row r="23" spans="1:29" x14ac:dyDescent="0.35">
      <c r="A23" s="20" t="s">
        <v>154</v>
      </c>
      <c r="B23" t="s">
        <v>26</v>
      </c>
      <c r="C23" s="35">
        <v>6193</v>
      </c>
      <c r="D23" s="36">
        <v>6547</v>
      </c>
      <c r="E23" s="37">
        <f>D23-C23</f>
        <v>354</v>
      </c>
      <c r="F23" s="38">
        <f>IF(C23&lt;=0,NA(),(D23-C23)/C23*100)</f>
        <v>5.7161311157758758</v>
      </c>
      <c r="G23" s="38" t="e">
        <f>IF($B23="AC",$D23,NA())</f>
        <v>#N/A</v>
      </c>
      <c r="H23" s="38">
        <f>IF($B23="AC",NA(),$D23)</f>
        <v>6547</v>
      </c>
      <c r="I23" s="38">
        <f>IF($E23&gt;0,$E23,NA())</f>
        <v>354</v>
      </c>
      <c r="J23" s="38" t="e">
        <f>IF($E23&lt;0,$E23,NA())</f>
        <v>#N/A</v>
      </c>
      <c r="K23" s="38">
        <f>IF($F23&gt;0,$F23,NA())</f>
        <v>5.7161311157758758</v>
      </c>
      <c r="L23" s="38" t="e">
        <f>IF($F23&lt;0,$F23,NA())</f>
        <v>#N/A</v>
      </c>
      <c r="M23" s="38">
        <f>IF($F23&gt;0,$F23,0)</f>
        <v>5.7161311157758758</v>
      </c>
      <c r="N23" s="38">
        <f>IF($F23&lt;0,-$F23,0)</f>
        <v>0</v>
      </c>
      <c r="O23" s="39"/>
      <c r="P23" s="39"/>
      <c r="Q23" s="39">
        <f>C23/$O$13</f>
        <v>0.62486126526082131</v>
      </c>
      <c r="R23" s="39">
        <f>D23/$O$13</f>
        <v>0.66057915447482596</v>
      </c>
      <c r="S23" s="16" t="str">
        <f>IF(ISNA(D23),"",TEXT(D23,"0"))</f>
        <v>6547</v>
      </c>
      <c r="T23" s="39">
        <f>E23/$O$13</f>
        <v>3.5717889214004643E-2</v>
      </c>
      <c r="U23" s="16" t="str">
        <f>IF(ISNA(E23),"",TEXT(E23,"+0;-0"))</f>
        <v>+354</v>
      </c>
      <c r="V23" s="39">
        <f>I23/$O$13</f>
        <v>3.5717889214004643E-2</v>
      </c>
      <c r="W23" s="39" t="e">
        <f>J23/$O$13</f>
        <v>#N/A</v>
      </c>
      <c r="X23" s="39">
        <f>K23/$P$13</f>
        <v>0.59401771744516896</v>
      </c>
      <c r="Y23" s="16" t="str">
        <f>IF(ISNA(K23),"",TEXT(K23,"+0.0;-0.0"))</f>
        <v>+5.7</v>
      </c>
      <c r="Z23" s="39" t="e">
        <f>L23/$P$13</f>
        <v>#N/A</v>
      </c>
      <c r="AA23" s="16" t="str">
        <f>IF(ISNA(L23),"",TEXT(L23,"+0.0;-0.0"))</f>
        <v/>
      </c>
      <c r="AB23" s="39">
        <f>M23/$P$13</f>
        <v>0.59401771744516896</v>
      </c>
      <c r="AC23" s="39">
        <f>N23/$P$13</f>
        <v>0</v>
      </c>
    </row>
    <row r="24" spans="1:29" x14ac:dyDescent="0.35">
      <c r="A24" s="20" t="s">
        <v>155</v>
      </c>
      <c r="B24" t="s">
        <v>26</v>
      </c>
      <c r="C24" s="35">
        <v>6313</v>
      </c>
      <c r="D24" s="36">
        <v>6674</v>
      </c>
      <c r="E24" s="37">
        <f>D24-C24</f>
        <v>361</v>
      </c>
      <c r="F24" s="38">
        <f>IF(C24&lt;=0,NA(),(D24-C24)/C24*100)</f>
        <v>5.7183589418659908</v>
      </c>
      <c r="G24" s="38" t="e">
        <f>IF($B24="AC",$D24,NA())</f>
        <v>#N/A</v>
      </c>
      <c r="H24" s="38">
        <f>IF($B24="AC",NA(),$D24)</f>
        <v>6674</v>
      </c>
      <c r="I24" s="38">
        <f>IF($E24&gt;0,$E24,NA())</f>
        <v>361</v>
      </c>
      <c r="J24" s="38" t="e">
        <f>IF($E24&lt;0,$E24,NA())</f>
        <v>#N/A</v>
      </c>
      <c r="K24" s="38">
        <f>IF($F24&gt;0,$F24,NA())</f>
        <v>5.7183589418659908</v>
      </c>
      <c r="L24" s="38" t="e">
        <f>IF($F24&lt;0,$F24,NA())</f>
        <v>#N/A</v>
      </c>
      <c r="M24" s="38">
        <f>IF($F24&gt;0,$F24,0)</f>
        <v>5.7183589418659908</v>
      </c>
      <c r="N24" s="38">
        <f>IF($F24&lt;0,-$F24,0)</f>
        <v>0</v>
      </c>
      <c r="O24" s="39"/>
      <c r="P24" s="39"/>
      <c r="Q24" s="39">
        <f>C24/$O$13</f>
        <v>0.63696902431641611</v>
      </c>
      <c r="R24" s="39">
        <f>D24/$O$13</f>
        <v>0.6733931994753305</v>
      </c>
      <c r="S24" s="16" t="str">
        <f>IF(ISNA(D24),"",TEXT(D24,"0"))</f>
        <v>6674</v>
      </c>
      <c r="T24" s="39">
        <f>E24/$O$13</f>
        <v>3.6424175158914336E-2</v>
      </c>
      <c r="U24" s="16" t="str">
        <f>IF(ISNA(E24),"",TEXT(E24,"+0;-0"))</f>
        <v>+361</v>
      </c>
      <c r="V24" s="39">
        <f>I24/$O$13</f>
        <v>3.6424175158914336E-2</v>
      </c>
      <c r="W24" s="39" t="e">
        <f>J24/$O$13</f>
        <v>#N/A</v>
      </c>
      <c r="X24" s="39">
        <f>K24/$P$13</f>
        <v>0.59424923210816583</v>
      </c>
      <c r="Y24" s="16" t="str">
        <f>IF(ISNA(K24),"",TEXT(K24,"+0.0;-0.0"))</f>
        <v>+5.7</v>
      </c>
      <c r="Z24" s="39" t="e">
        <f>L24/$P$13</f>
        <v>#N/A</v>
      </c>
      <c r="AA24" s="16" t="str">
        <f>IF(ISNA(L24),"",TEXT(L24,"+0.0;-0.0"))</f>
        <v/>
      </c>
      <c r="AB24" s="39">
        <f>M24/$P$13</f>
        <v>0.59424923210816583</v>
      </c>
      <c r="AC24" s="39">
        <f>N24/$P$13</f>
        <v>0</v>
      </c>
    </row>
    <row r="25" spans="1:29" x14ac:dyDescent="0.35">
      <c r="D25" s="8"/>
    </row>
    <row r="26" spans="1:29" ht="24" customHeight="1" x14ac:dyDescent="0.35">
      <c r="A26" s="40" t="s">
        <v>156</v>
      </c>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row>
  </sheetData>
  <mergeCells count="10">
    <mergeCell ref="B7:AC7"/>
    <mergeCell ref="B9:AC9"/>
    <mergeCell ref="B10:AC10"/>
    <mergeCell ref="A26:AC26"/>
    <mergeCell ref="B1:AC1"/>
    <mergeCell ref="B2:AC2"/>
    <mergeCell ref="B3:AC3"/>
    <mergeCell ref="B4:AC4"/>
    <mergeCell ref="B5:AC5"/>
    <mergeCell ref="B6:AC6"/>
  </mergeCells>
  <printOptions horizontalCentered="1" verticalCentered="1"/>
  <pageMargins left="0.25" right="0.25" top="0.25" bottom="0.25" header="0.125" footer="0.125"/>
  <pageSetup scale="97"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45BB8-ABB7-4C07-97EB-2A9B1F85C099}">
  <sheetPr>
    <pageSetUpPr fitToPage="1"/>
  </sheetPr>
  <dimension ref="A1:Y31"/>
  <sheetViews>
    <sheetView showGridLines="0" workbookViewId="0"/>
  </sheetViews>
  <sheetFormatPr defaultRowHeight="14.5" x14ac:dyDescent="0.35"/>
  <cols>
    <col min="1" max="1" width="15.6328125" customWidth="1"/>
    <col min="2" max="3" width="9.6328125" customWidth="1"/>
    <col min="4" max="6" width="9.1796875" customWidth="1"/>
    <col min="7" max="12" width="8.1796875" customWidth="1"/>
    <col min="13" max="25" width="8.6328125" hidden="1" customWidth="1"/>
  </cols>
  <sheetData>
    <row r="1" spans="1:25" ht="15" customHeight="1" x14ac:dyDescent="0.35">
      <c r="A1" s="30" t="s">
        <v>75</v>
      </c>
      <c r="B1" s="18" t="s">
        <v>76</v>
      </c>
      <c r="C1" s="18"/>
      <c r="D1" s="18"/>
      <c r="E1" s="18"/>
      <c r="F1" s="18"/>
      <c r="G1" s="18"/>
      <c r="H1" s="18"/>
      <c r="I1" s="18"/>
      <c r="J1" s="18"/>
      <c r="K1" s="18"/>
      <c r="L1" s="18"/>
      <c r="M1" s="18"/>
      <c r="N1" s="18"/>
      <c r="O1" s="18"/>
      <c r="P1" s="18"/>
      <c r="Q1" s="18"/>
      <c r="R1" s="18"/>
      <c r="S1" s="18"/>
      <c r="T1" s="18"/>
      <c r="U1" s="18"/>
      <c r="V1" s="18"/>
      <c r="W1" s="18"/>
      <c r="X1" s="18"/>
      <c r="Y1" s="18"/>
    </row>
    <row r="2" spans="1:25" ht="15" customHeight="1" x14ac:dyDescent="0.35">
      <c r="A2" s="30" t="s">
        <v>77</v>
      </c>
      <c r="B2" s="18" t="s">
        <v>114</v>
      </c>
      <c r="C2" s="17"/>
      <c r="D2" s="17"/>
      <c r="E2" s="17"/>
      <c r="F2" s="17"/>
      <c r="G2" s="17"/>
      <c r="H2" s="17"/>
      <c r="I2" s="17"/>
      <c r="J2" s="17"/>
      <c r="K2" s="17"/>
      <c r="L2" s="17"/>
      <c r="M2" s="17"/>
      <c r="N2" s="17"/>
      <c r="O2" s="17"/>
      <c r="P2" s="17"/>
      <c r="Q2" s="17"/>
      <c r="R2" s="17"/>
      <c r="S2" s="17"/>
      <c r="T2" s="17"/>
      <c r="U2" s="17"/>
      <c r="V2" s="17"/>
      <c r="W2" s="17"/>
      <c r="X2" s="17"/>
      <c r="Y2" s="17"/>
    </row>
    <row r="3" spans="1:25" ht="15" customHeight="1" x14ac:dyDescent="0.35">
      <c r="A3" s="30" t="s">
        <v>79</v>
      </c>
      <c r="B3" s="18" t="s">
        <v>80</v>
      </c>
      <c r="C3" s="17"/>
      <c r="D3" s="17"/>
      <c r="E3" s="17"/>
      <c r="F3" s="17"/>
      <c r="G3" s="17"/>
      <c r="H3" s="17"/>
      <c r="I3" s="17"/>
      <c r="J3" s="17"/>
      <c r="K3" s="17"/>
      <c r="L3" s="17"/>
      <c r="M3" s="17"/>
      <c r="N3" s="17"/>
      <c r="O3" s="17"/>
      <c r="P3" s="17"/>
      <c r="Q3" s="17"/>
      <c r="R3" s="17"/>
      <c r="S3" s="17"/>
      <c r="T3" s="17"/>
      <c r="U3" s="17"/>
      <c r="V3" s="17"/>
      <c r="W3" s="17"/>
      <c r="X3" s="17"/>
      <c r="Y3" s="17"/>
    </row>
    <row r="4" spans="1:25" ht="15" customHeight="1" x14ac:dyDescent="0.35">
      <c r="A4" s="30" t="s">
        <v>81</v>
      </c>
      <c r="B4" s="18" t="s">
        <v>157</v>
      </c>
      <c r="C4" s="17"/>
      <c r="D4" s="17"/>
      <c r="E4" s="17"/>
      <c r="F4" s="17"/>
      <c r="G4" s="17"/>
      <c r="H4" s="17"/>
      <c r="I4" s="17"/>
      <c r="J4" s="17"/>
      <c r="K4" s="17"/>
      <c r="L4" s="17"/>
      <c r="M4" s="17"/>
      <c r="N4" s="17"/>
      <c r="O4" s="17"/>
      <c r="P4" s="17"/>
      <c r="Q4" s="17"/>
      <c r="R4" s="17"/>
      <c r="S4" s="17"/>
      <c r="T4" s="17"/>
      <c r="U4" s="17"/>
      <c r="V4" s="17"/>
      <c r="W4" s="17"/>
      <c r="X4" s="17"/>
      <c r="Y4" s="17"/>
    </row>
    <row r="5" spans="1:25" ht="15" customHeight="1" x14ac:dyDescent="0.35">
      <c r="A5" s="30" t="s">
        <v>83</v>
      </c>
      <c r="B5" s="18" t="s">
        <v>31</v>
      </c>
      <c r="C5" s="17"/>
      <c r="D5" s="17"/>
      <c r="E5" s="17"/>
      <c r="F5" s="17"/>
      <c r="G5" s="17"/>
      <c r="H5" s="17"/>
      <c r="I5" s="17"/>
      <c r="J5" s="17"/>
      <c r="K5" s="17"/>
      <c r="L5" s="17"/>
      <c r="M5" s="17"/>
      <c r="N5" s="17"/>
      <c r="O5" s="17"/>
      <c r="P5" s="17"/>
      <c r="Q5" s="17"/>
      <c r="R5" s="17"/>
      <c r="S5" s="17"/>
      <c r="T5" s="17"/>
      <c r="U5" s="17"/>
      <c r="V5" s="17"/>
      <c r="W5" s="17"/>
      <c r="X5" s="17"/>
      <c r="Y5" s="17"/>
    </row>
    <row r="6" spans="1:25" ht="29.5" customHeight="1" x14ac:dyDescent="0.35">
      <c r="A6" s="30" t="s">
        <v>84</v>
      </c>
      <c r="B6" s="32" t="s">
        <v>158</v>
      </c>
      <c r="C6" s="32"/>
      <c r="D6" s="32"/>
      <c r="E6" s="32"/>
      <c r="F6" s="32"/>
      <c r="G6" s="32"/>
      <c r="H6" s="32"/>
      <c r="I6" s="32"/>
      <c r="J6" s="32"/>
      <c r="K6" s="32"/>
      <c r="L6" s="32"/>
      <c r="M6" s="32"/>
      <c r="N6" s="32"/>
      <c r="O6" s="32"/>
      <c r="P6" s="32"/>
      <c r="Q6" s="32"/>
      <c r="R6" s="32"/>
      <c r="S6" s="32"/>
      <c r="T6" s="32"/>
      <c r="U6" s="32"/>
      <c r="V6" s="32"/>
      <c r="W6" s="32"/>
      <c r="X6" s="32"/>
      <c r="Y6" s="32"/>
    </row>
    <row r="7" spans="1:25" ht="15" customHeight="1" x14ac:dyDescent="0.35">
      <c r="A7" s="30" t="s">
        <v>86</v>
      </c>
      <c r="B7" s="31" t="str">
        <f>B2&amp;" in "&amp;B3</f>
        <v>Underwriting result in $m</v>
      </c>
      <c r="C7" s="31"/>
      <c r="D7" s="31"/>
      <c r="E7" s="31"/>
      <c r="F7" s="31"/>
      <c r="G7" s="31"/>
      <c r="H7" s="31"/>
      <c r="I7" s="31"/>
      <c r="J7" s="31"/>
      <c r="K7" s="31"/>
      <c r="L7" s="31"/>
      <c r="M7" s="31"/>
      <c r="N7" s="31"/>
      <c r="O7" s="31"/>
      <c r="P7" s="31"/>
      <c r="Q7" s="31"/>
      <c r="R7" s="31"/>
      <c r="S7" s="31"/>
      <c r="T7" s="31"/>
      <c r="U7" s="31"/>
      <c r="V7" s="31"/>
      <c r="W7" s="31"/>
      <c r="X7" s="31"/>
      <c r="Y7" s="31"/>
    </row>
    <row r="8" spans="1:25" ht="15" customHeight="1" x14ac:dyDescent="0.35"/>
    <row r="9" spans="1:25" ht="15" customHeight="1" x14ac:dyDescent="0.35">
      <c r="A9" s="30" t="s">
        <v>118</v>
      </c>
      <c r="B9" s="19" t="str">
        <f>"Δ"&amp;$B$5&amp;" "&amp;$B$3</f>
        <v>ΔPL $m</v>
      </c>
      <c r="C9" s="17"/>
      <c r="D9" s="17"/>
      <c r="E9" s="17"/>
      <c r="F9" s="17"/>
      <c r="G9" s="17"/>
      <c r="H9" s="17"/>
      <c r="I9" s="17"/>
      <c r="J9" s="17"/>
      <c r="K9" s="17"/>
      <c r="L9" s="17"/>
      <c r="M9" s="17"/>
      <c r="N9" s="17"/>
      <c r="O9" s="17"/>
      <c r="P9" s="17"/>
      <c r="Q9" s="17"/>
      <c r="R9" s="17"/>
      <c r="S9" s="17"/>
      <c r="T9" s="17"/>
      <c r="U9" s="17"/>
      <c r="V9" s="17"/>
      <c r="W9" s="17"/>
      <c r="X9" s="17"/>
      <c r="Y9" s="17"/>
    </row>
    <row r="10" spans="1:25" ht="15" customHeight="1" x14ac:dyDescent="0.35">
      <c r="A10" s="30" t="s">
        <v>117</v>
      </c>
      <c r="B10" s="19" t="str">
        <f>"Δ"&amp;$B$5&amp;"%"</f>
        <v>ΔPL%</v>
      </c>
      <c r="C10" s="17"/>
      <c r="D10" s="17"/>
      <c r="E10" s="17"/>
      <c r="F10" s="17"/>
      <c r="G10" s="17"/>
      <c r="H10" s="17"/>
      <c r="I10" s="17"/>
      <c r="J10" s="17"/>
      <c r="K10" s="17"/>
      <c r="L10" s="17"/>
      <c r="M10" s="17"/>
      <c r="N10" s="17"/>
      <c r="O10" s="17"/>
      <c r="P10" s="17"/>
      <c r="Q10" s="17"/>
      <c r="R10" s="17"/>
      <c r="S10" s="17"/>
      <c r="T10" s="17"/>
      <c r="U10" s="17"/>
      <c r="V10" s="17"/>
      <c r="W10" s="17"/>
      <c r="X10" s="17"/>
      <c r="Y10" s="17"/>
    </row>
    <row r="11" spans="1:25" ht="15" customHeight="1" x14ac:dyDescent="0.35"/>
    <row r="12" spans="1:25" ht="28" customHeight="1" x14ac:dyDescent="0.35">
      <c r="A12" s="33" t="s">
        <v>159</v>
      </c>
      <c r="B12" s="33" t="s">
        <v>13</v>
      </c>
      <c r="C12" s="33" t="s">
        <v>77</v>
      </c>
      <c r="D12" s="33" t="s">
        <v>160</v>
      </c>
      <c r="E12" s="33" t="s">
        <v>31</v>
      </c>
      <c r="F12" s="33" t="s">
        <v>161</v>
      </c>
      <c r="G12" s="33" t="s">
        <v>162</v>
      </c>
      <c r="H12" s="33" t="s">
        <v>163</v>
      </c>
      <c r="I12" s="33" t="s">
        <v>164</v>
      </c>
      <c r="J12" s="33" t="s">
        <v>165</v>
      </c>
      <c r="K12" s="33" t="s">
        <v>127</v>
      </c>
      <c r="L12" s="33" t="s">
        <v>128</v>
      </c>
      <c r="M12" s="33" t="s">
        <v>129</v>
      </c>
      <c r="N12" s="33" t="s">
        <v>130</v>
      </c>
      <c r="O12" s="33" t="s">
        <v>131</v>
      </c>
      <c r="P12" s="33" t="s">
        <v>132</v>
      </c>
      <c r="Q12" s="33" t="s">
        <v>133</v>
      </c>
      <c r="R12" s="33" t="s">
        <v>134</v>
      </c>
      <c r="S12" s="33" t="s">
        <v>135</v>
      </c>
      <c r="T12" s="33" t="s">
        <v>136</v>
      </c>
      <c r="U12" s="33" t="s">
        <v>137</v>
      </c>
      <c r="V12" s="33" t="s">
        <v>166</v>
      </c>
      <c r="W12" s="33" t="s">
        <v>167</v>
      </c>
      <c r="X12" s="33" t="s">
        <v>138</v>
      </c>
      <c r="Y12" s="33" t="s">
        <v>140</v>
      </c>
    </row>
    <row r="13" spans="1:25" x14ac:dyDescent="0.35">
      <c r="A13" s="20" t="s">
        <v>155</v>
      </c>
      <c r="B13" t="s">
        <v>17</v>
      </c>
      <c r="C13" s="44">
        <v>882</v>
      </c>
      <c r="D13" s="45">
        <v>670</v>
      </c>
      <c r="E13" s="46">
        <f>C13-D13</f>
        <v>212</v>
      </c>
      <c r="F13" s="38">
        <f>IF(E13&lt;=0,NA(),D13/E13*100)</f>
        <v>316.03773584905662</v>
      </c>
      <c r="G13" s="47">
        <f>IF($D13&gt;0,$D13,NA())</f>
        <v>670</v>
      </c>
      <c r="H13" s="47" t="e">
        <f>IF($D13&lt;0,$D13,NA())</f>
        <v>#N/A</v>
      </c>
      <c r="I13" s="38">
        <f>IF($F13&gt;0,$F13,NA())</f>
        <v>316.03773584905662</v>
      </c>
      <c r="J13" s="38" t="e">
        <f>IF($F13&lt;0,$F13,NA())</f>
        <v>#N/A</v>
      </c>
      <c r="K13" s="38">
        <f>IF($F13&gt;0,$F13,0)</f>
        <v>316.03773584905662</v>
      </c>
      <c r="L13" s="38">
        <f>IF($F13&lt;0,-$F13,0)</f>
        <v>0</v>
      </c>
      <c r="M13" s="39">
        <f>MAX(_xlfn.AGGREGATE(4,6,E13:E31,C13:C31,D13:D31,G13:G31,H13:H31),-_xlfn.AGGREGATE(5,6,E13:E31,C13:C31,D13:D31,G13:G31,H13:H31),0.000000001)</f>
        <v>882</v>
      </c>
      <c r="N13" s="39">
        <f>MAX(_xlfn.AGGREGATE(4,6,F13:F31,I13:I31,J13:J31),-_xlfn.AGGREGATE(5,6,F13:F31,I13:I31,J13:J31),0.000000001)</f>
        <v>316.03773584905662</v>
      </c>
      <c r="O13" s="39">
        <f>E13/$M$13</f>
        <v>0.24036281179138322</v>
      </c>
      <c r="P13" s="39">
        <f>C13/$M$13</f>
        <v>1</v>
      </c>
      <c r="Q13" s="16" t="str">
        <f>IF(ISNA(C13),"",TEXT(C13,"0"))</f>
        <v>882</v>
      </c>
      <c r="R13" s="39">
        <f>D13/$M$13</f>
        <v>0.75963718820861681</v>
      </c>
      <c r="S13" s="16" t="str">
        <f>IF(ISNA(D13),"",TEXT(D13,"+0;-0"))</f>
        <v>+670</v>
      </c>
      <c r="T13" s="39">
        <f>G13/$M$13</f>
        <v>0.75963718820861681</v>
      </c>
      <c r="U13" s="39" t="e">
        <f>H13/$M$13</f>
        <v>#N/A</v>
      </c>
      <c r="V13" s="39">
        <f>F13/$N$13</f>
        <v>1</v>
      </c>
      <c r="W13" s="16" t="str">
        <f>IF(ISNA(F13),"",TEXT(F13,"+0;-0"))</f>
        <v>+316</v>
      </c>
      <c r="X13" s="39">
        <f>I13/$N$13</f>
        <v>1</v>
      </c>
      <c r="Y13" s="39" t="e">
        <f>J13/$N$13</f>
        <v>#N/A</v>
      </c>
    </row>
    <row r="14" spans="1:25" x14ac:dyDescent="0.35">
      <c r="A14" s="20" t="s">
        <v>154</v>
      </c>
      <c r="B14" t="s">
        <v>17</v>
      </c>
      <c r="C14" s="44">
        <v>528</v>
      </c>
      <c r="D14" s="45">
        <v>325</v>
      </c>
      <c r="E14" s="46">
        <f>C14-D14</f>
        <v>203</v>
      </c>
      <c r="F14" s="38">
        <f>IF(E14&lt;=0,NA(),D14/E14*100)</f>
        <v>160.09852216748769</v>
      </c>
      <c r="G14" s="47">
        <f>IF($D14&gt;0,$D14,NA())</f>
        <v>325</v>
      </c>
      <c r="H14" s="47" t="e">
        <f>IF($D14&lt;0,$D14,NA())</f>
        <v>#N/A</v>
      </c>
      <c r="I14" s="38">
        <f>IF($F14&gt;0,$F14,NA())</f>
        <v>160.09852216748769</v>
      </c>
      <c r="J14" s="38" t="e">
        <f>IF($F14&lt;0,$F14,NA())</f>
        <v>#N/A</v>
      </c>
      <c r="K14" s="38">
        <f>IF($F14&gt;0,$F14,0)</f>
        <v>160.09852216748769</v>
      </c>
      <c r="L14" s="38">
        <f>IF($F14&lt;0,-$F14,0)</f>
        <v>0</v>
      </c>
      <c r="M14" s="39"/>
      <c r="N14" s="39"/>
      <c r="O14" s="39">
        <f>E14/$M$13</f>
        <v>0.23015873015873015</v>
      </c>
      <c r="P14" s="39">
        <f>C14/$M$13</f>
        <v>0.59863945578231292</v>
      </c>
      <c r="Q14" s="16" t="str">
        <f>IF(ISNA(C14),"",TEXT(C14,"0"))</f>
        <v>528</v>
      </c>
      <c r="R14" s="39">
        <f>D14/$M$13</f>
        <v>0.36848072562358275</v>
      </c>
      <c r="S14" s="16" t="str">
        <f>IF(ISNA(D14),"",TEXT(D14,"+0;-0"))</f>
        <v>+325</v>
      </c>
      <c r="T14" s="39">
        <f>G14/$M$13</f>
        <v>0.36848072562358275</v>
      </c>
      <c r="U14" s="39" t="e">
        <f>H14/$M$13</f>
        <v>#N/A</v>
      </c>
      <c r="V14" s="39">
        <f>F14/$N$13</f>
        <v>0.50658039850011027</v>
      </c>
      <c r="W14" s="16" t="str">
        <f>IF(ISNA(F14),"",TEXT(F14,"+0;-0"))</f>
        <v>+160</v>
      </c>
      <c r="X14" s="39">
        <f>I14/$N$13</f>
        <v>0.50658039850011027</v>
      </c>
      <c r="Y14" s="39" t="e">
        <f>J14/$N$13</f>
        <v>#N/A</v>
      </c>
    </row>
    <row r="15" spans="1:25" x14ac:dyDescent="0.35">
      <c r="A15" s="20" t="s">
        <v>150</v>
      </c>
      <c r="B15" t="s">
        <v>17</v>
      </c>
      <c r="C15" s="44">
        <v>531</v>
      </c>
      <c r="D15" s="45">
        <v>305</v>
      </c>
      <c r="E15" s="46">
        <f>C15-D15</f>
        <v>226</v>
      </c>
      <c r="F15" s="38">
        <f>IF(E15&lt;=0,NA(),D15/E15*100)</f>
        <v>134.95575221238937</v>
      </c>
      <c r="G15" s="47">
        <f>IF($D15&gt;0,$D15,NA())</f>
        <v>305</v>
      </c>
      <c r="H15" s="47" t="e">
        <f>IF($D15&lt;0,$D15,NA())</f>
        <v>#N/A</v>
      </c>
      <c r="I15" s="38">
        <f>IF($F15&gt;0,$F15,NA())</f>
        <v>134.95575221238937</v>
      </c>
      <c r="J15" s="38" t="e">
        <f>IF($F15&lt;0,$F15,NA())</f>
        <v>#N/A</v>
      </c>
      <c r="K15" s="38">
        <f>IF($F15&gt;0,$F15,0)</f>
        <v>134.95575221238937</v>
      </c>
      <c r="L15" s="38">
        <f>IF($F15&lt;0,-$F15,0)</f>
        <v>0</v>
      </c>
      <c r="M15" s="39"/>
      <c r="N15" s="39"/>
      <c r="O15" s="39">
        <f>E15/$M$13</f>
        <v>0.25623582766439912</v>
      </c>
      <c r="P15" s="39">
        <f>C15/$M$13</f>
        <v>0.60204081632653061</v>
      </c>
      <c r="Q15" s="16" t="str">
        <f>IF(ISNA(C15),"",TEXT(C15,"0"))</f>
        <v>531</v>
      </c>
      <c r="R15" s="39">
        <f>D15/$M$13</f>
        <v>0.3458049886621315</v>
      </c>
      <c r="S15" s="16" t="str">
        <f>IF(ISNA(D15),"",TEXT(D15,"+0;-0"))</f>
        <v>+305</v>
      </c>
      <c r="T15" s="39">
        <f>G15/$M$13</f>
        <v>0.3458049886621315</v>
      </c>
      <c r="U15" s="39" t="e">
        <f>H15/$M$13</f>
        <v>#N/A</v>
      </c>
      <c r="V15" s="39">
        <f>F15/$N$13</f>
        <v>0.4270241711795007</v>
      </c>
      <c r="W15" s="16" t="str">
        <f>IF(ISNA(F15),"",TEXT(F15,"+0;-0"))</f>
        <v>+135</v>
      </c>
      <c r="X15" s="39">
        <f>I15/$N$13</f>
        <v>0.4270241711795007</v>
      </c>
      <c r="Y15" s="39" t="e">
        <f>J15/$N$13</f>
        <v>#N/A</v>
      </c>
    </row>
    <row r="16" spans="1:25" x14ac:dyDescent="0.35">
      <c r="A16" s="20" t="s">
        <v>152</v>
      </c>
      <c r="B16" t="s">
        <v>17</v>
      </c>
      <c r="C16" s="44">
        <v>479</v>
      </c>
      <c r="D16" s="45">
        <v>293</v>
      </c>
      <c r="E16" s="46">
        <f>C16-D16</f>
        <v>186</v>
      </c>
      <c r="F16" s="38">
        <f>IF(E16&lt;=0,NA(),D16/E16*100)</f>
        <v>157.52688172043011</v>
      </c>
      <c r="G16" s="47">
        <f>IF($D16&gt;0,$D16,NA())</f>
        <v>293</v>
      </c>
      <c r="H16" s="47" t="e">
        <f>IF($D16&lt;0,$D16,NA())</f>
        <v>#N/A</v>
      </c>
      <c r="I16" s="38">
        <f>IF($F16&gt;0,$F16,NA())</f>
        <v>157.52688172043011</v>
      </c>
      <c r="J16" s="38" t="e">
        <f>IF($F16&lt;0,$F16,NA())</f>
        <v>#N/A</v>
      </c>
      <c r="K16" s="38">
        <f>IF($F16&gt;0,$F16,0)</f>
        <v>157.52688172043011</v>
      </c>
      <c r="L16" s="38">
        <f>IF($F16&lt;0,-$F16,0)</f>
        <v>0</v>
      </c>
      <c r="M16" s="39"/>
      <c r="N16" s="39"/>
      <c r="O16" s="39">
        <f>E16/$M$13</f>
        <v>0.21088435374149661</v>
      </c>
      <c r="P16" s="39">
        <f>C16/$M$13</f>
        <v>0.54308390022675734</v>
      </c>
      <c r="Q16" s="16" t="str">
        <f>IF(ISNA(C16),"",TEXT(C16,"0"))</f>
        <v>479</v>
      </c>
      <c r="R16" s="39">
        <f>D16/$M$13</f>
        <v>0.33219954648526079</v>
      </c>
      <c r="S16" s="16" t="str">
        <f>IF(ISNA(D16),"",TEXT(D16,"+0;-0"))</f>
        <v>+293</v>
      </c>
      <c r="T16" s="39">
        <f>G16/$M$13</f>
        <v>0.33219954648526079</v>
      </c>
      <c r="U16" s="39" t="e">
        <f>H16/$M$13</f>
        <v>#N/A</v>
      </c>
      <c r="V16" s="39">
        <f>F16/$N$13</f>
        <v>0.4984432675333012</v>
      </c>
      <c r="W16" s="16" t="str">
        <f>IF(ISNA(F16),"",TEXT(F16,"+0;-0"))</f>
        <v>+158</v>
      </c>
      <c r="X16" s="39">
        <f>I16/$N$13</f>
        <v>0.4984432675333012</v>
      </c>
      <c r="Y16" s="39" t="e">
        <f>J16/$N$13</f>
        <v>#N/A</v>
      </c>
    </row>
    <row r="17" spans="1:25" x14ac:dyDescent="0.35">
      <c r="A17" s="20" t="s">
        <v>153</v>
      </c>
      <c r="B17" t="s">
        <v>17</v>
      </c>
      <c r="C17" s="44">
        <v>323</v>
      </c>
      <c r="D17" s="45">
        <v>108</v>
      </c>
      <c r="E17" s="46">
        <f>C17-D17</f>
        <v>215</v>
      </c>
      <c r="F17" s="38">
        <f>IF(E17&lt;=0,NA(),D17/E17*100)</f>
        <v>50.232558139534888</v>
      </c>
      <c r="G17" s="47">
        <f>IF($D17&gt;0,$D17,NA())</f>
        <v>108</v>
      </c>
      <c r="H17" s="47" t="e">
        <f>IF($D17&lt;0,$D17,NA())</f>
        <v>#N/A</v>
      </c>
      <c r="I17" s="38">
        <f>IF($F17&gt;0,$F17,NA())</f>
        <v>50.232558139534888</v>
      </c>
      <c r="J17" s="38" t="e">
        <f>IF($F17&lt;0,$F17,NA())</f>
        <v>#N/A</v>
      </c>
      <c r="K17" s="38">
        <f>IF($F17&gt;0,$F17,0)</f>
        <v>50.232558139534888</v>
      </c>
      <c r="L17" s="38">
        <f>IF($F17&lt;0,-$F17,0)</f>
        <v>0</v>
      </c>
      <c r="M17" s="39"/>
      <c r="N17" s="39"/>
      <c r="O17" s="39">
        <f>E17/$M$13</f>
        <v>0.24376417233560091</v>
      </c>
      <c r="P17" s="39">
        <f>C17/$M$13</f>
        <v>0.36621315192743764</v>
      </c>
      <c r="Q17" s="16" t="str">
        <f>IF(ISNA(C17),"",TEXT(C17,"0"))</f>
        <v>323</v>
      </c>
      <c r="R17" s="39">
        <f>D17/$M$13</f>
        <v>0.12244897959183673</v>
      </c>
      <c r="S17" s="16" t="str">
        <f>IF(ISNA(D17),"",TEXT(D17,"+0;-0"))</f>
        <v>+108</v>
      </c>
      <c r="T17" s="39">
        <f>G17/$M$13</f>
        <v>0.12244897959183673</v>
      </c>
      <c r="U17" s="39" t="e">
        <f>H17/$M$13</f>
        <v>#N/A</v>
      </c>
      <c r="V17" s="39">
        <f>F17/$N$13</f>
        <v>0.15894481082957307</v>
      </c>
      <c r="W17" s="16" t="str">
        <f>IF(ISNA(F17),"",TEXT(F17,"+0;-0"))</f>
        <v>+50</v>
      </c>
      <c r="X17" s="39">
        <f>I17/$N$13</f>
        <v>0.15894481082957307</v>
      </c>
      <c r="Y17" s="39" t="e">
        <f>J17/$N$13</f>
        <v>#N/A</v>
      </c>
    </row>
    <row r="18" spans="1:25" x14ac:dyDescent="0.35">
      <c r="A18" s="20" t="s">
        <v>145</v>
      </c>
      <c r="B18" t="s">
        <v>17</v>
      </c>
      <c r="C18" s="44">
        <v>204</v>
      </c>
      <c r="D18" s="45">
        <v>37</v>
      </c>
      <c r="E18" s="46">
        <f>C18-D18</f>
        <v>167</v>
      </c>
      <c r="F18" s="38">
        <f>IF(E18&lt;=0,NA(),D18/E18*100)</f>
        <v>22.155688622754489</v>
      </c>
      <c r="G18" s="47">
        <f>IF($D18&gt;0,$D18,NA())</f>
        <v>37</v>
      </c>
      <c r="H18" s="47" t="e">
        <f>IF($D18&lt;0,$D18,NA())</f>
        <v>#N/A</v>
      </c>
      <c r="I18" s="38">
        <f>IF($F18&gt;0,$F18,NA())</f>
        <v>22.155688622754489</v>
      </c>
      <c r="J18" s="38" t="e">
        <f>IF($F18&lt;0,$F18,NA())</f>
        <v>#N/A</v>
      </c>
      <c r="K18" s="38">
        <f>IF($F18&gt;0,$F18,0)</f>
        <v>22.155688622754489</v>
      </c>
      <c r="L18" s="38">
        <f>IF($F18&lt;0,-$F18,0)</f>
        <v>0</v>
      </c>
      <c r="M18" s="39"/>
      <c r="N18" s="39"/>
      <c r="O18" s="39">
        <f>E18/$M$13</f>
        <v>0.18934240362811791</v>
      </c>
      <c r="P18" s="39">
        <f>C18/$M$13</f>
        <v>0.23129251700680273</v>
      </c>
      <c r="Q18" s="16" t="str">
        <f>IF(ISNA(C18),"",TEXT(C18,"0"))</f>
        <v>204</v>
      </c>
      <c r="R18" s="39">
        <f>D18/$M$13</f>
        <v>4.195011337868481E-2</v>
      </c>
      <c r="S18" s="16" t="str">
        <f>IF(ISNA(D18),"",TEXT(D18,"+0;-0"))</f>
        <v>+37</v>
      </c>
      <c r="T18" s="39">
        <f>G18/$M$13</f>
        <v>4.195011337868481E-2</v>
      </c>
      <c r="U18" s="39" t="e">
        <f>H18/$M$13</f>
        <v>#N/A</v>
      </c>
      <c r="V18" s="39">
        <f>F18/$N$13</f>
        <v>7.0104566985432118E-2</v>
      </c>
      <c r="W18" s="16" t="str">
        <f>IF(ISNA(F18),"",TEXT(F18,"+0;-0"))</f>
        <v>+22</v>
      </c>
      <c r="X18" s="39">
        <f>I18/$N$13</f>
        <v>7.0104566985432118E-2</v>
      </c>
      <c r="Y18" s="39" t="e">
        <f>J18/$N$13</f>
        <v>#N/A</v>
      </c>
    </row>
    <row r="19" spans="1:25" x14ac:dyDescent="0.35">
      <c r="A19" s="20" t="s">
        <v>144</v>
      </c>
      <c r="B19" t="s">
        <v>17</v>
      </c>
      <c r="C19" s="44">
        <v>202</v>
      </c>
      <c r="D19" s="45">
        <v>0</v>
      </c>
      <c r="E19" s="46">
        <f>C19-D19</f>
        <v>202</v>
      </c>
      <c r="F19" s="38">
        <f>IF(E19&lt;=0,NA(),D19/E19*100)</f>
        <v>0</v>
      </c>
      <c r="G19" s="47" t="e">
        <f>IF($D19&gt;0,$D19,NA())</f>
        <v>#N/A</v>
      </c>
      <c r="H19" s="47" t="e">
        <f>IF($D19&lt;0,$D19,NA())</f>
        <v>#N/A</v>
      </c>
      <c r="I19" s="38" t="e">
        <f>IF($F19&gt;0,$F19,NA())</f>
        <v>#N/A</v>
      </c>
      <c r="J19" s="38" t="e">
        <f>IF($F19&lt;0,$F19,NA())</f>
        <v>#N/A</v>
      </c>
      <c r="K19" s="38">
        <f>IF($F19&gt;0,$F19,0)</f>
        <v>0</v>
      </c>
      <c r="L19" s="38">
        <f>IF($F19&lt;0,-$F19,0)</f>
        <v>0</v>
      </c>
      <c r="M19" s="39"/>
      <c r="N19" s="39"/>
      <c r="O19" s="39">
        <f>E19/$M$13</f>
        <v>0.22902494331065759</v>
      </c>
      <c r="P19" s="39">
        <f>C19/$M$13</f>
        <v>0.22902494331065759</v>
      </c>
      <c r="Q19" s="16" t="str">
        <f>IF(ISNA(C19),"",TEXT(C19,"0"))</f>
        <v>202</v>
      </c>
      <c r="R19" s="39">
        <f>D19/$M$13</f>
        <v>0</v>
      </c>
      <c r="S19" s="16" t="str">
        <f>IF(ISNA(D19),"",TEXT(D19,"+0;-0"))</f>
        <v>+0</v>
      </c>
      <c r="T19" s="39" t="e">
        <f>G19/$M$13</f>
        <v>#N/A</v>
      </c>
      <c r="U19" s="39" t="e">
        <f>H19/$M$13</f>
        <v>#N/A</v>
      </c>
      <c r="V19" s="39">
        <f>F19/$N$13</f>
        <v>0</v>
      </c>
      <c r="W19" s="16" t="str">
        <f>IF(ISNA(F19),"",TEXT(F19,"+0;-0"))</f>
        <v>+0</v>
      </c>
      <c r="X19" s="39" t="e">
        <f>I19/$N$13</f>
        <v>#N/A</v>
      </c>
      <c r="Y19" s="39" t="e">
        <f>J19/$N$13</f>
        <v>#N/A</v>
      </c>
    </row>
    <row r="20" spans="1:25" x14ac:dyDescent="0.35">
      <c r="A20" s="20" t="s">
        <v>151</v>
      </c>
      <c r="B20" t="s">
        <v>17</v>
      </c>
      <c r="C20" s="44">
        <v>129</v>
      </c>
      <c r="D20" s="45">
        <v>-55</v>
      </c>
      <c r="E20" s="46">
        <f>C20-D20</f>
        <v>184</v>
      </c>
      <c r="F20" s="38">
        <f>IF(E20&lt;=0,NA(),D20/E20*100)</f>
        <v>-29.891304347826086</v>
      </c>
      <c r="G20" s="47" t="e">
        <f>IF($D20&gt;0,$D20,NA())</f>
        <v>#N/A</v>
      </c>
      <c r="H20" s="47">
        <f>IF($D20&lt;0,$D20,NA())</f>
        <v>-55</v>
      </c>
      <c r="I20" s="38" t="e">
        <f>IF($F20&gt;0,$F20,NA())</f>
        <v>#N/A</v>
      </c>
      <c r="J20" s="38">
        <f>IF($F20&lt;0,$F20,NA())</f>
        <v>-29.891304347826086</v>
      </c>
      <c r="K20" s="38">
        <f>IF($F20&gt;0,$F20,0)</f>
        <v>0</v>
      </c>
      <c r="L20" s="38">
        <f>IF($F20&lt;0,-$F20,0)</f>
        <v>29.891304347826086</v>
      </c>
      <c r="M20" s="39"/>
      <c r="N20" s="39"/>
      <c r="O20" s="39">
        <f>E20/$M$13</f>
        <v>0.20861678004535147</v>
      </c>
      <c r="P20" s="39">
        <f>C20/$M$13</f>
        <v>0.14625850340136054</v>
      </c>
      <c r="Q20" s="16" t="str">
        <f>IF(ISNA(C20),"",TEXT(C20,"0"))</f>
        <v>129</v>
      </c>
      <c r="R20" s="39">
        <f>D20/$M$13</f>
        <v>-6.2358276643990927E-2</v>
      </c>
      <c r="S20" s="16" t="str">
        <f>IF(ISNA(D20),"",TEXT(D20,"+0;-0"))</f>
        <v>-55</v>
      </c>
      <c r="T20" s="39" t="e">
        <f>G20/$M$13</f>
        <v>#N/A</v>
      </c>
      <c r="U20" s="39">
        <f>H20/$M$13</f>
        <v>-6.2358276643990927E-2</v>
      </c>
      <c r="V20" s="39">
        <f>F20/$N$13</f>
        <v>-9.4581440622972093E-2</v>
      </c>
      <c r="W20" s="16" t="str">
        <f>IF(ISNA(F20),"",TEXT(F20,"+0;-0"))</f>
        <v>-30</v>
      </c>
      <c r="X20" s="39" t="e">
        <f>I20/$N$13</f>
        <v>#N/A</v>
      </c>
      <c r="Y20" s="39">
        <f>J20/$N$13</f>
        <v>-9.4581440622972093E-2</v>
      </c>
    </row>
    <row r="21" spans="1:25" x14ac:dyDescent="0.35">
      <c r="A21" s="20" t="s">
        <v>147</v>
      </c>
      <c r="B21" t="s">
        <v>17</v>
      </c>
      <c r="C21" s="44">
        <v>115</v>
      </c>
      <c r="D21" s="45">
        <v>-103</v>
      </c>
      <c r="E21" s="46">
        <f>C21-D21</f>
        <v>218</v>
      </c>
      <c r="F21" s="38">
        <f>IF(E21&lt;=0,NA(),D21/E21*100)</f>
        <v>-47.247706422018346</v>
      </c>
      <c r="G21" s="47" t="e">
        <f>IF($D21&gt;0,$D21,NA())</f>
        <v>#N/A</v>
      </c>
      <c r="H21" s="47">
        <f>IF($D21&lt;0,$D21,NA())</f>
        <v>-103</v>
      </c>
      <c r="I21" s="38" t="e">
        <f>IF($F21&gt;0,$F21,NA())</f>
        <v>#N/A</v>
      </c>
      <c r="J21" s="38">
        <f>IF($F21&lt;0,$F21,NA())</f>
        <v>-47.247706422018346</v>
      </c>
      <c r="K21" s="38">
        <f>IF($F21&gt;0,$F21,0)</f>
        <v>0</v>
      </c>
      <c r="L21" s="38">
        <f>IF($F21&lt;0,-$F21,0)</f>
        <v>47.247706422018346</v>
      </c>
      <c r="M21" s="39"/>
      <c r="N21" s="39"/>
      <c r="O21" s="39">
        <f>E21/$M$13</f>
        <v>0.2471655328798186</v>
      </c>
      <c r="P21" s="39">
        <f>C21/$M$13</f>
        <v>0.13038548752834467</v>
      </c>
      <c r="Q21" s="16" t="str">
        <f>IF(ISNA(C21),"",TEXT(C21,"0"))</f>
        <v>115</v>
      </c>
      <c r="R21" s="39">
        <f>D21/$M$13</f>
        <v>-0.11678004535147392</v>
      </c>
      <c r="S21" s="16" t="str">
        <f>IF(ISNA(D21),"",TEXT(D21,"+0;-0"))</f>
        <v>-103</v>
      </c>
      <c r="T21" s="39" t="e">
        <f>G21/$M$13</f>
        <v>#N/A</v>
      </c>
      <c r="U21" s="39">
        <f>H21/$M$13</f>
        <v>-0.11678004535147392</v>
      </c>
      <c r="V21" s="39">
        <f>F21/$N$13</f>
        <v>-0.14950020539504311</v>
      </c>
      <c r="W21" s="16" t="str">
        <f>IF(ISNA(F21),"",TEXT(F21,"+0;-0"))</f>
        <v>-47</v>
      </c>
      <c r="X21" s="39" t="e">
        <f>I21/$N$13</f>
        <v>#N/A</v>
      </c>
      <c r="Y21" s="39">
        <f>J21/$N$13</f>
        <v>-0.14950020539504311</v>
      </c>
    </row>
    <row r="22" spans="1:25" x14ac:dyDescent="0.35">
      <c r="A22" s="20" t="s">
        <v>148</v>
      </c>
      <c r="B22" t="s">
        <v>17</v>
      </c>
      <c r="C22" s="44">
        <v>45</v>
      </c>
      <c r="D22" s="45">
        <v>-135</v>
      </c>
      <c r="E22" s="46">
        <f>C22-D22</f>
        <v>180</v>
      </c>
      <c r="F22" s="38">
        <f>IF(E22&lt;=0,NA(),D22/E22*100)</f>
        <v>-75</v>
      </c>
      <c r="G22" s="47" t="e">
        <f>IF($D22&gt;0,$D22,NA())</f>
        <v>#N/A</v>
      </c>
      <c r="H22" s="47">
        <f>IF($D22&lt;0,$D22,NA())</f>
        <v>-135</v>
      </c>
      <c r="I22" s="38" t="e">
        <f>IF($F22&gt;0,$F22,NA())</f>
        <v>#N/A</v>
      </c>
      <c r="J22" s="38">
        <f>IF($F22&lt;0,$F22,NA())</f>
        <v>-75</v>
      </c>
      <c r="K22" s="38">
        <f>IF($F22&gt;0,$F22,0)</f>
        <v>0</v>
      </c>
      <c r="L22" s="38">
        <f>IF($F22&lt;0,-$F22,0)</f>
        <v>75</v>
      </c>
      <c r="M22" s="39"/>
      <c r="N22" s="39"/>
      <c r="O22" s="39">
        <f>E22/$M$13</f>
        <v>0.20408163265306123</v>
      </c>
      <c r="P22" s="39">
        <f>C22/$M$13</f>
        <v>5.1020408163265307E-2</v>
      </c>
      <c r="Q22" s="16" t="str">
        <f>IF(ISNA(C22),"",TEXT(C22,"0"))</f>
        <v>45</v>
      </c>
      <c r="R22" s="39">
        <f>D22/$M$13</f>
        <v>-0.15306122448979592</v>
      </c>
      <c r="S22" s="16" t="str">
        <f>IF(ISNA(D22),"",TEXT(D22,"+0;-0"))</f>
        <v>-135</v>
      </c>
      <c r="T22" s="39" t="e">
        <f>G22/$M$13</f>
        <v>#N/A</v>
      </c>
      <c r="U22" s="39">
        <f>H22/$M$13</f>
        <v>-0.15306122448979592</v>
      </c>
      <c r="V22" s="39">
        <f>F22/$N$13</f>
        <v>-0.23731343283582088</v>
      </c>
      <c r="W22" s="16" t="str">
        <f>IF(ISNA(F22),"",TEXT(F22,"+0;-0"))</f>
        <v>-75</v>
      </c>
      <c r="X22" s="39" t="e">
        <f>I22/$N$13</f>
        <v>#N/A</v>
      </c>
      <c r="Y22" s="39">
        <f>J22/$N$13</f>
        <v>-0.23731343283582088</v>
      </c>
    </row>
    <row r="23" spans="1:25" x14ac:dyDescent="0.35">
      <c r="A23" s="20" t="s">
        <v>149</v>
      </c>
      <c r="B23" t="s">
        <v>17</v>
      </c>
      <c r="C23" s="44">
        <v>-221</v>
      </c>
      <c r="D23" s="45">
        <v>-402</v>
      </c>
      <c r="E23" s="46">
        <f>C23-D23</f>
        <v>181</v>
      </c>
      <c r="F23" s="38">
        <f>IF(E23&lt;=0,NA(),D23/E23*100)</f>
        <v>-222.09944751381215</v>
      </c>
      <c r="G23" s="47" t="e">
        <f>IF($D23&gt;0,$D23,NA())</f>
        <v>#N/A</v>
      </c>
      <c r="H23" s="47">
        <f>IF($D23&lt;0,$D23,NA())</f>
        <v>-402</v>
      </c>
      <c r="I23" s="38" t="e">
        <f>IF($F23&gt;0,$F23,NA())</f>
        <v>#N/A</v>
      </c>
      <c r="J23" s="38">
        <f>IF($F23&lt;0,$F23,NA())</f>
        <v>-222.09944751381215</v>
      </c>
      <c r="K23" s="38">
        <f>IF($F23&gt;0,$F23,0)</f>
        <v>0</v>
      </c>
      <c r="L23" s="38">
        <f>IF($F23&lt;0,-$F23,0)</f>
        <v>222.09944751381215</v>
      </c>
      <c r="M23" s="39"/>
      <c r="N23" s="39"/>
      <c r="O23" s="39">
        <f>E23/$M$13</f>
        <v>0.20521541950113378</v>
      </c>
      <c r="P23" s="39">
        <f>C23/$M$13</f>
        <v>-0.25056689342403626</v>
      </c>
      <c r="Q23" s="16" t="str">
        <f>IF(ISNA(C23),"",TEXT(C23,"0"))</f>
        <v>-221</v>
      </c>
      <c r="R23" s="39">
        <f>D23/$M$13</f>
        <v>-0.45578231292517007</v>
      </c>
      <c r="S23" s="16" t="str">
        <f>IF(ISNA(D23),"",TEXT(D23,"+0;-0"))</f>
        <v>-402</v>
      </c>
      <c r="T23" s="39" t="e">
        <f>G23/$M$13</f>
        <v>#N/A</v>
      </c>
      <c r="U23" s="39">
        <f>H23/$M$13</f>
        <v>-0.45578231292517007</v>
      </c>
      <c r="V23" s="39">
        <f>F23/$N$13</f>
        <v>-0.70276243093922652</v>
      </c>
      <c r="W23" s="16" t="str">
        <f>IF(ISNA(F23),"",TEXT(F23,"+0;-0"))</f>
        <v>-222</v>
      </c>
      <c r="X23" s="39" t="e">
        <f>I23/$N$13</f>
        <v>#N/A</v>
      </c>
      <c r="Y23" s="39">
        <f>J23/$N$13</f>
        <v>-0.70276243093922652</v>
      </c>
    </row>
    <row r="24" spans="1:25" x14ac:dyDescent="0.35">
      <c r="A24" s="20" t="s">
        <v>146</v>
      </c>
      <c r="B24" t="s">
        <v>17</v>
      </c>
      <c r="C24" s="44">
        <v>-268</v>
      </c>
      <c r="D24" s="45">
        <v>-441</v>
      </c>
      <c r="E24" s="46">
        <f>C24-D24</f>
        <v>173</v>
      </c>
      <c r="F24" s="38">
        <f>IF(E24&lt;=0,NA(),D24/E24*100)</f>
        <v>-254.91329479768785</v>
      </c>
      <c r="G24" s="47" t="e">
        <f>IF($D24&gt;0,$D24,NA())</f>
        <v>#N/A</v>
      </c>
      <c r="H24" s="47">
        <f>IF($D24&lt;0,$D24,NA())</f>
        <v>-441</v>
      </c>
      <c r="I24" s="38" t="e">
        <f>IF($F24&gt;0,$F24,NA())</f>
        <v>#N/A</v>
      </c>
      <c r="J24" s="38">
        <f>IF($F24&lt;0,$F24,NA())</f>
        <v>-254.91329479768785</v>
      </c>
      <c r="K24" s="38">
        <f>IF($F24&gt;0,$F24,0)</f>
        <v>0</v>
      </c>
      <c r="L24" s="38">
        <f>IF($F24&lt;0,-$F24,0)</f>
        <v>254.91329479768785</v>
      </c>
      <c r="M24" s="39"/>
      <c r="N24" s="39"/>
      <c r="O24" s="39">
        <f>E24/$M$13</f>
        <v>0.19614512471655329</v>
      </c>
      <c r="P24" s="39">
        <f>C24/$M$13</f>
        <v>-0.30385487528344673</v>
      </c>
      <c r="Q24" s="16" t="str">
        <f>IF(ISNA(C24),"",TEXT(C24,"0"))</f>
        <v>-268</v>
      </c>
      <c r="R24" s="39">
        <f>D24/$M$13</f>
        <v>-0.5</v>
      </c>
      <c r="S24" s="16" t="str">
        <f>IF(ISNA(D24),"",TEXT(D24,"+0;-0"))</f>
        <v>-441</v>
      </c>
      <c r="T24" s="39" t="e">
        <f>G24/$M$13</f>
        <v>#N/A</v>
      </c>
      <c r="U24" s="39">
        <f>H24/$M$13</f>
        <v>-0.5</v>
      </c>
      <c r="V24" s="39">
        <f>F24/$N$13</f>
        <v>-0.80659132085238539</v>
      </c>
      <c r="W24" s="16" t="str">
        <f>IF(ISNA(F24),"",TEXT(F24,"+0;-0"))</f>
        <v>-255</v>
      </c>
      <c r="X24" s="39" t="e">
        <f>I24/$N$13</f>
        <v>#N/A</v>
      </c>
      <c r="Y24" s="39">
        <f>J24/$N$13</f>
        <v>-0.80659132085238539</v>
      </c>
    </row>
    <row r="25" spans="1:25" x14ac:dyDescent="0.35">
      <c r="A25" s="20"/>
      <c r="C25" s="42"/>
      <c r="D25" s="45"/>
      <c r="E25" s="46"/>
      <c r="F25" s="38"/>
      <c r="G25" s="47"/>
      <c r="H25" s="47"/>
      <c r="I25" s="38"/>
      <c r="J25" s="38"/>
      <c r="K25" s="38"/>
      <c r="L25" s="38"/>
      <c r="M25" s="39"/>
      <c r="N25" s="39"/>
      <c r="O25" s="39"/>
      <c r="P25" s="39"/>
      <c r="Q25" s="16"/>
      <c r="R25" s="39"/>
      <c r="S25" s="16"/>
      <c r="T25" s="39"/>
      <c r="U25" s="39"/>
      <c r="V25" s="39"/>
      <c r="W25" s="16"/>
      <c r="X25" s="39"/>
      <c r="Y25" s="39"/>
    </row>
    <row r="26" spans="1:25" ht="36" customHeight="1" x14ac:dyDescent="0.35">
      <c r="A26" s="40" t="s">
        <v>168</v>
      </c>
      <c r="B26" s="48"/>
      <c r="C26" s="48"/>
      <c r="D26" s="48"/>
      <c r="E26" s="48"/>
      <c r="F26" s="48"/>
      <c r="G26" s="48"/>
      <c r="H26" s="48"/>
      <c r="I26" s="48"/>
      <c r="J26" s="48"/>
      <c r="K26" s="48"/>
      <c r="L26" s="48"/>
      <c r="M26" s="48"/>
      <c r="N26" s="48"/>
      <c r="O26" s="48"/>
      <c r="P26" s="48"/>
      <c r="Q26" s="48"/>
      <c r="R26" s="48"/>
      <c r="S26" s="48"/>
      <c r="T26" s="48"/>
      <c r="U26" s="48"/>
      <c r="V26" s="48"/>
      <c r="W26" s="48"/>
      <c r="X26" s="48"/>
      <c r="Y26" s="48"/>
    </row>
    <row r="27" spans="1:25" x14ac:dyDescent="0.35">
      <c r="A27" s="20"/>
      <c r="C27" s="42"/>
      <c r="D27" s="45"/>
      <c r="E27" s="46"/>
      <c r="F27" s="38"/>
      <c r="G27" s="47"/>
      <c r="H27" s="47"/>
      <c r="I27" s="38"/>
      <c r="J27" s="38"/>
      <c r="K27" s="38"/>
      <c r="L27" s="38"/>
      <c r="M27" s="39"/>
      <c r="N27" s="39"/>
      <c r="O27" s="39"/>
      <c r="P27" s="39"/>
      <c r="Q27" s="16"/>
      <c r="R27" s="39"/>
      <c r="S27" s="16"/>
      <c r="T27" s="39"/>
      <c r="U27" s="39"/>
      <c r="V27" s="39"/>
      <c r="W27" s="16"/>
      <c r="X27" s="39"/>
      <c r="Y27" s="39"/>
    </row>
    <row r="28" spans="1:25" x14ac:dyDescent="0.35">
      <c r="A28" s="20"/>
      <c r="C28" s="42"/>
      <c r="D28" s="45"/>
      <c r="E28" s="46"/>
      <c r="F28" s="38"/>
      <c r="G28" s="47"/>
      <c r="H28" s="47"/>
      <c r="I28" s="38"/>
      <c r="J28" s="38"/>
      <c r="K28" s="38"/>
      <c r="L28" s="38"/>
      <c r="M28" s="39"/>
      <c r="N28" s="39"/>
      <c r="O28" s="39"/>
      <c r="P28" s="39"/>
      <c r="Q28" s="16"/>
      <c r="R28" s="39"/>
      <c r="S28" s="16"/>
      <c r="T28" s="39"/>
      <c r="U28" s="39"/>
      <c r="V28" s="39"/>
      <c r="W28" s="16"/>
      <c r="X28" s="39"/>
      <c r="Y28" s="39"/>
    </row>
    <row r="29" spans="1:25" x14ac:dyDescent="0.35">
      <c r="A29" s="20"/>
      <c r="C29" s="42"/>
      <c r="D29" s="45"/>
      <c r="E29" s="46"/>
      <c r="F29" s="38"/>
      <c r="G29" s="47"/>
      <c r="H29" s="47"/>
      <c r="I29" s="38"/>
      <c r="J29" s="38"/>
      <c r="K29" s="38"/>
      <c r="L29" s="38"/>
      <c r="M29" s="39"/>
      <c r="N29" s="39"/>
      <c r="O29" s="39"/>
      <c r="P29" s="39"/>
      <c r="Q29" s="16"/>
      <c r="R29" s="39"/>
      <c r="S29" s="16"/>
      <c r="T29" s="39"/>
      <c r="U29" s="39"/>
      <c r="V29" s="39"/>
      <c r="W29" s="16"/>
      <c r="X29" s="39"/>
      <c r="Y29" s="39"/>
    </row>
    <row r="30" spans="1:25" x14ac:dyDescent="0.35">
      <c r="A30" s="20"/>
      <c r="C30" s="42"/>
      <c r="D30" s="45"/>
      <c r="E30" s="46"/>
      <c r="F30" s="38"/>
      <c r="G30" s="47"/>
      <c r="H30" s="47"/>
      <c r="I30" s="38"/>
      <c r="J30" s="38"/>
      <c r="K30" s="38"/>
      <c r="L30" s="38"/>
      <c r="M30" s="39"/>
      <c r="N30" s="39"/>
      <c r="O30" s="39"/>
      <c r="P30" s="39"/>
      <c r="Q30" s="16"/>
      <c r="R30" s="39"/>
      <c r="S30" s="16"/>
      <c r="T30" s="39"/>
      <c r="U30" s="39"/>
      <c r="V30" s="39"/>
      <c r="W30" s="16"/>
      <c r="X30" s="39"/>
      <c r="Y30" s="39"/>
    </row>
    <row r="31" spans="1:25" x14ac:dyDescent="0.35">
      <c r="A31" s="20"/>
      <c r="C31" s="42"/>
      <c r="D31" s="45"/>
      <c r="E31" s="46"/>
      <c r="F31" s="38"/>
      <c r="G31" s="47"/>
      <c r="H31" s="47"/>
      <c r="I31" s="38"/>
      <c r="J31" s="38"/>
      <c r="K31" s="38"/>
      <c r="L31" s="38"/>
      <c r="M31" s="39"/>
      <c r="N31" s="39"/>
      <c r="O31" s="39"/>
      <c r="P31" s="39"/>
      <c r="Q31" s="16"/>
      <c r="R31" s="39"/>
      <c r="S31" s="16"/>
      <c r="T31" s="39"/>
      <c r="U31" s="39"/>
      <c r="V31" s="39"/>
      <c r="W31" s="16"/>
      <c r="X31" s="39"/>
      <c r="Y31" s="39"/>
    </row>
  </sheetData>
  <mergeCells count="10">
    <mergeCell ref="B7:Y7"/>
    <mergeCell ref="B9:Y9"/>
    <mergeCell ref="B10:Y10"/>
    <mergeCell ref="A26:Y26"/>
    <mergeCell ref="B1:Y1"/>
    <mergeCell ref="B2:Y2"/>
    <mergeCell ref="B3:Y3"/>
    <mergeCell ref="B4:Y4"/>
    <mergeCell ref="B5:Y5"/>
    <mergeCell ref="B6:Y6"/>
  </mergeCells>
  <printOptions horizontalCentered="1" verticalCentered="1"/>
  <pageMargins left="0.25" right="0.25" top="0.25" bottom="0.25" header="0.125" footer="0.125"/>
  <pageSetup scale="80" orientation="landscape"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C69CC-49A3-4067-8C72-DC2CA5AD936B}">
  <sheetPr>
    <pageSetUpPr fitToPage="1"/>
  </sheetPr>
  <dimension ref="A1:AU31"/>
  <sheetViews>
    <sheetView showGridLines="0" workbookViewId="0"/>
  </sheetViews>
  <sheetFormatPr defaultRowHeight="14.5" x14ac:dyDescent="0.35"/>
  <cols>
    <col min="1" max="1" width="11.6328125" customWidth="1"/>
    <col min="2" max="2" width="9.6328125" customWidth="1"/>
    <col min="3" max="6" width="8.6328125" customWidth="1"/>
    <col min="7" max="7" width="9.1796875" customWidth="1"/>
    <col min="8" max="14" width="8.1796875" customWidth="1"/>
    <col min="15" max="18" width="7.6328125" customWidth="1"/>
    <col min="19" max="22" width="8.1796875" customWidth="1"/>
    <col min="23" max="47" width="8.6328125" hidden="1" customWidth="1"/>
  </cols>
  <sheetData>
    <row r="1" spans="1:47" ht="15" customHeight="1" x14ac:dyDescent="0.35">
      <c r="A1" s="30" t="s">
        <v>75</v>
      </c>
      <c r="B1" s="18" t="s">
        <v>76</v>
      </c>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row>
    <row r="2" spans="1:47" ht="15" customHeight="1" x14ac:dyDescent="0.35">
      <c r="A2" s="30" t="s">
        <v>77</v>
      </c>
      <c r="B2" s="18" t="s">
        <v>114</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row>
    <row r="3" spans="1:47" ht="15" customHeight="1" x14ac:dyDescent="0.35">
      <c r="A3" s="30" t="s">
        <v>79</v>
      </c>
      <c r="B3" s="18" t="s">
        <v>80</v>
      </c>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row>
    <row r="4" spans="1:47" ht="15" customHeight="1" x14ac:dyDescent="0.35">
      <c r="A4" s="30" t="s">
        <v>81</v>
      </c>
      <c r="B4" s="18" t="s">
        <v>115</v>
      </c>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row>
    <row r="5" spans="1:47" ht="15" customHeight="1" x14ac:dyDescent="0.35">
      <c r="A5" s="30" t="s">
        <v>83</v>
      </c>
      <c r="B5" s="18" t="s">
        <v>24</v>
      </c>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row>
    <row r="6" spans="1:47" ht="29.5" customHeight="1" x14ac:dyDescent="0.35">
      <c r="A6" s="30" t="s">
        <v>84</v>
      </c>
      <c r="B6" s="32" t="s">
        <v>169</v>
      </c>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row>
    <row r="7" spans="1:47" ht="15" customHeight="1" x14ac:dyDescent="0.35">
      <c r="A7" s="30" t="s">
        <v>86</v>
      </c>
      <c r="B7" s="31" t="str">
        <f>B2&amp;" in "&amp;B3</f>
        <v>Underwriting result in $m</v>
      </c>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row>
    <row r="8" spans="1:47" ht="15" customHeight="1" x14ac:dyDescent="0.35"/>
    <row r="9" spans="1:47" ht="15" customHeight="1" x14ac:dyDescent="0.35">
      <c r="A9" s="30" t="s">
        <v>117</v>
      </c>
      <c r="B9" s="19" t="str">
        <f>"Δ"&amp;$B$5&amp;"%"</f>
        <v>ΔPY%</v>
      </c>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row>
    <row r="10" spans="1:47" ht="15" customHeight="1" x14ac:dyDescent="0.35"/>
    <row r="11" spans="1:47" ht="28" customHeight="1" x14ac:dyDescent="0.35">
      <c r="A11" s="33" t="s">
        <v>81</v>
      </c>
      <c r="B11" s="33" t="s">
        <v>13</v>
      </c>
      <c r="C11" s="33" t="s">
        <v>170</v>
      </c>
      <c r="D11" s="33" t="s">
        <v>171</v>
      </c>
      <c r="E11" s="33" t="s">
        <v>119</v>
      </c>
      <c r="F11" s="33" t="s">
        <v>24</v>
      </c>
      <c r="G11" s="33" t="s">
        <v>120</v>
      </c>
      <c r="H11" s="33" t="s">
        <v>172</v>
      </c>
      <c r="I11" s="33" t="s">
        <v>172</v>
      </c>
      <c r="J11" s="33" t="s">
        <v>173</v>
      </c>
      <c r="K11" s="33" t="s">
        <v>174</v>
      </c>
      <c r="L11" s="33" t="s">
        <v>175</v>
      </c>
      <c r="M11" s="33" t="s">
        <v>176</v>
      </c>
      <c r="N11" s="33" t="s">
        <v>177</v>
      </c>
      <c r="O11" s="33" t="s">
        <v>178</v>
      </c>
      <c r="P11" s="33" t="s">
        <v>179</v>
      </c>
      <c r="Q11" s="33" t="s">
        <v>180</v>
      </c>
      <c r="R11" s="33" t="s">
        <v>181</v>
      </c>
      <c r="S11" s="33" t="s">
        <v>125</v>
      </c>
      <c r="T11" s="33" t="s">
        <v>126</v>
      </c>
      <c r="U11" s="33" t="s">
        <v>127</v>
      </c>
      <c r="V11" s="33" t="s">
        <v>128</v>
      </c>
      <c r="W11" s="33" t="s">
        <v>129</v>
      </c>
      <c r="X11" s="33" t="s">
        <v>130</v>
      </c>
      <c r="Y11" s="33" t="s">
        <v>182</v>
      </c>
      <c r="Z11" s="33" t="s">
        <v>183</v>
      </c>
      <c r="AA11" s="33" t="s">
        <v>184</v>
      </c>
      <c r="AB11" s="33" t="s">
        <v>185</v>
      </c>
      <c r="AC11" s="33" t="s">
        <v>186</v>
      </c>
      <c r="AD11" s="33" t="s">
        <v>187</v>
      </c>
      <c r="AE11" s="33" t="s">
        <v>188</v>
      </c>
      <c r="AF11" s="33" t="s">
        <v>189</v>
      </c>
      <c r="AG11" s="33" t="s">
        <v>190</v>
      </c>
      <c r="AH11" s="33" t="s">
        <v>191</v>
      </c>
      <c r="AI11" s="33" t="s">
        <v>192</v>
      </c>
      <c r="AJ11" s="33" t="s">
        <v>193</v>
      </c>
      <c r="AK11" s="33" t="s">
        <v>194</v>
      </c>
      <c r="AL11" s="33" t="s">
        <v>195</v>
      </c>
      <c r="AM11" s="33" t="s">
        <v>196</v>
      </c>
      <c r="AN11" s="33" t="s">
        <v>197</v>
      </c>
      <c r="AO11" s="33" t="s">
        <v>198</v>
      </c>
      <c r="AP11" s="33" t="s">
        <v>138</v>
      </c>
      <c r="AQ11" s="33" t="s">
        <v>139</v>
      </c>
      <c r="AR11" s="33" t="s">
        <v>140</v>
      </c>
      <c r="AS11" s="33" t="s">
        <v>141</v>
      </c>
      <c r="AT11" s="33" t="s">
        <v>142</v>
      </c>
      <c r="AU11" s="33" t="s">
        <v>143</v>
      </c>
    </row>
    <row r="12" spans="1:47" x14ac:dyDescent="0.35">
      <c r="A12" s="20" t="s">
        <v>199</v>
      </c>
      <c r="B12" t="s">
        <v>31</v>
      </c>
      <c r="C12" s="16" t="s">
        <v>200</v>
      </c>
      <c r="D12" s="50">
        <f>SUM(F14:F25)</f>
        <v>10256</v>
      </c>
      <c r="E12" s="53"/>
      <c r="F12" s="54">
        <f>0</f>
        <v>0</v>
      </c>
      <c r="G12" s="38" t="e">
        <f>NA()</f>
        <v>#N/A</v>
      </c>
      <c r="H12" s="54" t="e">
        <f>NA()</f>
        <v>#N/A</v>
      </c>
      <c r="I12" s="54">
        <f>D12</f>
        <v>10256</v>
      </c>
      <c r="J12" s="54" t="e">
        <f>NA()</f>
        <v>#N/A</v>
      </c>
      <c r="K12" s="54" t="e">
        <f>NA()</f>
        <v>#N/A</v>
      </c>
      <c r="L12" s="54">
        <f>0</f>
        <v>0</v>
      </c>
      <c r="M12" s="54">
        <f>L12</f>
        <v>0</v>
      </c>
      <c r="N12" s="54">
        <f>0</f>
        <v>0</v>
      </c>
      <c r="O12" s="54">
        <f>0</f>
        <v>0</v>
      </c>
      <c r="P12" s="54">
        <f>0</f>
        <v>0</v>
      </c>
      <c r="Q12" s="54">
        <f>0</f>
        <v>0</v>
      </c>
      <c r="R12" s="54">
        <f>0</f>
        <v>0</v>
      </c>
      <c r="S12" s="38" t="e">
        <f>NA()</f>
        <v>#N/A</v>
      </c>
      <c r="T12" s="38" t="e">
        <f>NA()</f>
        <v>#N/A</v>
      </c>
      <c r="U12" s="37">
        <f>0</f>
        <v>0</v>
      </c>
      <c r="V12" s="37">
        <f>0</f>
        <v>0</v>
      </c>
      <c r="W12" s="39">
        <f>MAX(_xlfn.AGGREGATE(4,6,H12:H28,I12:I28,J12:J28,K12:K28,N12:N28,O12:O28,P12:P28,Q12:Q28,R12:R28),-_xlfn.AGGREGATE(5,6,H12:H28,I12:I28,J12:J28,K12:K28,N12:N28,O12:O28,P12:P28,Q12:Q28,R12:R28),0.000000001)</f>
        <v>11376</v>
      </c>
      <c r="X12" s="39">
        <f>MAX(_xlfn.AGGREGATE(4,6,S12:S28,T12:T28,U12:U28,V12:V28),-_xlfn.AGGREGATE(5,6,S12:S28,T12:T28,U12:U28,V12:V28),0.000000001)</f>
        <v>3648.1481481481483</v>
      </c>
      <c r="Y12" s="39" t="e">
        <f>H12/$W$12</f>
        <v>#N/A</v>
      </c>
      <c r="Z12" s="16" t="str">
        <f>IF(ISNA(H12),"",TEXT(H12,"#,##0"))</f>
        <v/>
      </c>
      <c r="AA12" s="39">
        <f>I12/$W$12</f>
        <v>0.90154711673699017</v>
      </c>
      <c r="AB12" s="16" t="str">
        <f>IF(ISNA(I12),"",TEXT(I12,"#,##0"))</f>
        <v>10,256</v>
      </c>
      <c r="AC12" s="39" t="e">
        <f>J12/$W$12</f>
        <v>#N/A</v>
      </c>
      <c r="AD12" s="16" t="str">
        <f>IF(ISNA(J12),"",TEXT(J12,"#,##0"))</f>
        <v/>
      </c>
      <c r="AE12" s="39" t="e">
        <f>K12/$W$12</f>
        <v>#N/A</v>
      </c>
      <c r="AF12" s="16" t="str">
        <f>IF(ISNA(K12),"",TEXT(K12,"#,##0"))</f>
        <v/>
      </c>
      <c r="AG12" s="39">
        <f>N12/$W$12</f>
        <v>0</v>
      </c>
      <c r="AH12" s="39">
        <f>O12/$W$12</f>
        <v>0</v>
      </c>
      <c r="AI12" s="16" t="str">
        <f>IF(ISNA(O12),"",TEXT(O12,"+#,##0"))</f>
        <v>+0</v>
      </c>
      <c r="AJ12" s="39">
        <f>P12/$W$12</f>
        <v>0</v>
      </c>
      <c r="AK12" s="16" t="str">
        <f>IF(ISNA(P12),"",TEXT(P12,"""-""#,##0"))</f>
        <v>-0</v>
      </c>
      <c r="AL12" s="39">
        <f>Q12/$W$12</f>
        <v>0</v>
      </c>
      <c r="AM12" s="16" t="str">
        <f>IF(ISNA(Q12),"",TEXT(Q12,"+#,##0"))</f>
        <v>+0</v>
      </c>
      <c r="AN12" s="39">
        <f>R12/$W$12</f>
        <v>0</v>
      </c>
      <c r="AO12" s="16" t="str">
        <f>IF(ISNA(R12),"",TEXT(R12,"""-""#,##0"))</f>
        <v>-0</v>
      </c>
      <c r="AP12" s="39" t="e">
        <f>S12/$X$12</f>
        <v>#N/A</v>
      </c>
      <c r="AQ12" s="16" t="str">
        <f>IF(ISNA(S12),"",TEXT(S12,"+0.0;-0.0"))</f>
        <v/>
      </c>
      <c r="AR12" s="39" t="e">
        <f>T12/$X$12</f>
        <v>#N/A</v>
      </c>
      <c r="AS12" s="16" t="str">
        <f>IF(ISNA(T12),"",TEXT(T12,"+0.0;-0.0"))</f>
        <v/>
      </c>
      <c r="AT12" s="39">
        <f>U12/$X$12</f>
        <v>0</v>
      </c>
      <c r="AU12" s="39">
        <f>V12/$X$12</f>
        <v>0</v>
      </c>
    </row>
    <row r="13" spans="1:47" x14ac:dyDescent="0.35">
      <c r="A13" s="20" t="s">
        <v>92</v>
      </c>
      <c r="B13" t="s">
        <v>24</v>
      </c>
      <c r="C13" s="16" t="s">
        <v>200</v>
      </c>
      <c r="D13" s="51">
        <v>10256</v>
      </c>
      <c r="E13" s="53"/>
      <c r="F13" s="54">
        <f>0</f>
        <v>0</v>
      </c>
      <c r="G13" s="38" t="e">
        <f>NA()</f>
        <v>#N/A</v>
      </c>
      <c r="H13" s="54">
        <f>D13</f>
        <v>10256</v>
      </c>
      <c r="I13" s="54" t="e">
        <f>NA()</f>
        <v>#N/A</v>
      </c>
      <c r="J13" s="54" t="e">
        <f>NA()</f>
        <v>#N/A</v>
      </c>
      <c r="K13" s="54" t="e">
        <f>NA()</f>
        <v>#N/A</v>
      </c>
      <c r="L13" s="54">
        <f>D13</f>
        <v>10256</v>
      </c>
      <c r="M13" s="54">
        <f>L13</f>
        <v>10256</v>
      </c>
      <c r="N13" s="54">
        <f>0</f>
        <v>0</v>
      </c>
      <c r="O13" s="54">
        <f>0</f>
        <v>0</v>
      </c>
      <c r="P13" s="54">
        <f>0</f>
        <v>0</v>
      </c>
      <c r="Q13" s="54">
        <f>0</f>
        <v>0</v>
      </c>
      <c r="R13" s="54">
        <f>0</f>
        <v>0</v>
      </c>
      <c r="S13" s="38" t="e">
        <f>NA()</f>
        <v>#N/A</v>
      </c>
      <c r="T13" s="38" t="e">
        <f>NA()</f>
        <v>#N/A</v>
      </c>
      <c r="U13" s="37">
        <f>0</f>
        <v>0</v>
      </c>
      <c r="V13" s="37">
        <f>0</f>
        <v>0</v>
      </c>
      <c r="W13" s="39"/>
      <c r="X13" s="39"/>
      <c r="Y13" s="39">
        <f>H13/$W$12</f>
        <v>0.90154711673699017</v>
      </c>
      <c r="Z13" s="16" t="str">
        <f>IF(ISNA(H13),"",TEXT(H13,"#,##0"))</f>
        <v>10,256</v>
      </c>
      <c r="AA13" s="39" t="e">
        <f>I13/$W$12</f>
        <v>#N/A</v>
      </c>
      <c r="AB13" s="16" t="str">
        <f>IF(ISNA(I13),"",TEXT(I13,"#,##0"))</f>
        <v/>
      </c>
      <c r="AC13" s="39" t="e">
        <f>J13/$W$12</f>
        <v>#N/A</v>
      </c>
      <c r="AD13" s="16" t="str">
        <f>IF(ISNA(J13),"",TEXT(J13,"#,##0"))</f>
        <v/>
      </c>
      <c r="AE13" s="39" t="e">
        <f>K13/$W$12</f>
        <v>#N/A</v>
      </c>
      <c r="AF13" s="16" t="str">
        <f>IF(ISNA(K13),"",TEXT(K13,"#,##0"))</f>
        <v/>
      </c>
      <c r="AG13" s="39">
        <f>N13/$W$12</f>
        <v>0</v>
      </c>
      <c r="AH13" s="39">
        <f>O13/$W$12</f>
        <v>0</v>
      </c>
      <c r="AI13" s="16" t="str">
        <f>IF(ISNA(O13),"",TEXT(O13,"+#,##0"))</f>
        <v>+0</v>
      </c>
      <c r="AJ13" s="39">
        <f>P13/$W$12</f>
        <v>0</v>
      </c>
      <c r="AK13" s="16" t="str">
        <f>IF(ISNA(P13),"",TEXT(P13,"""-""#,##0"))</f>
        <v>-0</v>
      </c>
      <c r="AL13" s="39">
        <f>Q13/$W$12</f>
        <v>0</v>
      </c>
      <c r="AM13" s="16" t="str">
        <f>IF(ISNA(Q13),"",TEXT(Q13,"+#,##0"))</f>
        <v>+0</v>
      </c>
      <c r="AN13" s="39">
        <f>R13/$W$12</f>
        <v>0</v>
      </c>
      <c r="AO13" s="16" t="str">
        <f>IF(ISNA(R13),"",TEXT(R13,"""-""#,##0"))</f>
        <v>-0</v>
      </c>
      <c r="AP13" s="39" t="e">
        <f>S13/$X$12</f>
        <v>#N/A</v>
      </c>
      <c r="AQ13" s="16" t="str">
        <f>IF(ISNA(S13),"",TEXT(S13,"+0.0;-0.0"))</f>
        <v/>
      </c>
      <c r="AR13" s="39" t="e">
        <f>T13/$X$12</f>
        <v>#N/A</v>
      </c>
      <c r="AS13" s="16" t="str">
        <f>IF(ISNA(T13),"",TEXT(T13,"+0.0;-0.0"))</f>
        <v/>
      </c>
      <c r="AT13" s="39">
        <f>U13/$X$12</f>
        <v>0</v>
      </c>
      <c r="AU13" s="39">
        <f>V13/$X$12</f>
        <v>0</v>
      </c>
    </row>
    <row r="14" spans="1:47" x14ac:dyDescent="0.35">
      <c r="A14" s="20" t="s">
        <v>144</v>
      </c>
      <c r="B14" t="s">
        <v>17</v>
      </c>
      <c r="C14" s="16" t="s">
        <v>201</v>
      </c>
      <c r="D14" s="51">
        <v>1080</v>
      </c>
      <c r="E14" s="53">
        <v>33</v>
      </c>
      <c r="F14" s="54">
        <f>D14-E14</f>
        <v>1047</v>
      </c>
      <c r="G14" s="38">
        <f>IF(F14=0,NA(),E14/F14*100)</f>
        <v>3.151862464183381</v>
      </c>
      <c r="H14" s="54" t="e">
        <f>NA()</f>
        <v>#N/A</v>
      </c>
      <c r="I14" s="54">
        <f>F14</f>
        <v>1047</v>
      </c>
      <c r="J14" s="54">
        <f>IF($B14="AC",D14,NA())</f>
        <v>1080</v>
      </c>
      <c r="K14" s="54" t="e">
        <f>IF($B14="FC",D14,NA())</f>
        <v>#N/A</v>
      </c>
      <c r="L14" s="54">
        <f>M14+E14</f>
        <v>10289</v>
      </c>
      <c r="M14" s="54">
        <f>L13</f>
        <v>10256</v>
      </c>
      <c r="N14" s="54">
        <f>MIN(M14,L14)</f>
        <v>10256</v>
      </c>
      <c r="O14" s="54">
        <f>IF(AND($B14="AC",E14&gt;0),E14,0)</f>
        <v>33</v>
      </c>
      <c r="P14" s="54">
        <f>IF(AND($B14="AC",E14&lt;0),-E14,0)</f>
        <v>0</v>
      </c>
      <c r="Q14" s="54">
        <f>IF(AND($B14="FC",E14&gt;0),E14,0)</f>
        <v>0</v>
      </c>
      <c r="R14" s="54">
        <f>IF(AND($B14="FC",E14&lt;0),-E14,0)</f>
        <v>0</v>
      </c>
      <c r="S14" s="38">
        <f>IF(G14&gt;0,G14,NA())</f>
        <v>3.151862464183381</v>
      </c>
      <c r="T14" s="38" t="e">
        <f>IF(G14&lt;0,G14,NA())</f>
        <v>#N/A</v>
      </c>
      <c r="U14" s="37">
        <f>IF(G14&gt;0,G14,0)</f>
        <v>3.151862464183381</v>
      </c>
      <c r="V14" s="37">
        <f>IF(G14&lt;0,-G14,0)</f>
        <v>0</v>
      </c>
      <c r="W14" s="39"/>
      <c r="X14" s="39"/>
      <c r="Y14" s="39" t="e">
        <f>H14/$W$12</f>
        <v>#N/A</v>
      </c>
      <c r="Z14" s="16" t="str">
        <f>IF(ISNA(H14),"",TEXT(H14,"#,##0"))</f>
        <v/>
      </c>
      <c r="AA14" s="39">
        <f>I14/$W$12</f>
        <v>9.2035864978902954E-2</v>
      </c>
      <c r="AB14" s="16" t="str">
        <f>IF(ISNA(I14),"",TEXT(I14,"#,##0"))</f>
        <v>1,047</v>
      </c>
      <c r="AC14" s="39">
        <f>J14/$W$12</f>
        <v>9.49367088607595E-2</v>
      </c>
      <c r="AD14" s="16" t="str">
        <f>IF(ISNA(J14),"",TEXT(J14,"#,##0"))</f>
        <v>1,080</v>
      </c>
      <c r="AE14" s="39" t="e">
        <f>K14/$W$12</f>
        <v>#N/A</v>
      </c>
      <c r="AF14" s="16" t="str">
        <f>IF(ISNA(K14),"",TEXT(K14,"#,##0"))</f>
        <v/>
      </c>
      <c r="AG14" s="39">
        <f>N14/$W$12</f>
        <v>0.90154711673699017</v>
      </c>
      <c r="AH14" s="39">
        <f>O14/$W$12</f>
        <v>2.9008438818565402E-3</v>
      </c>
      <c r="AI14" s="16" t="str">
        <f>IF(ISNA(O14),"",TEXT(O14,"+#,##0"))</f>
        <v>+33</v>
      </c>
      <c r="AJ14" s="39">
        <f>P14/$W$12</f>
        <v>0</v>
      </c>
      <c r="AK14" s="16" t="str">
        <f>IF(ISNA(P14),"",TEXT(P14,"""-""#,##0"))</f>
        <v>-0</v>
      </c>
      <c r="AL14" s="39">
        <f>Q14/$W$12</f>
        <v>0</v>
      </c>
      <c r="AM14" s="16" t="str">
        <f>IF(ISNA(Q14),"",TEXT(Q14,"+#,##0"))</f>
        <v>+0</v>
      </c>
      <c r="AN14" s="39">
        <f>R14/$W$12</f>
        <v>0</v>
      </c>
      <c r="AO14" s="16" t="str">
        <f>IF(ISNA(R14),"",TEXT(R14,"""-""#,##0"))</f>
        <v>-0</v>
      </c>
      <c r="AP14" s="39">
        <f>S14/$X$12</f>
        <v>8.6396229982691657E-4</v>
      </c>
      <c r="AQ14" s="16" t="str">
        <f>IF(ISNA(S14),"",TEXT(S14,"+0.0;-0.0"))</f>
        <v>+3.2</v>
      </c>
      <c r="AR14" s="39" t="e">
        <f>T14/$X$12</f>
        <v>#N/A</v>
      </c>
      <c r="AS14" s="16" t="str">
        <f>IF(ISNA(T14),"",TEXT(T14,"+0.0;-0.0"))</f>
        <v/>
      </c>
      <c r="AT14" s="39">
        <f>U14/$X$12</f>
        <v>8.6396229982691657E-4</v>
      </c>
      <c r="AU14" s="39">
        <f>V14/$X$12</f>
        <v>0</v>
      </c>
    </row>
    <row r="15" spans="1:47" x14ac:dyDescent="0.35">
      <c r="A15" s="20" t="s">
        <v>145</v>
      </c>
      <c r="B15" t="s">
        <v>17</v>
      </c>
      <c r="C15" s="16" t="s">
        <v>201</v>
      </c>
      <c r="D15" s="51">
        <v>934</v>
      </c>
      <c r="E15" s="53">
        <v>-116</v>
      </c>
      <c r="F15" s="54">
        <f>D15-E15</f>
        <v>1050</v>
      </c>
      <c r="G15" s="38">
        <f>IF(F15=0,NA(),E15/F15*100)</f>
        <v>-11.047619047619047</v>
      </c>
      <c r="H15" s="54" t="e">
        <f>NA()</f>
        <v>#N/A</v>
      </c>
      <c r="I15" s="54">
        <f>F15</f>
        <v>1050</v>
      </c>
      <c r="J15" s="54">
        <f>IF($B15="AC",D15,NA())</f>
        <v>934</v>
      </c>
      <c r="K15" s="54" t="e">
        <f>IF($B15="FC",D15,NA())</f>
        <v>#N/A</v>
      </c>
      <c r="L15" s="54">
        <f>M15+E15</f>
        <v>10173</v>
      </c>
      <c r="M15" s="54">
        <f>L14</f>
        <v>10289</v>
      </c>
      <c r="N15" s="54">
        <f>MIN(M15,L15)</f>
        <v>10173</v>
      </c>
      <c r="O15" s="54">
        <f>IF(AND($B15="AC",E15&gt;0),E15,0)</f>
        <v>0</v>
      </c>
      <c r="P15" s="54">
        <f>IF(AND($B15="AC",E15&lt;0),-E15,0)</f>
        <v>116</v>
      </c>
      <c r="Q15" s="54">
        <f>IF(AND($B15="FC",E15&gt;0),E15,0)</f>
        <v>0</v>
      </c>
      <c r="R15" s="54">
        <f>IF(AND($B15="FC",E15&lt;0),-E15,0)</f>
        <v>0</v>
      </c>
      <c r="S15" s="38" t="e">
        <f>IF(G15&gt;0,G15,NA())</f>
        <v>#N/A</v>
      </c>
      <c r="T15" s="38">
        <f>IF(G15&lt;0,G15,NA())</f>
        <v>-11.047619047619047</v>
      </c>
      <c r="U15" s="37">
        <f>IF(G15&gt;0,G15,0)</f>
        <v>0</v>
      </c>
      <c r="V15" s="37">
        <f>IF(G15&lt;0,-G15,0)</f>
        <v>11.047619047619047</v>
      </c>
      <c r="W15" s="39"/>
      <c r="X15" s="39"/>
      <c r="Y15" s="39" t="e">
        <f>H15/$W$12</f>
        <v>#N/A</v>
      </c>
      <c r="Z15" s="16" t="str">
        <f>IF(ISNA(H15),"",TEXT(H15,"#,##0"))</f>
        <v/>
      </c>
      <c r="AA15" s="39">
        <f>I15/$W$12</f>
        <v>9.2299578059071727E-2</v>
      </c>
      <c r="AB15" s="16" t="str">
        <f>IF(ISNA(I15),"",TEXT(I15,"#,##0"))</f>
        <v>1,050</v>
      </c>
      <c r="AC15" s="39">
        <f>J15/$W$12</f>
        <v>8.2102672292545711E-2</v>
      </c>
      <c r="AD15" s="16" t="str">
        <f>IF(ISNA(J15),"",TEXT(J15,"#,##0"))</f>
        <v>934</v>
      </c>
      <c r="AE15" s="39" t="e">
        <f>K15/$W$12</f>
        <v>#N/A</v>
      </c>
      <c r="AF15" s="16" t="str">
        <f>IF(ISNA(K15),"",TEXT(K15,"#,##0"))</f>
        <v/>
      </c>
      <c r="AG15" s="39">
        <f>N15/$W$12</f>
        <v>0.8942510548523207</v>
      </c>
      <c r="AH15" s="39">
        <f>O15/$W$12</f>
        <v>0</v>
      </c>
      <c r="AI15" s="16" t="str">
        <f>IF(ISNA(O15),"",TEXT(O15,"+#,##0"))</f>
        <v>+0</v>
      </c>
      <c r="AJ15" s="39">
        <f>P15/$W$12</f>
        <v>1.0196905766526019E-2</v>
      </c>
      <c r="AK15" s="16" t="str">
        <f>IF(ISNA(P15),"",TEXT(P15,"""-""#,##0"))</f>
        <v>-116</v>
      </c>
      <c r="AL15" s="39">
        <f>Q15/$W$12</f>
        <v>0</v>
      </c>
      <c r="AM15" s="16" t="str">
        <f>IF(ISNA(Q15),"",TEXT(Q15,"+#,##0"))</f>
        <v>+0</v>
      </c>
      <c r="AN15" s="39">
        <f>R15/$W$12</f>
        <v>0</v>
      </c>
      <c r="AO15" s="16" t="str">
        <f>IF(ISNA(R15),"",TEXT(R15,"""-""#,##0"))</f>
        <v>-0</v>
      </c>
      <c r="AP15" s="39" t="e">
        <f>S15/$X$12</f>
        <v>#N/A</v>
      </c>
      <c r="AQ15" s="16" t="str">
        <f>IF(ISNA(S15),"",TEXT(S15,"+0.0;-0.0"))</f>
        <v/>
      </c>
      <c r="AR15" s="39">
        <f>T15/$X$12</f>
        <v>-3.0282813633067439E-3</v>
      </c>
      <c r="AS15" s="16" t="str">
        <f>IF(ISNA(T15),"",TEXT(T15,"+0.0;-0.0"))</f>
        <v>-11.0</v>
      </c>
      <c r="AT15" s="39">
        <f>U15/$X$12</f>
        <v>0</v>
      </c>
      <c r="AU15" s="39">
        <f>V15/$X$12</f>
        <v>3.0282813633067439E-3</v>
      </c>
    </row>
    <row r="16" spans="1:47" x14ac:dyDescent="0.35">
      <c r="A16" s="20" t="s">
        <v>146</v>
      </c>
      <c r="B16" t="s">
        <v>17</v>
      </c>
      <c r="C16" s="16" t="s">
        <v>201</v>
      </c>
      <c r="D16" s="51">
        <v>842</v>
      </c>
      <c r="E16" s="53">
        <v>224</v>
      </c>
      <c r="F16" s="54">
        <f>D16-E16</f>
        <v>618</v>
      </c>
      <c r="G16" s="38">
        <f>IF(F16=0,NA(),E16/F16*100)</f>
        <v>36.245954692556637</v>
      </c>
      <c r="H16" s="54" t="e">
        <f>NA()</f>
        <v>#N/A</v>
      </c>
      <c r="I16" s="54">
        <f>F16</f>
        <v>618</v>
      </c>
      <c r="J16" s="54">
        <f>IF($B16="AC",D16,NA())</f>
        <v>842</v>
      </c>
      <c r="K16" s="54" t="e">
        <f>IF($B16="FC",D16,NA())</f>
        <v>#N/A</v>
      </c>
      <c r="L16" s="54">
        <f>M16+E16</f>
        <v>10397</v>
      </c>
      <c r="M16" s="54">
        <f>L15</f>
        <v>10173</v>
      </c>
      <c r="N16" s="54">
        <f>MIN(M16,L16)</f>
        <v>10173</v>
      </c>
      <c r="O16" s="54">
        <f>IF(AND($B16="AC",E16&gt;0),E16,0)</f>
        <v>224</v>
      </c>
      <c r="P16" s="54">
        <f>IF(AND($B16="AC",E16&lt;0),-E16,0)</f>
        <v>0</v>
      </c>
      <c r="Q16" s="54">
        <f>IF(AND($B16="FC",E16&gt;0),E16,0)</f>
        <v>0</v>
      </c>
      <c r="R16" s="54">
        <f>IF(AND($B16="FC",E16&lt;0),-E16,0)</f>
        <v>0</v>
      </c>
      <c r="S16" s="38">
        <f>IF(G16&gt;0,G16,NA())</f>
        <v>36.245954692556637</v>
      </c>
      <c r="T16" s="38" t="e">
        <f>IF(G16&lt;0,G16,NA())</f>
        <v>#N/A</v>
      </c>
      <c r="U16" s="37">
        <f>IF(G16&gt;0,G16,0)</f>
        <v>36.245954692556637</v>
      </c>
      <c r="V16" s="37">
        <f>IF(G16&lt;0,-G16,0)</f>
        <v>0</v>
      </c>
      <c r="W16" s="39"/>
      <c r="X16" s="39"/>
      <c r="Y16" s="39" t="e">
        <f>H16/$W$12</f>
        <v>#N/A</v>
      </c>
      <c r="Z16" s="16" t="str">
        <f>IF(ISNA(H16),"",TEXT(H16,"#,##0"))</f>
        <v/>
      </c>
      <c r="AA16" s="39">
        <f>I16/$W$12</f>
        <v>5.4324894514767935E-2</v>
      </c>
      <c r="AB16" s="16" t="str">
        <f>IF(ISNA(I16),"",TEXT(I16,"#,##0"))</f>
        <v>618</v>
      </c>
      <c r="AC16" s="39">
        <f>J16/$W$12</f>
        <v>7.4015471167369895E-2</v>
      </c>
      <c r="AD16" s="16" t="str">
        <f>IF(ISNA(J16),"",TEXT(J16,"#,##0"))</f>
        <v>842</v>
      </c>
      <c r="AE16" s="39" t="e">
        <f>K16/$W$12</f>
        <v>#N/A</v>
      </c>
      <c r="AF16" s="16" t="str">
        <f>IF(ISNA(K16),"",TEXT(K16,"#,##0"))</f>
        <v/>
      </c>
      <c r="AG16" s="39">
        <f>N16/$W$12</f>
        <v>0.8942510548523207</v>
      </c>
      <c r="AH16" s="39">
        <f>O16/$W$12</f>
        <v>1.969057665260197E-2</v>
      </c>
      <c r="AI16" s="16" t="str">
        <f>IF(ISNA(O16),"",TEXT(O16,"+#,##0"))</f>
        <v>+224</v>
      </c>
      <c r="AJ16" s="39">
        <f>P16/$W$12</f>
        <v>0</v>
      </c>
      <c r="AK16" s="16" t="str">
        <f>IF(ISNA(P16),"",TEXT(P16,"""-""#,##0"))</f>
        <v>-0</v>
      </c>
      <c r="AL16" s="39">
        <f>Q16/$W$12</f>
        <v>0</v>
      </c>
      <c r="AM16" s="16" t="str">
        <f>IF(ISNA(Q16),"",TEXT(Q16,"+#,##0"))</f>
        <v>+0</v>
      </c>
      <c r="AN16" s="39">
        <f>R16/$W$12</f>
        <v>0</v>
      </c>
      <c r="AO16" s="16" t="str">
        <f>IF(ISNA(R16),"",TEXT(R16,"""-""#,##0"))</f>
        <v>-0</v>
      </c>
      <c r="AP16" s="39">
        <f>S16/$X$12</f>
        <v>9.9354393573505492E-3</v>
      </c>
      <c r="AQ16" s="16" t="str">
        <f>IF(ISNA(S16),"",TEXT(S16,"+0.0;-0.0"))</f>
        <v>+36.2</v>
      </c>
      <c r="AR16" s="39" t="e">
        <f>T16/$X$12</f>
        <v>#N/A</v>
      </c>
      <c r="AS16" s="16" t="str">
        <f>IF(ISNA(T16),"",TEXT(T16,"+0.0;-0.0"))</f>
        <v/>
      </c>
      <c r="AT16" s="39">
        <f>U16/$X$12</f>
        <v>9.9354393573505492E-3</v>
      </c>
      <c r="AU16" s="39">
        <f>V16/$X$12</f>
        <v>0</v>
      </c>
    </row>
    <row r="17" spans="1:47" x14ac:dyDescent="0.35">
      <c r="A17" s="20" t="s">
        <v>147</v>
      </c>
      <c r="B17" t="s">
        <v>17</v>
      </c>
      <c r="C17" s="16" t="s">
        <v>201</v>
      </c>
      <c r="D17" s="51">
        <v>697</v>
      </c>
      <c r="E17" s="53">
        <v>-306</v>
      </c>
      <c r="F17" s="54">
        <f>D17-E17</f>
        <v>1003</v>
      </c>
      <c r="G17" s="38">
        <f>IF(F17=0,NA(),E17/F17*100)</f>
        <v>-30.508474576271187</v>
      </c>
      <c r="H17" s="54" t="e">
        <f>NA()</f>
        <v>#N/A</v>
      </c>
      <c r="I17" s="54">
        <f>F17</f>
        <v>1003</v>
      </c>
      <c r="J17" s="54">
        <f>IF($B17="AC",D17,NA())</f>
        <v>697</v>
      </c>
      <c r="K17" s="54" t="e">
        <f>IF($B17="FC",D17,NA())</f>
        <v>#N/A</v>
      </c>
      <c r="L17" s="54">
        <f>M17+E17</f>
        <v>10091</v>
      </c>
      <c r="M17" s="54">
        <f>L16</f>
        <v>10397</v>
      </c>
      <c r="N17" s="54">
        <f>MIN(M17,L17)</f>
        <v>10091</v>
      </c>
      <c r="O17" s="54">
        <f>IF(AND($B17="AC",E17&gt;0),E17,0)</f>
        <v>0</v>
      </c>
      <c r="P17" s="54">
        <f>IF(AND($B17="AC",E17&lt;0),-E17,0)</f>
        <v>306</v>
      </c>
      <c r="Q17" s="54">
        <f>IF(AND($B17="FC",E17&gt;0),E17,0)</f>
        <v>0</v>
      </c>
      <c r="R17" s="54">
        <f>IF(AND($B17="FC",E17&lt;0),-E17,0)</f>
        <v>0</v>
      </c>
      <c r="S17" s="38" t="e">
        <f>IF(G17&gt;0,G17,NA())</f>
        <v>#N/A</v>
      </c>
      <c r="T17" s="38">
        <f>IF(G17&lt;0,G17,NA())</f>
        <v>-30.508474576271187</v>
      </c>
      <c r="U17" s="37">
        <f>IF(G17&gt;0,G17,0)</f>
        <v>0</v>
      </c>
      <c r="V17" s="37">
        <f>IF(G17&lt;0,-G17,0)</f>
        <v>30.508474576271187</v>
      </c>
      <c r="W17" s="39"/>
      <c r="X17" s="39"/>
      <c r="Y17" s="39" t="e">
        <f>H17/$W$12</f>
        <v>#N/A</v>
      </c>
      <c r="Z17" s="16" t="str">
        <f>IF(ISNA(H17),"",TEXT(H17,"#,##0"))</f>
        <v/>
      </c>
      <c r="AA17" s="39">
        <f>I17/$W$12</f>
        <v>8.8168073136427563E-2</v>
      </c>
      <c r="AB17" s="16" t="str">
        <f>IF(ISNA(I17),"",TEXT(I17,"#,##0"))</f>
        <v>1,003</v>
      </c>
      <c r="AC17" s="39">
        <f>J17/$W$12</f>
        <v>6.1269338959212376E-2</v>
      </c>
      <c r="AD17" s="16" t="str">
        <f>IF(ISNA(J17),"",TEXT(J17,"#,##0"))</f>
        <v>697</v>
      </c>
      <c r="AE17" s="39" t="e">
        <f>K17/$W$12</f>
        <v>#N/A</v>
      </c>
      <c r="AF17" s="16" t="str">
        <f>IF(ISNA(K17),"",TEXT(K17,"#,##0"))</f>
        <v/>
      </c>
      <c r="AG17" s="39">
        <f>N17/$W$12</f>
        <v>0.88704289732770747</v>
      </c>
      <c r="AH17" s="39">
        <f>O17/$W$12</f>
        <v>0</v>
      </c>
      <c r="AI17" s="16" t="str">
        <f>IF(ISNA(O17),"",TEXT(O17,"+#,##0"))</f>
        <v>+0</v>
      </c>
      <c r="AJ17" s="39">
        <f>P17/$W$12</f>
        <v>2.6898734177215191E-2</v>
      </c>
      <c r="AK17" s="16" t="str">
        <f>IF(ISNA(P17),"",TEXT(P17,"""-""#,##0"))</f>
        <v>-306</v>
      </c>
      <c r="AL17" s="39">
        <f>Q17/$W$12</f>
        <v>0</v>
      </c>
      <c r="AM17" s="16" t="str">
        <f>IF(ISNA(Q17),"",TEXT(Q17,"+#,##0"))</f>
        <v>+0</v>
      </c>
      <c r="AN17" s="39">
        <f>R17/$W$12</f>
        <v>0</v>
      </c>
      <c r="AO17" s="16" t="str">
        <f>IF(ISNA(R17),"",TEXT(R17,"""-""#,##0"))</f>
        <v>-0</v>
      </c>
      <c r="AP17" s="39" t="e">
        <f>S17/$X$12</f>
        <v>#N/A</v>
      </c>
      <c r="AQ17" s="16" t="str">
        <f>IF(ISNA(S17),"",TEXT(S17,"+0.0;-0.0"))</f>
        <v/>
      </c>
      <c r="AR17" s="39">
        <f>T17/$X$12</f>
        <v>-8.3627290716682436E-3</v>
      </c>
      <c r="AS17" s="16" t="str">
        <f>IF(ISNA(T17),"",TEXT(T17,"+0.0;-0.0"))</f>
        <v>-30.5</v>
      </c>
      <c r="AT17" s="39">
        <f>U17/$X$12</f>
        <v>0</v>
      </c>
      <c r="AU17" s="39">
        <f>V17/$X$12</f>
        <v>8.3627290716682436E-3</v>
      </c>
    </row>
    <row r="18" spans="1:47" x14ac:dyDescent="0.35">
      <c r="A18" s="20" t="s">
        <v>148</v>
      </c>
      <c r="B18" t="s">
        <v>17</v>
      </c>
      <c r="C18" s="16" t="s">
        <v>201</v>
      </c>
      <c r="D18" s="51">
        <v>1318</v>
      </c>
      <c r="E18" s="53">
        <v>438</v>
      </c>
      <c r="F18" s="54">
        <f>D18-E18</f>
        <v>880</v>
      </c>
      <c r="G18" s="38">
        <f>IF(F18=0,NA(),E18/F18*100)</f>
        <v>49.772727272727273</v>
      </c>
      <c r="H18" s="54" t="e">
        <f>NA()</f>
        <v>#N/A</v>
      </c>
      <c r="I18" s="54">
        <f>F18</f>
        <v>880</v>
      </c>
      <c r="J18" s="54">
        <f>IF($B18="AC",D18,NA())</f>
        <v>1318</v>
      </c>
      <c r="K18" s="54" t="e">
        <f>IF($B18="FC",D18,NA())</f>
        <v>#N/A</v>
      </c>
      <c r="L18" s="54">
        <f>M18+E18</f>
        <v>10529</v>
      </c>
      <c r="M18" s="54">
        <f>L17</f>
        <v>10091</v>
      </c>
      <c r="N18" s="54">
        <f>MIN(M18,L18)</f>
        <v>10091</v>
      </c>
      <c r="O18" s="54">
        <f>IF(AND($B18="AC",E18&gt;0),E18,0)</f>
        <v>438</v>
      </c>
      <c r="P18" s="54">
        <f>IF(AND($B18="AC",E18&lt;0),-E18,0)</f>
        <v>0</v>
      </c>
      <c r="Q18" s="54">
        <f>IF(AND($B18="FC",E18&gt;0),E18,0)</f>
        <v>0</v>
      </c>
      <c r="R18" s="54">
        <f>IF(AND($B18="FC",E18&lt;0),-E18,0)</f>
        <v>0</v>
      </c>
      <c r="S18" s="38">
        <f>IF(G18&gt;0,G18,NA())</f>
        <v>49.772727272727273</v>
      </c>
      <c r="T18" s="38" t="e">
        <f>IF(G18&lt;0,G18,NA())</f>
        <v>#N/A</v>
      </c>
      <c r="U18" s="37">
        <f>IF(G18&gt;0,G18,0)</f>
        <v>49.772727272727273</v>
      </c>
      <c r="V18" s="37">
        <f>IF(G18&lt;0,-G18,0)</f>
        <v>0</v>
      </c>
      <c r="W18" s="39"/>
      <c r="X18" s="39"/>
      <c r="Y18" s="39" t="e">
        <f>H18/$W$12</f>
        <v>#N/A</v>
      </c>
      <c r="Z18" s="16" t="str">
        <f>IF(ISNA(H18),"",TEXT(H18,"#,##0"))</f>
        <v/>
      </c>
      <c r="AA18" s="39">
        <f>I18/$W$12</f>
        <v>7.7355836849507739E-2</v>
      </c>
      <c r="AB18" s="16" t="str">
        <f>IF(ISNA(I18),"",TEXT(I18,"#,##0"))</f>
        <v>880</v>
      </c>
      <c r="AC18" s="39">
        <f>J18/$W$12</f>
        <v>0.11585794655414909</v>
      </c>
      <c r="AD18" s="16" t="str">
        <f>IF(ISNA(J18),"",TEXT(J18,"#,##0"))</f>
        <v>1,318</v>
      </c>
      <c r="AE18" s="39" t="e">
        <f>K18/$W$12</f>
        <v>#N/A</v>
      </c>
      <c r="AF18" s="16" t="str">
        <f>IF(ISNA(K18),"",TEXT(K18,"#,##0"))</f>
        <v/>
      </c>
      <c r="AG18" s="39">
        <f>N18/$W$12</f>
        <v>0.88704289732770747</v>
      </c>
      <c r="AH18" s="39">
        <f>O18/$W$12</f>
        <v>3.8502109704641352E-2</v>
      </c>
      <c r="AI18" s="16" t="str">
        <f>IF(ISNA(O18),"",TEXT(O18,"+#,##0"))</f>
        <v>+438</v>
      </c>
      <c r="AJ18" s="39">
        <f>P18/$W$12</f>
        <v>0</v>
      </c>
      <c r="AK18" s="16" t="str">
        <f>IF(ISNA(P18),"",TEXT(P18,"""-""#,##0"))</f>
        <v>-0</v>
      </c>
      <c r="AL18" s="39">
        <f>Q18/$W$12</f>
        <v>0</v>
      </c>
      <c r="AM18" s="16" t="str">
        <f>IF(ISNA(Q18),"",TEXT(Q18,"+#,##0"))</f>
        <v>+0</v>
      </c>
      <c r="AN18" s="39">
        <f>R18/$W$12</f>
        <v>0</v>
      </c>
      <c r="AO18" s="16" t="str">
        <f>IF(ISNA(R18),"",TEXT(R18,"""-""#,##0"))</f>
        <v>-0</v>
      </c>
      <c r="AP18" s="39">
        <f>S18/$X$12</f>
        <v>1.3643285648361789E-2</v>
      </c>
      <c r="AQ18" s="16" t="str">
        <f>IF(ISNA(S18),"",TEXT(S18,"+0.0;-0.0"))</f>
        <v>+49.8</v>
      </c>
      <c r="AR18" s="39" t="e">
        <f>T18/$X$12</f>
        <v>#N/A</v>
      </c>
      <c r="AS18" s="16" t="str">
        <f>IF(ISNA(T18),"",TEXT(T18,"+0.0;-0.0"))</f>
        <v/>
      </c>
      <c r="AT18" s="39">
        <f>U18/$X$12</f>
        <v>1.3643285648361789E-2</v>
      </c>
      <c r="AU18" s="39">
        <f>V18/$X$12</f>
        <v>0</v>
      </c>
    </row>
    <row r="19" spans="1:47" x14ac:dyDescent="0.35">
      <c r="A19" s="20" t="s">
        <v>149</v>
      </c>
      <c r="B19" t="s">
        <v>17</v>
      </c>
      <c r="C19" s="16" t="s">
        <v>201</v>
      </c>
      <c r="D19" s="51">
        <v>710</v>
      </c>
      <c r="E19" s="53">
        <v>-222</v>
      </c>
      <c r="F19" s="54">
        <f>D19-E19</f>
        <v>932</v>
      </c>
      <c r="G19" s="38">
        <f>IF(F19=0,NA(),E19/F19*100)</f>
        <v>-23.819742489270386</v>
      </c>
      <c r="H19" s="54" t="e">
        <f>NA()</f>
        <v>#N/A</v>
      </c>
      <c r="I19" s="54">
        <f>F19</f>
        <v>932</v>
      </c>
      <c r="J19" s="54">
        <f>IF($B19="AC",D19,NA())</f>
        <v>710</v>
      </c>
      <c r="K19" s="54" t="e">
        <f>IF($B19="FC",D19,NA())</f>
        <v>#N/A</v>
      </c>
      <c r="L19" s="54">
        <f>M19+E19</f>
        <v>10307</v>
      </c>
      <c r="M19" s="54">
        <f>L18</f>
        <v>10529</v>
      </c>
      <c r="N19" s="54">
        <f>MIN(M19,L19)</f>
        <v>10307</v>
      </c>
      <c r="O19" s="54">
        <f>IF(AND($B19="AC",E19&gt;0),E19,0)</f>
        <v>0</v>
      </c>
      <c r="P19" s="54">
        <f>IF(AND($B19="AC",E19&lt;0),-E19,0)</f>
        <v>222</v>
      </c>
      <c r="Q19" s="54">
        <f>IF(AND($B19="FC",E19&gt;0),E19,0)</f>
        <v>0</v>
      </c>
      <c r="R19" s="54">
        <f>IF(AND($B19="FC",E19&lt;0),-E19,0)</f>
        <v>0</v>
      </c>
      <c r="S19" s="38" t="e">
        <f>IF(G19&gt;0,G19,NA())</f>
        <v>#N/A</v>
      </c>
      <c r="T19" s="38">
        <f>IF(G19&lt;0,G19,NA())</f>
        <v>-23.819742489270386</v>
      </c>
      <c r="U19" s="37">
        <f>IF(G19&gt;0,G19,0)</f>
        <v>0</v>
      </c>
      <c r="V19" s="37">
        <f>IF(G19&lt;0,-G19,0)</f>
        <v>23.819742489270386</v>
      </c>
      <c r="W19" s="39"/>
      <c r="X19" s="39"/>
      <c r="Y19" s="39" t="e">
        <f>H19/$W$12</f>
        <v>#N/A</v>
      </c>
      <c r="Z19" s="16" t="str">
        <f>IF(ISNA(H19),"",TEXT(H19,"#,##0"))</f>
        <v/>
      </c>
      <c r="AA19" s="39">
        <f>I19/$W$12</f>
        <v>8.1926863572433187E-2</v>
      </c>
      <c r="AB19" s="16" t="str">
        <f>IF(ISNA(I19),"",TEXT(I19,"#,##0"))</f>
        <v>932</v>
      </c>
      <c r="AC19" s="39">
        <f>J19/$W$12</f>
        <v>6.2412095639943745E-2</v>
      </c>
      <c r="AD19" s="16" t="str">
        <f>IF(ISNA(J19),"",TEXT(J19,"#,##0"))</f>
        <v>710</v>
      </c>
      <c r="AE19" s="39" t="e">
        <f>K19/$W$12</f>
        <v>#N/A</v>
      </c>
      <c r="AF19" s="16" t="str">
        <f>IF(ISNA(K19),"",TEXT(K19,"#,##0"))</f>
        <v/>
      </c>
      <c r="AG19" s="39">
        <f>N19/$W$12</f>
        <v>0.90603023909985936</v>
      </c>
      <c r="AH19" s="39">
        <f>O19/$W$12</f>
        <v>0</v>
      </c>
      <c r="AI19" s="16" t="str">
        <f>IF(ISNA(O19),"",TEXT(O19,"+#,##0"))</f>
        <v>+0</v>
      </c>
      <c r="AJ19" s="39">
        <f>P19/$W$12</f>
        <v>1.9514767932489453E-2</v>
      </c>
      <c r="AK19" s="16" t="str">
        <f>IF(ISNA(P19),"",TEXT(P19,"""-""#,##0"))</f>
        <v>-222</v>
      </c>
      <c r="AL19" s="39">
        <f>Q19/$W$12</f>
        <v>0</v>
      </c>
      <c r="AM19" s="16" t="str">
        <f>IF(ISNA(Q19),"",TEXT(Q19,"+#,##0"))</f>
        <v>+0</v>
      </c>
      <c r="AN19" s="39">
        <f>R19/$W$12</f>
        <v>0</v>
      </c>
      <c r="AO19" s="16" t="str">
        <f>IF(ISNA(R19),"",TEXT(R19,"""-""#,##0"))</f>
        <v>-0</v>
      </c>
      <c r="AP19" s="39" t="e">
        <f>S19/$X$12</f>
        <v>#N/A</v>
      </c>
      <c r="AQ19" s="16" t="str">
        <f>IF(ISNA(S19),"",TEXT(S19,"+0.0;-0.0"))</f>
        <v/>
      </c>
      <c r="AR19" s="39">
        <f>T19/$X$12</f>
        <v>-6.5292695148253845E-3</v>
      </c>
      <c r="AS19" s="16" t="str">
        <f>IF(ISNA(T19),"",TEXT(T19,"+0.0;-0.0"))</f>
        <v>-23.8</v>
      </c>
      <c r="AT19" s="39">
        <f>U19/$X$12</f>
        <v>0</v>
      </c>
      <c r="AU19" s="39">
        <f>V19/$X$12</f>
        <v>6.5292695148253845E-3</v>
      </c>
    </row>
    <row r="20" spans="1:47" x14ac:dyDescent="0.35">
      <c r="A20" s="20" t="s">
        <v>150</v>
      </c>
      <c r="B20" t="s">
        <v>17</v>
      </c>
      <c r="C20" s="16" t="s">
        <v>201</v>
      </c>
      <c r="D20" s="51">
        <v>971</v>
      </c>
      <c r="E20" s="53">
        <v>-56</v>
      </c>
      <c r="F20" s="54">
        <f>D20-E20</f>
        <v>1027</v>
      </c>
      <c r="G20" s="38">
        <f>IF(F20=0,NA(),E20/F20*100)</f>
        <v>-5.4527750730282376</v>
      </c>
      <c r="H20" s="54" t="e">
        <f>NA()</f>
        <v>#N/A</v>
      </c>
      <c r="I20" s="54">
        <f>F20</f>
        <v>1027</v>
      </c>
      <c r="J20" s="54">
        <f>IF($B20="AC",D20,NA())</f>
        <v>971</v>
      </c>
      <c r="K20" s="54" t="e">
        <f>IF($B20="FC",D20,NA())</f>
        <v>#N/A</v>
      </c>
      <c r="L20" s="54">
        <f>M20+E20</f>
        <v>10251</v>
      </c>
      <c r="M20" s="54">
        <f>L19</f>
        <v>10307</v>
      </c>
      <c r="N20" s="54">
        <f>MIN(M20,L20)</f>
        <v>10251</v>
      </c>
      <c r="O20" s="54">
        <f>IF(AND($B20="AC",E20&gt;0),E20,0)</f>
        <v>0</v>
      </c>
      <c r="P20" s="54">
        <f>IF(AND($B20="AC",E20&lt;0),-E20,0)</f>
        <v>56</v>
      </c>
      <c r="Q20" s="54">
        <f>IF(AND($B20="FC",E20&gt;0),E20,0)</f>
        <v>0</v>
      </c>
      <c r="R20" s="54">
        <f>IF(AND($B20="FC",E20&lt;0),-E20,0)</f>
        <v>0</v>
      </c>
      <c r="S20" s="38" t="e">
        <f>IF(G20&gt;0,G20,NA())</f>
        <v>#N/A</v>
      </c>
      <c r="T20" s="38">
        <f>IF(G20&lt;0,G20,NA())</f>
        <v>-5.4527750730282376</v>
      </c>
      <c r="U20" s="37">
        <f>IF(G20&gt;0,G20,0)</f>
        <v>0</v>
      </c>
      <c r="V20" s="37">
        <f>IF(G20&lt;0,-G20,0)</f>
        <v>5.4527750730282376</v>
      </c>
      <c r="W20" s="39"/>
      <c r="X20" s="39"/>
      <c r="Y20" s="39" t="e">
        <f>H20/$W$12</f>
        <v>#N/A</v>
      </c>
      <c r="Z20" s="16" t="str">
        <f>IF(ISNA(H20),"",TEXT(H20,"#,##0"))</f>
        <v/>
      </c>
      <c r="AA20" s="39">
        <f>I20/$W$12</f>
        <v>9.0277777777777776E-2</v>
      </c>
      <c r="AB20" s="16" t="str">
        <f>IF(ISNA(I20),"",TEXT(I20,"#,##0"))</f>
        <v>1,027</v>
      </c>
      <c r="AC20" s="39">
        <f>J20/$W$12</f>
        <v>8.5355133614627279E-2</v>
      </c>
      <c r="AD20" s="16" t="str">
        <f>IF(ISNA(J20),"",TEXT(J20,"#,##0"))</f>
        <v>971</v>
      </c>
      <c r="AE20" s="39" t="e">
        <f>K20/$W$12</f>
        <v>#N/A</v>
      </c>
      <c r="AF20" s="16" t="str">
        <f>IF(ISNA(K20),"",TEXT(K20,"#,##0"))</f>
        <v/>
      </c>
      <c r="AG20" s="39">
        <f>N20/$W$12</f>
        <v>0.90110759493670889</v>
      </c>
      <c r="AH20" s="39">
        <f>O20/$W$12</f>
        <v>0</v>
      </c>
      <c r="AI20" s="16" t="str">
        <f>IF(ISNA(O20),"",TEXT(O20,"+#,##0"))</f>
        <v>+0</v>
      </c>
      <c r="AJ20" s="39">
        <f>P20/$W$12</f>
        <v>4.9226441631504926E-3</v>
      </c>
      <c r="AK20" s="16" t="str">
        <f>IF(ISNA(P20),"",TEXT(P20,"""-""#,##0"))</f>
        <v>-56</v>
      </c>
      <c r="AL20" s="39">
        <f>Q20/$W$12</f>
        <v>0</v>
      </c>
      <c r="AM20" s="16" t="str">
        <f>IF(ISNA(Q20),"",TEXT(Q20,"+#,##0"))</f>
        <v>+0</v>
      </c>
      <c r="AN20" s="39">
        <f>R20/$W$12</f>
        <v>0</v>
      </c>
      <c r="AO20" s="16" t="str">
        <f>IF(ISNA(R20),"",TEXT(R20,"""-""#,##0"))</f>
        <v>-0</v>
      </c>
      <c r="AP20" s="39" t="e">
        <f>S20/$X$12</f>
        <v>#N/A</v>
      </c>
      <c r="AQ20" s="16" t="str">
        <f>IF(ISNA(S20),"",TEXT(S20,"+0.0;-0.0"))</f>
        <v/>
      </c>
      <c r="AR20" s="39">
        <f>T20/$X$12</f>
        <v>-1.494669309357994E-3</v>
      </c>
      <c r="AS20" s="16" t="str">
        <f>IF(ISNA(T20),"",TEXT(T20,"+0.0;-0.0"))</f>
        <v>-5.5</v>
      </c>
      <c r="AT20" s="39">
        <f>U20/$X$12</f>
        <v>0</v>
      </c>
      <c r="AU20" s="39">
        <f>V20/$X$12</f>
        <v>1.494669309357994E-3</v>
      </c>
    </row>
    <row r="21" spans="1:47" x14ac:dyDescent="0.35">
      <c r="A21" s="20" t="s">
        <v>151</v>
      </c>
      <c r="B21" t="s">
        <v>26</v>
      </c>
      <c r="C21" s="16" t="s">
        <v>201</v>
      </c>
      <c r="D21" s="52">
        <v>987</v>
      </c>
      <c r="E21" s="53">
        <v>-202</v>
      </c>
      <c r="F21" s="54">
        <f>D21-E21</f>
        <v>1189</v>
      </c>
      <c r="G21" s="38">
        <f>IF(F21=0,NA(),E21/F21*100)</f>
        <v>-16.989066442388562</v>
      </c>
      <c r="H21" s="54" t="e">
        <f>NA()</f>
        <v>#N/A</v>
      </c>
      <c r="I21" s="54">
        <f>F21</f>
        <v>1189</v>
      </c>
      <c r="J21" s="54" t="e">
        <f>IF($B21="AC",D21,NA())</f>
        <v>#N/A</v>
      </c>
      <c r="K21" s="54">
        <f>IF($B21="FC",D21,NA())</f>
        <v>987</v>
      </c>
      <c r="L21" s="54">
        <f>M21+E21</f>
        <v>10049</v>
      </c>
      <c r="M21" s="54">
        <f>L20</f>
        <v>10251</v>
      </c>
      <c r="N21" s="54">
        <f>MIN(M21,L21)</f>
        <v>10049</v>
      </c>
      <c r="O21" s="54">
        <f>IF(AND($B21="AC",E21&gt;0),E21,0)</f>
        <v>0</v>
      </c>
      <c r="P21" s="54">
        <f>IF(AND($B21="AC",E21&lt;0),-E21,0)</f>
        <v>0</v>
      </c>
      <c r="Q21" s="54">
        <f>IF(AND($B21="FC",E21&gt;0),E21,0)</f>
        <v>0</v>
      </c>
      <c r="R21" s="54">
        <f>IF(AND($B21="FC",E21&lt;0),-E21,0)</f>
        <v>202</v>
      </c>
      <c r="S21" s="38" t="e">
        <f>IF(G21&gt;0,G21,NA())</f>
        <v>#N/A</v>
      </c>
      <c r="T21" s="38">
        <f>IF(G21&lt;0,G21,NA())</f>
        <v>-16.989066442388562</v>
      </c>
      <c r="U21" s="37">
        <f>IF(G21&gt;0,G21,0)</f>
        <v>0</v>
      </c>
      <c r="V21" s="37">
        <f>IF(G21&lt;0,-G21,0)</f>
        <v>16.989066442388562</v>
      </c>
      <c r="W21" s="39"/>
      <c r="X21" s="39"/>
      <c r="Y21" s="39" t="e">
        <f>H21/$W$12</f>
        <v>#N/A</v>
      </c>
      <c r="Z21" s="16" t="str">
        <f>IF(ISNA(H21),"",TEXT(H21,"#,##0"))</f>
        <v/>
      </c>
      <c r="AA21" s="39">
        <f>I21/$W$12</f>
        <v>0.10451828410689171</v>
      </c>
      <c r="AB21" s="16" t="str">
        <f>IF(ISNA(I21),"",TEXT(I21,"#,##0"))</f>
        <v>1,189</v>
      </c>
      <c r="AC21" s="39" t="e">
        <f>J21/$W$12</f>
        <v>#N/A</v>
      </c>
      <c r="AD21" s="16" t="str">
        <f>IF(ISNA(J21),"",TEXT(J21,"#,##0"))</f>
        <v/>
      </c>
      <c r="AE21" s="39">
        <f>K21/$W$12</f>
        <v>8.6761603375527421E-2</v>
      </c>
      <c r="AF21" s="16" t="str">
        <f>IF(ISNA(K21),"",TEXT(K21,"#,##0"))</f>
        <v>987</v>
      </c>
      <c r="AG21" s="39">
        <f>N21/$W$12</f>
        <v>0.88335091420534462</v>
      </c>
      <c r="AH21" s="39">
        <f>O21/$W$12</f>
        <v>0</v>
      </c>
      <c r="AI21" s="16" t="str">
        <f>IF(ISNA(O21),"",TEXT(O21,"+#,##0"))</f>
        <v>+0</v>
      </c>
      <c r="AJ21" s="39">
        <f>P21/$W$12</f>
        <v>0</v>
      </c>
      <c r="AK21" s="16" t="str">
        <f>IF(ISNA(P21),"",TEXT(P21,"""-""#,##0"))</f>
        <v>-0</v>
      </c>
      <c r="AL21" s="39">
        <f>Q21/$W$12</f>
        <v>0</v>
      </c>
      <c r="AM21" s="16" t="str">
        <f>IF(ISNA(Q21),"",TEXT(Q21,"+#,##0"))</f>
        <v>+0</v>
      </c>
      <c r="AN21" s="39">
        <f>R21/$W$12</f>
        <v>1.7756680731364275E-2</v>
      </c>
      <c r="AO21" s="16" t="str">
        <f>IF(ISNA(R21),"",TEXT(R21,"""-""#,##0"))</f>
        <v>-202</v>
      </c>
      <c r="AP21" s="39" t="e">
        <f>S21/$X$12</f>
        <v>#N/A</v>
      </c>
      <c r="AQ21" s="16" t="str">
        <f>IF(ISNA(S21),"",TEXT(S21,"+0.0;-0.0"))</f>
        <v/>
      </c>
      <c r="AR21" s="39">
        <f>T21/$X$12</f>
        <v>-4.6569014613653927E-3</v>
      </c>
      <c r="AS21" s="16" t="str">
        <f>IF(ISNA(T21),"",TEXT(T21,"+0.0;-0.0"))</f>
        <v>-17.0</v>
      </c>
      <c r="AT21" s="39">
        <f>U21/$X$12</f>
        <v>0</v>
      </c>
      <c r="AU21" s="39">
        <f>V21/$X$12</f>
        <v>4.6569014613653927E-3</v>
      </c>
    </row>
    <row r="22" spans="1:47" x14ac:dyDescent="0.35">
      <c r="A22" s="20" t="s">
        <v>152</v>
      </c>
      <c r="B22" t="s">
        <v>26</v>
      </c>
      <c r="C22" s="16" t="s">
        <v>201</v>
      </c>
      <c r="D22" s="52">
        <v>958</v>
      </c>
      <c r="E22" s="53">
        <v>985</v>
      </c>
      <c r="F22" s="54">
        <f>D22-E22</f>
        <v>-27</v>
      </c>
      <c r="G22" s="38">
        <f>IF(F22=0,NA(),E22/F22*100)</f>
        <v>-3648.1481481481483</v>
      </c>
      <c r="H22" s="54" t="e">
        <f>NA()</f>
        <v>#N/A</v>
      </c>
      <c r="I22" s="54">
        <f>F22</f>
        <v>-27</v>
      </c>
      <c r="J22" s="54" t="e">
        <f>IF($B22="AC",D22,NA())</f>
        <v>#N/A</v>
      </c>
      <c r="K22" s="54">
        <f>IF($B22="FC",D22,NA())</f>
        <v>958</v>
      </c>
      <c r="L22" s="54">
        <f>M22+E22</f>
        <v>11034</v>
      </c>
      <c r="M22" s="54">
        <f>L21</f>
        <v>10049</v>
      </c>
      <c r="N22" s="54">
        <f>MIN(M22,L22)</f>
        <v>10049</v>
      </c>
      <c r="O22" s="54">
        <f>IF(AND($B22="AC",E22&gt;0),E22,0)</f>
        <v>0</v>
      </c>
      <c r="P22" s="54">
        <f>IF(AND($B22="AC",E22&lt;0),-E22,0)</f>
        <v>0</v>
      </c>
      <c r="Q22" s="54">
        <f>IF(AND($B22="FC",E22&gt;0),E22,0)</f>
        <v>985</v>
      </c>
      <c r="R22" s="54">
        <f>IF(AND($B22="FC",E22&lt;0),-E22,0)</f>
        <v>0</v>
      </c>
      <c r="S22" s="38" t="e">
        <f>IF(G22&gt;0,G22,NA())</f>
        <v>#N/A</v>
      </c>
      <c r="T22" s="38">
        <f>IF(G22&lt;0,G22,NA())</f>
        <v>-3648.1481481481483</v>
      </c>
      <c r="U22" s="37">
        <f>IF(G22&gt;0,G22,0)</f>
        <v>0</v>
      </c>
      <c r="V22" s="37">
        <f>IF(G22&lt;0,-G22,0)</f>
        <v>3648.1481481481483</v>
      </c>
      <c r="W22" s="39"/>
      <c r="X22" s="39"/>
      <c r="Y22" s="39" t="e">
        <f>H22/$W$12</f>
        <v>#N/A</v>
      </c>
      <c r="Z22" s="16" t="str">
        <f>IF(ISNA(H22),"",TEXT(H22,"#,##0"))</f>
        <v/>
      </c>
      <c r="AA22" s="39">
        <f>I22/$W$12</f>
        <v>-2.3734177215189874E-3</v>
      </c>
      <c r="AB22" s="16" t="str">
        <f>IF(ISNA(I22),"",TEXT(I22,"#,##0"))</f>
        <v>-27</v>
      </c>
      <c r="AC22" s="39" t="e">
        <f>J22/$W$12</f>
        <v>#N/A</v>
      </c>
      <c r="AD22" s="16" t="str">
        <f>IF(ISNA(J22),"",TEXT(J22,"#,##0"))</f>
        <v/>
      </c>
      <c r="AE22" s="39">
        <f>K22/$W$12</f>
        <v>8.4212376933895924E-2</v>
      </c>
      <c r="AF22" s="16" t="str">
        <f>IF(ISNA(K22),"",TEXT(K22,"#,##0"))</f>
        <v>958</v>
      </c>
      <c r="AG22" s="39">
        <f>N22/$W$12</f>
        <v>0.88335091420534462</v>
      </c>
      <c r="AH22" s="39">
        <f>O22/$W$12</f>
        <v>0</v>
      </c>
      <c r="AI22" s="16" t="str">
        <f>IF(ISNA(O22),"",TEXT(O22,"+#,##0"))</f>
        <v>+0</v>
      </c>
      <c r="AJ22" s="39">
        <f>P22/$W$12</f>
        <v>0</v>
      </c>
      <c r="AK22" s="16" t="str">
        <f>IF(ISNA(P22),"",TEXT(P22,"""-""#,##0"))</f>
        <v>-0</v>
      </c>
      <c r="AL22" s="39">
        <f>Q22/$W$12</f>
        <v>8.658579465541491E-2</v>
      </c>
      <c r="AM22" s="16" t="str">
        <f>IF(ISNA(Q22),"",TEXT(Q22,"+#,##0"))</f>
        <v>+985</v>
      </c>
      <c r="AN22" s="39">
        <f>R22/$W$12</f>
        <v>0</v>
      </c>
      <c r="AO22" s="16" t="str">
        <f>IF(ISNA(R22),"",TEXT(R22,"""-""#,##0"))</f>
        <v>-0</v>
      </c>
      <c r="AP22" s="39" t="e">
        <f>S22/$X$12</f>
        <v>#N/A</v>
      </c>
      <c r="AQ22" s="16" t="str">
        <f>IF(ISNA(S22),"",TEXT(S22,"+0.0;-0.0"))</f>
        <v/>
      </c>
      <c r="AR22" s="39">
        <f>T22/$X$12</f>
        <v>-1</v>
      </c>
      <c r="AS22" s="16" t="str">
        <f>IF(ISNA(T22),"",TEXT(T22,"+0.0;-0.0"))</f>
        <v>-3648.1</v>
      </c>
      <c r="AT22" s="39">
        <f>U22/$X$12</f>
        <v>0</v>
      </c>
      <c r="AU22" s="39">
        <f>V22/$X$12</f>
        <v>1</v>
      </c>
    </row>
    <row r="23" spans="1:47" x14ac:dyDescent="0.35">
      <c r="A23" s="20" t="s">
        <v>153</v>
      </c>
      <c r="B23" t="s">
        <v>26</v>
      </c>
      <c r="C23" s="16" t="s">
        <v>201</v>
      </c>
      <c r="D23" s="52">
        <v>993</v>
      </c>
      <c r="E23" s="53">
        <v>264</v>
      </c>
      <c r="F23" s="54">
        <f>D23-E23</f>
        <v>729</v>
      </c>
      <c r="G23" s="38">
        <f>IF(F23=0,NA(),E23/F23*100)</f>
        <v>36.213991769547327</v>
      </c>
      <c r="H23" s="54" t="e">
        <f>NA()</f>
        <v>#N/A</v>
      </c>
      <c r="I23" s="54">
        <f>F23</f>
        <v>729</v>
      </c>
      <c r="J23" s="54" t="e">
        <f>IF($B23="AC",D23,NA())</f>
        <v>#N/A</v>
      </c>
      <c r="K23" s="54">
        <f>IF($B23="FC",D23,NA())</f>
        <v>993</v>
      </c>
      <c r="L23" s="54">
        <f>M23+E23</f>
        <v>11298</v>
      </c>
      <c r="M23" s="54">
        <f>L22</f>
        <v>11034</v>
      </c>
      <c r="N23" s="54">
        <f>MIN(M23,L23)</f>
        <v>11034</v>
      </c>
      <c r="O23" s="54">
        <f>IF(AND($B23="AC",E23&gt;0),E23,0)</f>
        <v>0</v>
      </c>
      <c r="P23" s="54">
        <f>IF(AND($B23="AC",E23&lt;0),-E23,0)</f>
        <v>0</v>
      </c>
      <c r="Q23" s="54">
        <f>IF(AND($B23="FC",E23&gt;0),E23,0)</f>
        <v>264</v>
      </c>
      <c r="R23" s="54">
        <f>IF(AND($B23="FC",E23&lt;0),-E23,0)</f>
        <v>0</v>
      </c>
      <c r="S23" s="38">
        <f>IF(G23&gt;0,G23,NA())</f>
        <v>36.213991769547327</v>
      </c>
      <c r="T23" s="38" t="e">
        <f>IF(G23&lt;0,G23,NA())</f>
        <v>#N/A</v>
      </c>
      <c r="U23" s="37">
        <f>IF(G23&gt;0,G23,0)</f>
        <v>36.213991769547327</v>
      </c>
      <c r="V23" s="37">
        <f>IF(G23&lt;0,-G23,0)</f>
        <v>0</v>
      </c>
      <c r="W23" s="39"/>
      <c r="X23" s="39"/>
      <c r="Y23" s="39" t="e">
        <f>H23/$W$12</f>
        <v>#N/A</v>
      </c>
      <c r="Z23" s="16" t="str">
        <f>IF(ISNA(H23),"",TEXT(H23,"#,##0"))</f>
        <v/>
      </c>
      <c r="AA23" s="39">
        <f>I23/$W$12</f>
        <v>6.4082278481012653E-2</v>
      </c>
      <c r="AB23" s="16" t="str">
        <f>IF(ISNA(I23),"",TEXT(I23,"#,##0"))</f>
        <v>729</v>
      </c>
      <c r="AC23" s="39" t="e">
        <f>J23/$W$12</f>
        <v>#N/A</v>
      </c>
      <c r="AD23" s="16" t="str">
        <f>IF(ISNA(J23),"",TEXT(J23,"#,##0"))</f>
        <v/>
      </c>
      <c r="AE23" s="39">
        <f>K23/$W$12</f>
        <v>8.7289029535864981E-2</v>
      </c>
      <c r="AF23" s="16" t="str">
        <f>IF(ISNA(K23),"",TEXT(K23,"#,##0"))</f>
        <v>993</v>
      </c>
      <c r="AG23" s="39">
        <f>N23/$W$12</f>
        <v>0.96993670886075944</v>
      </c>
      <c r="AH23" s="39">
        <f>O23/$W$12</f>
        <v>0</v>
      </c>
      <c r="AI23" s="16" t="str">
        <f>IF(ISNA(O23),"",TEXT(O23,"+#,##0"))</f>
        <v>+0</v>
      </c>
      <c r="AJ23" s="39">
        <f>P23/$W$12</f>
        <v>0</v>
      </c>
      <c r="AK23" s="16" t="str">
        <f>IF(ISNA(P23),"",TEXT(P23,"""-""#,##0"))</f>
        <v>-0</v>
      </c>
      <c r="AL23" s="39">
        <f>Q23/$W$12</f>
        <v>2.3206751054852322E-2</v>
      </c>
      <c r="AM23" s="16" t="str">
        <f>IF(ISNA(Q23),"",TEXT(Q23,"+#,##0"))</f>
        <v>+264</v>
      </c>
      <c r="AN23" s="39">
        <f>R23/$W$12</f>
        <v>0</v>
      </c>
      <c r="AO23" s="16" t="str">
        <f>IF(ISNA(R23),"",TEXT(R23,"""-""#,##0"))</f>
        <v>-0</v>
      </c>
      <c r="AP23" s="39">
        <f>S23/$X$12</f>
        <v>9.926677946982515E-3</v>
      </c>
      <c r="AQ23" s="16" t="str">
        <f>IF(ISNA(S23),"",TEXT(S23,"+0.0;-0.0"))</f>
        <v>+36.2</v>
      </c>
      <c r="AR23" s="39" t="e">
        <f>T23/$X$12</f>
        <v>#N/A</v>
      </c>
      <c r="AS23" s="16" t="str">
        <f>IF(ISNA(T23),"",TEXT(T23,"+0.0;-0.0"))</f>
        <v/>
      </c>
      <c r="AT23" s="39">
        <f>U23/$X$12</f>
        <v>9.926677946982515E-3</v>
      </c>
      <c r="AU23" s="39">
        <f>V23/$X$12</f>
        <v>0</v>
      </c>
    </row>
    <row r="24" spans="1:47" x14ac:dyDescent="0.35">
      <c r="A24" s="20" t="s">
        <v>154</v>
      </c>
      <c r="B24" t="s">
        <v>26</v>
      </c>
      <c r="C24" s="16" t="s">
        <v>201</v>
      </c>
      <c r="D24" s="52">
        <v>967</v>
      </c>
      <c r="E24" s="53">
        <v>78</v>
      </c>
      <c r="F24" s="54">
        <f>D24-E24</f>
        <v>889</v>
      </c>
      <c r="G24" s="38">
        <f>IF(F24=0,NA(),E24/F24*100)</f>
        <v>8.7739032620922384</v>
      </c>
      <c r="H24" s="54" t="e">
        <f>NA()</f>
        <v>#N/A</v>
      </c>
      <c r="I24" s="54">
        <f>F24</f>
        <v>889</v>
      </c>
      <c r="J24" s="54" t="e">
        <f>IF($B24="AC",D24,NA())</f>
        <v>#N/A</v>
      </c>
      <c r="K24" s="54">
        <f>IF($B24="FC",D24,NA())</f>
        <v>967</v>
      </c>
      <c r="L24" s="54">
        <f>M24+E24</f>
        <v>11376</v>
      </c>
      <c r="M24" s="54">
        <f>L23</f>
        <v>11298</v>
      </c>
      <c r="N24" s="54">
        <f>MIN(M24,L24)</f>
        <v>11298</v>
      </c>
      <c r="O24" s="54">
        <f>IF(AND($B24="AC",E24&gt;0),E24,0)</f>
        <v>0</v>
      </c>
      <c r="P24" s="54">
        <f>IF(AND($B24="AC",E24&lt;0),-E24,0)</f>
        <v>0</v>
      </c>
      <c r="Q24" s="54">
        <f>IF(AND($B24="FC",E24&gt;0),E24,0)</f>
        <v>78</v>
      </c>
      <c r="R24" s="54">
        <f>IF(AND($B24="FC",E24&lt;0),-E24,0)</f>
        <v>0</v>
      </c>
      <c r="S24" s="38">
        <f>IF(G24&gt;0,G24,NA())</f>
        <v>8.7739032620922384</v>
      </c>
      <c r="T24" s="38" t="e">
        <f>IF(G24&lt;0,G24,NA())</f>
        <v>#N/A</v>
      </c>
      <c r="U24" s="37">
        <f>IF(G24&gt;0,G24,0)</f>
        <v>8.7739032620922384</v>
      </c>
      <c r="V24" s="37">
        <f>IF(G24&lt;0,-G24,0)</f>
        <v>0</v>
      </c>
      <c r="W24" s="39"/>
      <c r="X24" s="39"/>
      <c r="Y24" s="39" t="e">
        <f>H24/$W$12</f>
        <v>#N/A</v>
      </c>
      <c r="Z24" s="16" t="str">
        <f>IF(ISNA(H24),"",TEXT(H24,"#,##0"))</f>
        <v/>
      </c>
      <c r="AA24" s="39">
        <f>I24/$W$12</f>
        <v>7.8146976090014059E-2</v>
      </c>
      <c r="AB24" s="16" t="str">
        <f>IF(ISNA(I24),"",TEXT(I24,"#,##0"))</f>
        <v>889</v>
      </c>
      <c r="AC24" s="39" t="e">
        <f>J24/$W$12</f>
        <v>#N/A</v>
      </c>
      <c r="AD24" s="16" t="str">
        <f>IF(ISNA(J24),"",TEXT(J24,"#,##0"))</f>
        <v/>
      </c>
      <c r="AE24" s="39">
        <f>K24/$W$12</f>
        <v>8.5003516174402244E-2</v>
      </c>
      <c r="AF24" s="16" t="str">
        <f>IF(ISNA(K24),"",TEXT(K24,"#,##0"))</f>
        <v>967</v>
      </c>
      <c r="AG24" s="39">
        <f>N24/$W$12</f>
        <v>0.99314345991561181</v>
      </c>
      <c r="AH24" s="39">
        <f>O24/$W$12</f>
        <v>0</v>
      </c>
      <c r="AI24" s="16" t="str">
        <f>IF(ISNA(O24),"",TEXT(O24,"+#,##0"))</f>
        <v>+0</v>
      </c>
      <c r="AJ24" s="39">
        <f>P24/$W$12</f>
        <v>0</v>
      </c>
      <c r="AK24" s="16" t="str">
        <f>IF(ISNA(P24),"",TEXT(P24,"""-""#,##0"))</f>
        <v>-0</v>
      </c>
      <c r="AL24" s="39">
        <f>Q24/$W$12</f>
        <v>6.8565400843881861E-3</v>
      </c>
      <c r="AM24" s="16" t="str">
        <f>IF(ISNA(Q24),"",TEXT(Q24,"+#,##0"))</f>
        <v>+78</v>
      </c>
      <c r="AN24" s="39">
        <f>R24/$W$12</f>
        <v>0</v>
      </c>
      <c r="AO24" s="16" t="str">
        <f>IF(ISNA(R24),"",TEXT(R24,"""-""#,##0"))</f>
        <v>-0</v>
      </c>
      <c r="AP24" s="39">
        <f>S24/$X$12</f>
        <v>2.4050293205735069E-3</v>
      </c>
      <c r="AQ24" s="16" t="str">
        <f>IF(ISNA(S24),"",TEXT(S24,"+0.0;-0.0"))</f>
        <v>+8.8</v>
      </c>
      <c r="AR24" s="39" t="e">
        <f>T24/$X$12</f>
        <v>#N/A</v>
      </c>
      <c r="AS24" s="16" t="str">
        <f>IF(ISNA(T24),"",TEXT(T24,"+0.0;-0.0"))</f>
        <v/>
      </c>
      <c r="AT24" s="39">
        <f>U24/$X$12</f>
        <v>2.4050293205735069E-3</v>
      </c>
      <c r="AU24" s="39">
        <f>V24/$X$12</f>
        <v>0</v>
      </c>
    </row>
    <row r="25" spans="1:47" x14ac:dyDescent="0.35">
      <c r="A25" s="20" t="s">
        <v>155</v>
      </c>
      <c r="B25" t="s">
        <v>26</v>
      </c>
      <c r="C25" s="16" t="s">
        <v>201</v>
      </c>
      <c r="D25" s="52">
        <v>999</v>
      </c>
      <c r="E25" s="53">
        <v>80</v>
      </c>
      <c r="F25" s="54">
        <f>D25-E25</f>
        <v>919</v>
      </c>
      <c r="G25" s="38">
        <f>IF(F25=0,NA(),E25/F25*100)</f>
        <v>8.7051142546245917</v>
      </c>
      <c r="H25" s="54" t="e">
        <f>NA()</f>
        <v>#N/A</v>
      </c>
      <c r="I25" s="54">
        <f>F25</f>
        <v>919</v>
      </c>
      <c r="J25" s="54" t="e">
        <f>IF($B25="AC",D25,NA())</f>
        <v>#N/A</v>
      </c>
      <c r="K25" s="54">
        <f>IF($B25="FC",D25,NA())</f>
        <v>999</v>
      </c>
      <c r="L25" s="54">
        <f>M25+E25</f>
        <v>11456</v>
      </c>
      <c r="M25" s="54">
        <f>L24</f>
        <v>11376</v>
      </c>
      <c r="N25" s="54">
        <f>MIN(M25,L25)</f>
        <v>11376</v>
      </c>
      <c r="O25" s="54">
        <f>IF(AND($B25="AC",E25&gt;0),E25,0)</f>
        <v>0</v>
      </c>
      <c r="P25" s="54">
        <f>IF(AND($B25="AC",E25&lt;0),-E25,0)</f>
        <v>0</v>
      </c>
      <c r="Q25" s="54">
        <f>IF(AND($B25="FC",E25&gt;0),E25,0)</f>
        <v>80</v>
      </c>
      <c r="R25" s="54">
        <f>IF(AND($B25="FC",E25&lt;0),-E25,0)</f>
        <v>0</v>
      </c>
      <c r="S25" s="38">
        <f>IF(G25&gt;0,G25,NA())</f>
        <v>8.7051142546245917</v>
      </c>
      <c r="T25" s="38" t="e">
        <f>IF(G25&lt;0,G25,NA())</f>
        <v>#N/A</v>
      </c>
      <c r="U25" s="37">
        <f>IF(G25&gt;0,G25,0)</f>
        <v>8.7051142546245917</v>
      </c>
      <c r="V25" s="37">
        <f>IF(G25&lt;0,-G25,0)</f>
        <v>0</v>
      </c>
      <c r="W25" s="39"/>
      <c r="X25" s="39"/>
      <c r="Y25" s="39" t="e">
        <f>H25/$W$12</f>
        <v>#N/A</v>
      </c>
      <c r="Z25" s="16" t="str">
        <f>IF(ISNA(H25),"",TEXT(H25,"#,##0"))</f>
        <v/>
      </c>
      <c r="AA25" s="39">
        <f>I25/$W$12</f>
        <v>8.0784106891701832E-2</v>
      </c>
      <c r="AB25" s="16" t="str">
        <f>IF(ISNA(I25),"",TEXT(I25,"#,##0"))</f>
        <v>919</v>
      </c>
      <c r="AC25" s="39" t="e">
        <f>J25/$W$12</f>
        <v>#N/A</v>
      </c>
      <c r="AD25" s="16" t="str">
        <f>IF(ISNA(J25),"",TEXT(J25,"#,##0"))</f>
        <v/>
      </c>
      <c r="AE25" s="39">
        <f>K25/$W$12</f>
        <v>8.7816455696202528E-2</v>
      </c>
      <c r="AF25" s="16" t="str">
        <f>IF(ISNA(K25),"",TEXT(K25,"#,##0"))</f>
        <v>999</v>
      </c>
      <c r="AG25" s="39">
        <f>N25/$W$12</f>
        <v>1</v>
      </c>
      <c r="AH25" s="39">
        <f>O25/$W$12</f>
        <v>0</v>
      </c>
      <c r="AI25" s="16" t="str">
        <f>IF(ISNA(O25),"",TEXT(O25,"+#,##0"))</f>
        <v>+0</v>
      </c>
      <c r="AJ25" s="39">
        <f>P25/$W$12</f>
        <v>0</v>
      </c>
      <c r="AK25" s="16" t="str">
        <f>IF(ISNA(P25),"",TEXT(P25,"""-""#,##0"))</f>
        <v>-0</v>
      </c>
      <c r="AL25" s="39">
        <f>Q25/$W$12</f>
        <v>7.0323488045007029E-3</v>
      </c>
      <c r="AM25" s="16" t="str">
        <f>IF(ISNA(Q25),"",TEXT(Q25,"+#,##0"))</f>
        <v>+80</v>
      </c>
      <c r="AN25" s="39">
        <f>R25/$W$12</f>
        <v>0</v>
      </c>
      <c r="AO25" s="16" t="str">
        <f>IF(ISNA(R25),"",TEXT(R25,"""-""#,##0"))</f>
        <v>-0</v>
      </c>
      <c r="AP25" s="39">
        <f>S25/$X$12</f>
        <v>2.3861734505062331E-3</v>
      </c>
      <c r="AQ25" s="16" t="str">
        <f>IF(ISNA(S25),"",TEXT(S25,"+0.0;-0.0"))</f>
        <v>+8.7</v>
      </c>
      <c r="AR25" s="39" t="e">
        <f>T25/$X$12</f>
        <v>#N/A</v>
      </c>
      <c r="AS25" s="16" t="str">
        <f>IF(ISNA(T25),"",TEXT(T25,"+0.0;-0.0"))</f>
        <v/>
      </c>
      <c r="AT25" s="39">
        <f>U25/$X$12</f>
        <v>2.3861734505062331E-3</v>
      </c>
      <c r="AU25" s="39">
        <f>V25/$X$12</f>
        <v>0</v>
      </c>
    </row>
    <row r="26" spans="1:47" x14ac:dyDescent="0.35">
      <c r="A26" s="20" t="s">
        <v>202</v>
      </c>
      <c r="B26" t="s">
        <v>17</v>
      </c>
      <c r="C26" s="16" t="s">
        <v>200</v>
      </c>
      <c r="D26" s="50">
        <f>SUM(D14:D25)</f>
        <v>11456</v>
      </c>
      <c r="E26" s="53">
        <f>D26-$D$13</f>
        <v>1200</v>
      </c>
      <c r="F26" s="54">
        <f>0</f>
        <v>0</v>
      </c>
      <c r="G26" s="38">
        <f>IF($D$13&lt;=0,NA(),E26/$D$13*100)</f>
        <v>11.700468018720748</v>
      </c>
      <c r="H26" s="54" t="e">
        <f>NA()</f>
        <v>#N/A</v>
      </c>
      <c r="I26" s="54" t="e">
        <f>NA()</f>
        <v>#N/A</v>
      </c>
      <c r="J26" s="54">
        <f>SUMIF($B$14:$B$25,"AC",$D$14:$D$25)</f>
        <v>6552</v>
      </c>
      <c r="K26" s="54">
        <f>SUMIF($B$14:$B$25,"FC",$D$14:$D$25)</f>
        <v>4904</v>
      </c>
      <c r="L26" s="54">
        <f>L25</f>
        <v>11456</v>
      </c>
      <c r="M26" s="54">
        <f>L26</f>
        <v>11456</v>
      </c>
      <c r="N26" s="54">
        <f>0</f>
        <v>0</v>
      </c>
      <c r="O26" s="54">
        <f>0</f>
        <v>0</v>
      </c>
      <c r="P26" s="54">
        <f>0</f>
        <v>0</v>
      </c>
      <c r="Q26" s="54">
        <f>0</f>
        <v>0</v>
      </c>
      <c r="R26" s="54">
        <f>0</f>
        <v>0</v>
      </c>
      <c r="S26" s="38">
        <f>IF(G26&gt;0,G26,NA())</f>
        <v>11.700468018720748</v>
      </c>
      <c r="T26" s="38" t="e">
        <f>IF(G26&lt;0,G26,NA())</f>
        <v>#N/A</v>
      </c>
      <c r="U26" s="37">
        <f>IF(G26&gt;0,G26,0)</f>
        <v>11.700468018720748</v>
      </c>
      <c r="V26" s="37">
        <f>IF(G26&lt;0,-G26,0)</f>
        <v>0</v>
      </c>
      <c r="W26" s="39"/>
      <c r="X26" s="39"/>
      <c r="Y26" s="39" t="e">
        <f>H26/$W$12</f>
        <v>#N/A</v>
      </c>
      <c r="Z26" s="16" t="str">
        <f>IF(ISNA(H26),"",TEXT(H26,"#,##0"))</f>
        <v/>
      </c>
      <c r="AA26" s="39" t="e">
        <f>I26/$W$12</f>
        <v>#N/A</v>
      </c>
      <c r="AB26" s="16" t="str">
        <f>IF(ISNA(I26),"",TEXT(I26,"#,##0"))</f>
        <v/>
      </c>
      <c r="AC26" s="39">
        <f>J26/$W$12</f>
        <v>0.57594936708860756</v>
      </c>
      <c r="AD26" s="16" t="str">
        <f>IF(ISNA(J26),"",TEXT(J26,"#,##0"))</f>
        <v>6,552</v>
      </c>
      <c r="AE26" s="39">
        <f>K26/$W$12</f>
        <v>0.4310829817158931</v>
      </c>
      <c r="AF26" s="16" t="str">
        <f>IF(ISNA(K26),"",TEXT(K26,"#,##0"))</f>
        <v>4,904</v>
      </c>
      <c r="AG26" s="39">
        <f>N26/$W$12</f>
        <v>0</v>
      </c>
      <c r="AH26" s="39">
        <f>O26/$W$12</f>
        <v>0</v>
      </c>
      <c r="AI26" s="16" t="str">
        <f>IF(ISNA(O26),"",TEXT(O26,"+#,##0"))</f>
        <v>+0</v>
      </c>
      <c r="AJ26" s="39">
        <f>P26/$W$12</f>
        <v>0</v>
      </c>
      <c r="AK26" s="16" t="str">
        <f>IF(ISNA(P26),"",TEXT(P26,"""-""#,##0"))</f>
        <v>-0</v>
      </c>
      <c r="AL26" s="39">
        <f>Q26/$W$12</f>
        <v>0</v>
      </c>
      <c r="AM26" s="16" t="str">
        <f>IF(ISNA(Q26),"",TEXT(Q26,"+#,##0"))</f>
        <v>+0</v>
      </c>
      <c r="AN26" s="39">
        <f>R26/$W$12</f>
        <v>0</v>
      </c>
      <c r="AO26" s="16" t="str">
        <f>IF(ISNA(R26),"",TEXT(R26,"""-""#,##0"))</f>
        <v>-0</v>
      </c>
      <c r="AP26" s="39">
        <f>S26/$X$12</f>
        <v>3.2072348883803066E-3</v>
      </c>
      <c r="AQ26" s="16" t="str">
        <f>IF(ISNA(S26),"",TEXT(S26,"+0.0;-0.0"))</f>
        <v>+11.7</v>
      </c>
      <c r="AR26" s="39" t="e">
        <f>T26/$X$12</f>
        <v>#N/A</v>
      </c>
      <c r="AS26" s="16" t="str">
        <f>IF(ISNA(T26),"",TEXT(T26,"+0.0;-0.0"))</f>
        <v/>
      </c>
      <c r="AT26" s="39">
        <f>U26/$X$12</f>
        <v>3.2072348883803066E-3</v>
      </c>
      <c r="AU26" s="39">
        <f>V26/$X$12</f>
        <v>0</v>
      </c>
    </row>
    <row r="27" spans="1:47" x14ac:dyDescent="0.35">
      <c r="A27" s="20" t="s">
        <v>203</v>
      </c>
      <c r="C27" s="16" t="s">
        <v>204</v>
      </c>
      <c r="D27" s="51"/>
      <c r="E27" s="53">
        <f>$D$26-$D$13</f>
        <v>1200</v>
      </c>
      <c r="F27" s="54">
        <f>0</f>
        <v>0</v>
      </c>
      <c r="G27" s="38" t="e">
        <f>NA()</f>
        <v>#N/A</v>
      </c>
      <c r="H27" s="54" t="e">
        <f>NA()</f>
        <v>#N/A</v>
      </c>
      <c r="I27" s="54" t="e">
        <f>NA()</f>
        <v>#N/A</v>
      </c>
      <c r="J27" s="54" t="e">
        <f>NA()</f>
        <v>#N/A</v>
      </c>
      <c r="K27" s="54" t="e">
        <f>NA()</f>
        <v>#N/A</v>
      </c>
      <c r="L27" s="54">
        <f>$D$26</f>
        <v>11456</v>
      </c>
      <c r="M27" s="54">
        <f>$D$13</f>
        <v>10256</v>
      </c>
      <c r="N27" s="54">
        <f>MIN($D$13,$D$26)</f>
        <v>10256</v>
      </c>
      <c r="O27" s="54">
        <f>IF(E27&gt;0,E27,0)</f>
        <v>1200</v>
      </c>
      <c r="P27" s="54">
        <f>IF(E27&lt;0,-E27,0)</f>
        <v>0</v>
      </c>
      <c r="Q27" s="54">
        <f>0</f>
        <v>0</v>
      </c>
      <c r="R27" s="54">
        <f>0</f>
        <v>0</v>
      </c>
      <c r="S27" s="38" t="e">
        <f>NA()</f>
        <v>#N/A</v>
      </c>
      <c r="T27" s="38" t="e">
        <f>NA()</f>
        <v>#N/A</v>
      </c>
      <c r="U27" s="37">
        <f>0</f>
        <v>0</v>
      </c>
      <c r="V27" s="37">
        <f>0</f>
        <v>0</v>
      </c>
      <c r="W27" s="39"/>
      <c r="X27" s="39"/>
      <c r="Y27" s="39" t="e">
        <f>H27/$W$12</f>
        <v>#N/A</v>
      </c>
      <c r="Z27" s="16" t="str">
        <f>IF(ISNA(H27),"",TEXT(H27,"#,##0"))</f>
        <v/>
      </c>
      <c r="AA27" s="39" t="e">
        <f>I27/$W$12</f>
        <v>#N/A</v>
      </c>
      <c r="AB27" s="16" t="str">
        <f>IF(ISNA(I27),"",TEXT(I27,"#,##0"))</f>
        <v/>
      </c>
      <c r="AC27" s="39" t="e">
        <f>J27/$W$12</f>
        <v>#N/A</v>
      </c>
      <c r="AD27" s="16" t="str">
        <f>IF(ISNA(J27),"",TEXT(J27,"#,##0"))</f>
        <v/>
      </c>
      <c r="AE27" s="39" t="e">
        <f>K27/$W$12</f>
        <v>#N/A</v>
      </c>
      <c r="AF27" s="16" t="str">
        <f>IF(ISNA(K27),"",TEXT(K27,"#,##0"))</f>
        <v/>
      </c>
      <c r="AG27" s="39">
        <f>N27/$W$12</f>
        <v>0.90154711673699017</v>
      </c>
      <c r="AH27" s="39">
        <f>O27/$W$12</f>
        <v>0.10548523206751055</v>
      </c>
      <c r="AI27" s="16" t="str">
        <f>IF(ISNA(O27),"",TEXT(O27,"+#,##0"))</f>
        <v>+1,200</v>
      </c>
      <c r="AJ27" s="39">
        <f>P27/$W$12</f>
        <v>0</v>
      </c>
      <c r="AK27" s="16" t="str">
        <f>IF(ISNA(P27),"",TEXT(P27,"""-""#,##0"))</f>
        <v>-0</v>
      </c>
      <c r="AL27" s="39">
        <f>Q27/$W$12</f>
        <v>0</v>
      </c>
      <c r="AM27" s="16" t="str">
        <f>IF(ISNA(Q27),"",TEXT(Q27,"+#,##0"))</f>
        <v>+0</v>
      </c>
      <c r="AN27" s="39">
        <f>R27/$W$12</f>
        <v>0</v>
      </c>
      <c r="AO27" s="16" t="str">
        <f>IF(ISNA(R27),"",TEXT(R27,"""-""#,##0"))</f>
        <v>-0</v>
      </c>
      <c r="AP27" s="39" t="e">
        <f>S27/$X$12</f>
        <v>#N/A</v>
      </c>
      <c r="AQ27" s="16" t="str">
        <f>IF(ISNA(S27),"",TEXT(S27,"+0.0;-0.0"))</f>
        <v/>
      </c>
      <c r="AR27" s="39" t="e">
        <f>T27/$X$12</f>
        <v>#N/A</v>
      </c>
      <c r="AS27" s="16" t="str">
        <f>IF(ISNA(T27),"",TEXT(T27,"+0.0;-0.0"))</f>
        <v/>
      </c>
      <c r="AT27" s="39">
        <f>U27/$X$12</f>
        <v>0</v>
      </c>
      <c r="AU27" s="39">
        <f>V27/$X$12</f>
        <v>0</v>
      </c>
    </row>
    <row r="28" spans="1:47" x14ac:dyDescent="0.35">
      <c r="A28" s="20" t="s">
        <v>205</v>
      </c>
      <c r="C28" s="16" t="s">
        <v>204</v>
      </c>
      <c r="D28" s="51"/>
      <c r="E28" s="53">
        <f>$D$26-$D$12</f>
        <v>1200</v>
      </c>
      <c r="F28" s="54">
        <f>0</f>
        <v>0</v>
      </c>
      <c r="G28" s="38" t="e">
        <f>NA()</f>
        <v>#N/A</v>
      </c>
      <c r="H28" s="54" t="e">
        <f>NA()</f>
        <v>#N/A</v>
      </c>
      <c r="I28" s="54" t="e">
        <f>NA()</f>
        <v>#N/A</v>
      </c>
      <c r="J28" s="54" t="e">
        <f>NA()</f>
        <v>#N/A</v>
      </c>
      <c r="K28" s="54" t="e">
        <f>NA()</f>
        <v>#N/A</v>
      </c>
      <c r="L28" s="54">
        <f>$D$26</f>
        <v>11456</v>
      </c>
      <c r="M28" s="54">
        <f>$D$12</f>
        <v>10256</v>
      </c>
      <c r="N28" s="54">
        <f>MIN($D$12,$D$26)</f>
        <v>10256</v>
      </c>
      <c r="O28" s="54">
        <f>IF(E28&gt;0,E28,0)</f>
        <v>1200</v>
      </c>
      <c r="P28" s="54">
        <f>IF(E28&lt;0,-E28,0)</f>
        <v>0</v>
      </c>
      <c r="Q28" s="54">
        <f>0</f>
        <v>0</v>
      </c>
      <c r="R28" s="54">
        <f>0</f>
        <v>0</v>
      </c>
      <c r="S28" s="38" t="e">
        <f>NA()</f>
        <v>#N/A</v>
      </c>
      <c r="T28" s="38" t="e">
        <f>NA()</f>
        <v>#N/A</v>
      </c>
      <c r="U28" s="37">
        <f>0</f>
        <v>0</v>
      </c>
      <c r="V28" s="37">
        <f>0</f>
        <v>0</v>
      </c>
      <c r="W28" s="39"/>
      <c r="X28" s="39"/>
      <c r="Y28" s="39" t="e">
        <f>H28/$W$12</f>
        <v>#N/A</v>
      </c>
      <c r="Z28" s="16" t="str">
        <f>IF(ISNA(H28),"",TEXT(H28,"#,##0"))</f>
        <v/>
      </c>
      <c r="AA28" s="39" t="e">
        <f>I28/$W$12</f>
        <v>#N/A</v>
      </c>
      <c r="AB28" s="16" t="str">
        <f>IF(ISNA(I28),"",TEXT(I28,"#,##0"))</f>
        <v/>
      </c>
      <c r="AC28" s="39" t="e">
        <f>J28/$W$12</f>
        <v>#N/A</v>
      </c>
      <c r="AD28" s="16" t="str">
        <f>IF(ISNA(J28),"",TEXT(J28,"#,##0"))</f>
        <v/>
      </c>
      <c r="AE28" s="39" t="e">
        <f>K28/$W$12</f>
        <v>#N/A</v>
      </c>
      <c r="AF28" s="16" t="str">
        <f>IF(ISNA(K28),"",TEXT(K28,"#,##0"))</f>
        <v/>
      </c>
      <c r="AG28" s="39">
        <f>N28/$W$12</f>
        <v>0.90154711673699017</v>
      </c>
      <c r="AH28" s="39">
        <f>O28/$W$12</f>
        <v>0.10548523206751055</v>
      </c>
      <c r="AI28" s="16" t="str">
        <f>IF(ISNA(O28),"",TEXT(O28,"+#,##0"))</f>
        <v>+1,200</v>
      </c>
      <c r="AJ28" s="39">
        <f>P28/$W$12</f>
        <v>0</v>
      </c>
      <c r="AK28" s="16" t="str">
        <f>IF(ISNA(P28),"",TEXT(P28,"""-""#,##0"))</f>
        <v>-0</v>
      </c>
      <c r="AL28" s="39">
        <f>Q28/$W$12</f>
        <v>0</v>
      </c>
      <c r="AM28" s="16" t="str">
        <f>IF(ISNA(Q28),"",TEXT(Q28,"+#,##0"))</f>
        <v>+0</v>
      </c>
      <c r="AN28" s="39">
        <f>R28/$W$12</f>
        <v>0</v>
      </c>
      <c r="AO28" s="16" t="str">
        <f>IF(ISNA(R28),"",TEXT(R28,"""-""#,##0"))</f>
        <v>-0</v>
      </c>
      <c r="AP28" s="39" t="e">
        <f>S28/$X$12</f>
        <v>#N/A</v>
      </c>
      <c r="AQ28" s="16" t="str">
        <f>IF(ISNA(S28),"",TEXT(S28,"+0.0;-0.0"))</f>
        <v/>
      </c>
      <c r="AR28" s="39" t="e">
        <f>T28/$X$12</f>
        <v>#N/A</v>
      </c>
      <c r="AS28" s="16" t="str">
        <f>IF(ISNA(T28),"",TEXT(T28,"+0.0;-0.0"))</f>
        <v/>
      </c>
      <c r="AT28" s="39">
        <f>U28/$X$12</f>
        <v>0</v>
      </c>
      <c r="AU28" s="39">
        <f>V28/$X$12</f>
        <v>0</v>
      </c>
    </row>
    <row r="30" spans="1:47" ht="24" customHeight="1" x14ac:dyDescent="0.35">
      <c r="A30" s="40" t="s">
        <v>206</v>
      </c>
      <c r="B30" s="41"/>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row>
    <row r="31" spans="1:47" ht="24" customHeight="1" x14ac:dyDescent="0.35">
      <c r="A31" s="40" t="s">
        <v>207</v>
      </c>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row>
  </sheetData>
  <mergeCells count="10">
    <mergeCell ref="B7:AU7"/>
    <mergeCell ref="B9:AU9"/>
    <mergeCell ref="A30:AU30"/>
    <mergeCell ref="A31:AU31"/>
    <mergeCell ref="B1:AU1"/>
    <mergeCell ref="B2:AU2"/>
    <mergeCell ref="B3:AU3"/>
    <mergeCell ref="B4:AU4"/>
    <mergeCell ref="B5:AU5"/>
    <mergeCell ref="B6:AU6"/>
  </mergeCells>
  <printOptions horizontalCentered="1" verticalCentered="1"/>
  <pageMargins left="0.25" right="0.25" top="0.25" bottom="0.25" header="0.125" footer="0.125"/>
  <pageSetup scale="79"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27557-34D5-4F6C-8AC1-5654DD7FEA63}">
  <sheetPr>
    <pageSetUpPr fitToPage="1"/>
  </sheetPr>
  <dimension ref="A1:AM31"/>
  <sheetViews>
    <sheetView showGridLines="0" workbookViewId="0"/>
  </sheetViews>
  <sheetFormatPr defaultRowHeight="14.5" x14ac:dyDescent="0.35"/>
  <cols>
    <col min="1" max="1" width="16.6328125" customWidth="1"/>
    <col min="2" max="3" width="9.6328125" customWidth="1"/>
    <col min="4" max="17" width="8.6328125" customWidth="1"/>
    <col min="18" max="19" width="8.1796875" customWidth="1"/>
    <col min="20" max="39" width="8.6328125" hidden="1" customWidth="1"/>
  </cols>
  <sheetData>
    <row r="1" spans="1:39" ht="15" customHeight="1" x14ac:dyDescent="0.35">
      <c r="A1" s="30" t="s">
        <v>75</v>
      </c>
      <c r="B1" s="18" t="s">
        <v>76</v>
      </c>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row>
    <row r="2" spans="1:39" ht="15" customHeight="1" x14ac:dyDescent="0.35">
      <c r="A2" s="30" t="s">
        <v>77</v>
      </c>
      <c r="B2" s="18" t="s">
        <v>78</v>
      </c>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row>
    <row r="3" spans="1:39" ht="15" customHeight="1" x14ac:dyDescent="0.35">
      <c r="A3" s="30" t="s">
        <v>79</v>
      </c>
      <c r="B3" s="18" t="s">
        <v>80</v>
      </c>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row>
    <row r="4" spans="1:39" ht="15" customHeight="1" x14ac:dyDescent="0.35">
      <c r="A4" s="30" t="s">
        <v>81</v>
      </c>
      <c r="B4" s="18" t="s">
        <v>108</v>
      </c>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row>
    <row r="5" spans="1:39" ht="15" customHeight="1" x14ac:dyDescent="0.35">
      <c r="A5" s="30" t="s">
        <v>83</v>
      </c>
      <c r="B5" s="18" t="s">
        <v>24</v>
      </c>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row>
    <row r="6" spans="1:39" ht="29.5" customHeight="1" x14ac:dyDescent="0.35">
      <c r="A6" s="30" t="s">
        <v>84</v>
      </c>
      <c r="B6" s="32" t="s">
        <v>208</v>
      </c>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row>
    <row r="7" spans="1:39" ht="15" customHeight="1" x14ac:dyDescent="0.35">
      <c r="A7" s="30" t="s">
        <v>86</v>
      </c>
      <c r="B7" s="31" t="str">
        <f>B2&amp;" in "&amp;B3</f>
        <v>Net premiums written in $m</v>
      </c>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row>
    <row r="8" spans="1:39" ht="15" customHeight="1" x14ac:dyDescent="0.35"/>
    <row r="9" spans="1:39" ht="15" customHeight="1" x14ac:dyDescent="0.35">
      <c r="A9" s="30" t="s">
        <v>117</v>
      </c>
      <c r="B9" s="19" t="str">
        <f>"Δ"&amp;$B$5&amp;"%"</f>
        <v>ΔPY%</v>
      </c>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row>
    <row r="10" spans="1:39" ht="15" customHeight="1" x14ac:dyDescent="0.35"/>
    <row r="11" spans="1:39" ht="28" customHeight="1" x14ac:dyDescent="0.35">
      <c r="A11" s="33" t="s">
        <v>209</v>
      </c>
      <c r="B11" s="33" t="s">
        <v>170</v>
      </c>
      <c r="C11" s="33" t="s">
        <v>13</v>
      </c>
      <c r="D11" s="33" t="s">
        <v>17</v>
      </c>
      <c r="E11" s="33" t="s">
        <v>120</v>
      </c>
      <c r="F11" s="33" t="s">
        <v>24</v>
      </c>
      <c r="G11" s="33" t="s">
        <v>119</v>
      </c>
      <c r="H11" s="33" t="s">
        <v>173</v>
      </c>
      <c r="I11" s="33" t="s">
        <v>210</v>
      </c>
      <c r="J11" s="33" t="s">
        <v>211</v>
      </c>
      <c r="K11" s="33" t="s">
        <v>172</v>
      </c>
      <c r="L11" s="33" t="s">
        <v>212</v>
      </c>
      <c r="M11" s="33" t="s">
        <v>175</v>
      </c>
      <c r="N11" s="33" t="s">
        <v>176</v>
      </c>
      <c r="O11" s="33" t="s">
        <v>177</v>
      </c>
      <c r="P11" s="33" t="s">
        <v>213</v>
      </c>
      <c r="Q11" s="33" t="s">
        <v>214</v>
      </c>
      <c r="R11" s="33" t="s">
        <v>125</v>
      </c>
      <c r="S11" s="33" t="s">
        <v>126</v>
      </c>
      <c r="T11" s="33" t="s">
        <v>129</v>
      </c>
      <c r="U11" s="33" t="s">
        <v>130</v>
      </c>
      <c r="V11" s="33" t="s">
        <v>215</v>
      </c>
      <c r="W11" s="33" t="s">
        <v>216</v>
      </c>
      <c r="X11" s="33" t="s">
        <v>217</v>
      </c>
      <c r="Y11" s="33" t="s">
        <v>184</v>
      </c>
      <c r="Z11" s="33" t="s">
        <v>185</v>
      </c>
      <c r="AA11" s="33" t="s">
        <v>182</v>
      </c>
      <c r="AB11" s="33" t="s">
        <v>183</v>
      </c>
      <c r="AC11" s="33" t="s">
        <v>186</v>
      </c>
      <c r="AD11" s="33" t="s">
        <v>187</v>
      </c>
      <c r="AE11" s="33" t="s">
        <v>190</v>
      </c>
      <c r="AF11" s="33" t="s">
        <v>218</v>
      </c>
      <c r="AG11" s="33" t="s">
        <v>219</v>
      </c>
      <c r="AH11" s="33" t="s">
        <v>220</v>
      </c>
      <c r="AI11" s="33" t="s">
        <v>221</v>
      </c>
      <c r="AJ11" s="33" t="s">
        <v>166</v>
      </c>
      <c r="AK11" s="33" t="s">
        <v>167</v>
      </c>
      <c r="AL11" s="33" t="s">
        <v>138</v>
      </c>
      <c r="AM11" s="33" t="s">
        <v>140</v>
      </c>
    </row>
    <row r="12" spans="1:39" x14ac:dyDescent="0.35">
      <c r="A12" s="20" t="s">
        <v>24</v>
      </c>
      <c r="B12" s="16" t="s">
        <v>200</v>
      </c>
      <c r="C12" t="s">
        <v>24</v>
      </c>
      <c r="D12" s="55">
        <f>SUM(F13:F23)</f>
        <v>74424</v>
      </c>
      <c r="E12" s="56"/>
      <c r="F12" s="54">
        <f>0</f>
        <v>0</v>
      </c>
      <c r="G12" s="57"/>
      <c r="H12" s="54">
        <f>0</f>
        <v>0</v>
      </c>
      <c r="I12" s="54">
        <f>0</f>
        <v>0</v>
      </c>
      <c r="J12" s="54">
        <f>0</f>
        <v>0</v>
      </c>
      <c r="K12" s="54">
        <f>D12</f>
        <v>74424</v>
      </c>
      <c r="L12" s="54">
        <f>0</f>
        <v>0</v>
      </c>
      <c r="M12" s="54">
        <f>D12</f>
        <v>74424</v>
      </c>
      <c r="N12" s="54">
        <f>M12</f>
        <v>74424</v>
      </c>
      <c r="O12" s="54">
        <f>0</f>
        <v>0</v>
      </c>
      <c r="P12" s="54">
        <f>0</f>
        <v>0</v>
      </c>
      <c r="Q12" s="54">
        <f>0</f>
        <v>0</v>
      </c>
      <c r="R12" s="38" t="e">
        <f>NA()</f>
        <v>#N/A</v>
      </c>
      <c r="S12" s="38" t="e">
        <f>NA()</f>
        <v>#N/A</v>
      </c>
      <c r="T12" s="39">
        <f>MAX(_xlfn.AGGREGATE(4,6,H12:H31,I12:I31,J12:J31,K12:K31,L12:L31,O12:O31,P12:P31,Q12:Q31),-_xlfn.AGGREGATE(5,6,H12:H31,I12:I31,J12:J31,K12:K31,L12:L31,O12:O31,P12:P31,Q12:Q31),0.000000001)</f>
        <v>83174</v>
      </c>
      <c r="U12" s="39">
        <f>MAX(_xlfn.AGGREGATE(4,6,E12:E31,R12:R31,S12:S31),-_xlfn.AGGREGATE(5,6,E12:E31,R12:R31,S12:S31),0.000000001)</f>
        <v>28.286491387126024</v>
      </c>
      <c r="V12" s="39">
        <f>H12/$T$12</f>
        <v>0</v>
      </c>
      <c r="W12" s="16" t="str">
        <f>IF(ISNA(H12),"",TEXT(H12,"#,##0"))</f>
        <v>0</v>
      </c>
      <c r="X12" s="39">
        <f>I12/$T$12</f>
        <v>0</v>
      </c>
      <c r="Y12" s="39">
        <f>J12/$T$12</f>
        <v>0</v>
      </c>
      <c r="Z12" s="16" t="str">
        <f>IF(ISNA(J12),"",TEXT(J12,"#,##0"))</f>
        <v>0</v>
      </c>
      <c r="AA12" s="39">
        <f>K12/$T$12</f>
        <v>0.89479885541154691</v>
      </c>
      <c r="AB12" s="16" t="str">
        <f>IF(ISNA(K12),"",TEXT(K12,"#,##0"))</f>
        <v>74,424</v>
      </c>
      <c r="AC12" s="39">
        <f>L12/$T$12</f>
        <v>0</v>
      </c>
      <c r="AD12" s="16" t="str">
        <f>IF(ISNA(L12),"",TEXT(L12,"#,##0"))</f>
        <v>0</v>
      </c>
      <c r="AE12" s="39">
        <f>O12/$T$12</f>
        <v>0</v>
      </c>
      <c r="AF12" s="39">
        <f>P12/$T$12</f>
        <v>0</v>
      </c>
      <c r="AG12" s="16" t="str">
        <f>IF(ISNA(P12),"",TEXT(P12,"+#,##0"))</f>
        <v>+0</v>
      </c>
      <c r="AH12" s="39">
        <f>Q12/$T$12</f>
        <v>0</v>
      </c>
      <c r="AI12" s="16" t="str">
        <f>IF(ISNA(Q12),"",TEXT(Q12,"""-""#,##0"))</f>
        <v>-0</v>
      </c>
      <c r="AJ12" s="39">
        <f>E12/$U$12</f>
        <v>0</v>
      </c>
      <c r="AK12" s="16" t="str">
        <f>IF(ISNA(E12),"",TEXT(E12,"+0;-0"))</f>
        <v>+0</v>
      </c>
      <c r="AL12" s="39" t="e">
        <f>R12/$U$12</f>
        <v>#N/A</v>
      </c>
      <c r="AM12" s="39" t="e">
        <f>S12/$U$12</f>
        <v>#N/A</v>
      </c>
    </row>
    <row r="13" spans="1:39" x14ac:dyDescent="0.35">
      <c r="A13" s="20" t="s">
        <v>100</v>
      </c>
      <c r="B13" s="16" t="s">
        <v>201</v>
      </c>
      <c r="C13" t="s">
        <v>17</v>
      </c>
      <c r="D13" s="51">
        <v>10315</v>
      </c>
      <c r="E13" s="56">
        <v>6.9909760398298939</v>
      </c>
      <c r="F13" s="54">
        <f>IF(E13=-100,NA(),D13/(1+E13/100))</f>
        <v>9641</v>
      </c>
      <c r="G13" s="57">
        <f>D13-F13</f>
        <v>674</v>
      </c>
      <c r="H13" s="54">
        <f>D13</f>
        <v>10315</v>
      </c>
      <c r="I13" s="54">
        <f>MAX(F13-D13,0)</f>
        <v>0</v>
      </c>
      <c r="J13" s="54">
        <f>0</f>
        <v>0</v>
      </c>
      <c r="K13" s="54">
        <f>0</f>
        <v>0</v>
      </c>
      <c r="L13" s="54">
        <f>0</f>
        <v>0</v>
      </c>
      <c r="M13" s="54">
        <f>N13+G13</f>
        <v>75098</v>
      </c>
      <c r="N13" s="54">
        <f>M12</f>
        <v>74424</v>
      </c>
      <c r="O13" s="54">
        <f>MIN(N13,M13)</f>
        <v>74424</v>
      </c>
      <c r="P13" s="54">
        <f>IF(G13&gt;0,G13,0)</f>
        <v>674</v>
      </c>
      <c r="Q13" s="54">
        <f>IF(G13&lt;0,-G13,0)</f>
        <v>0</v>
      </c>
      <c r="R13" s="38">
        <f>IF(E13&gt;0,E13,NA())</f>
        <v>6.9909760398298939</v>
      </c>
      <c r="S13" s="38" t="e">
        <f>IF(E13&lt;0,E13,NA())</f>
        <v>#N/A</v>
      </c>
      <c r="T13" s="39"/>
      <c r="U13" s="39"/>
      <c r="V13" s="39">
        <f>H13/$T$12</f>
        <v>0.12401712073484503</v>
      </c>
      <c r="W13" s="16" t="str">
        <f>IF(ISNA(H13),"",TEXT(H13,"#,##0"))</f>
        <v>10,315</v>
      </c>
      <c r="X13" s="39">
        <f>I13/$T$12</f>
        <v>0</v>
      </c>
      <c r="Y13" s="39">
        <f>J13/$T$12</f>
        <v>0</v>
      </c>
      <c r="Z13" s="16" t="str">
        <f>IF(ISNA(J13),"",TEXT(J13,"#,##0"))</f>
        <v>0</v>
      </c>
      <c r="AA13" s="39">
        <f>K13/$T$12</f>
        <v>0</v>
      </c>
      <c r="AB13" s="16" t="str">
        <f>IF(ISNA(K13),"",TEXT(K13,"#,##0"))</f>
        <v>0</v>
      </c>
      <c r="AC13" s="39">
        <f>L13/$T$12</f>
        <v>0</v>
      </c>
      <c r="AD13" s="16" t="str">
        <f>IF(ISNA(L13),"",TEXT(L13,"#,##0"))</f>
        <v>0</v>
      </c>
      <c r="AE13" s="39">
        <f>O13/$T$12</f>
        <v>0.89479885541154691</v>
      </c>
      <c r="AF13" s="39">
        <f>P13/$T$12</f>
        <v>8.103493880299132E-3</v>
      </c>
      <c r="AG13" s="16" t="str">
        <f>IF(ISNA(P13),"",TEXT(P13,"+#,##0"))</f>
        <v>+674</v>
      </c>
      <c r="AH13" s="39">
        <f>Q13/$T$12</f>
        <v>0</v>
      </c>
      <c r="AI13" s="16" t="str">
        <f>IF(ISNA(Q13),"",TEXT(Q13,"""-""#,##0"))</f>
        <v>-0</v>
      </c>
      <c r="AJ13" s="39">
        <f>E13/$U$12</f>
        <v>0.24714892858757603</v>
      </c>
      <c r="AK13" s="16" t="str">
        <f>IF(ISNA(E13),"",TEXT(E13,"+0;-0"))</f>
        <v>+7</v>
      </c>
      <c r="AL13" s="39">
        <f>R13/$U$12</f>
        <v>0.24714892858757603</v>
      </c>
      <c r="AM13" s="39" t="e">
        <f>S13/$U$12</f>
        <v>#N/A</v>
      </c>
    </row>
    <row r="14" spans="1:39" x14ac:dyDescent="0.35">
      <c r="A14" s="20" t="s">
        <v>102</v>
      </c>
      <c r="B14" s="16" t="s">
        <v>201</v>
      </c>
      <c r="C14" t="s">
        <v>17</v>
      </c>
      <c r="D14" s="51">
        <v>4777</v>
      </c>
      <c r="E14" s="56">
        <v>15.834141610087293</v>
      </c>
      <c r="F14" s="54">
        <f>IF(E14=-100,NA(),D14/(1+E14/100))</f>
        <v>4124</v>
      </c>
      <c r="G14" s="57">
        <f>D14-F14</f>
        <v>653</v>
      </c>
      <c r="H14" s="54">
        <f>D14</f>
        <v>4777</v>
      </c>
      <c r="I14" s="54">
        <f>MAX(F14-D14,0)</f>
        <v>0</v>
      </c>
      <c r="J14" s="54">
        <f>0</f>
        <v>0</v>
      </c>
      <c r="K14" s="54">
        <f>0</f>
        <v>0</v>
      </c>
      <c r="L14" s="54">
        <f>0</f>
        <v>0</v>
      </c>
      <c r="M14" s="54">
        <f>N14+G14</f>
        <v>75751</v>
      </c>
      <c r="N14" s="54">
        <f>M13</f>
        <v>75098</v>
      </c>
      <c r="O14" s="54">
        <f>MIN(N14,M14)</f>
        <v>75098</v>
      </c>
      <c r="P14" s="54">
        <f>IF(G14&gt;0,G14,0)</f>
        <v>653</v>
      </c>
      <c r="Q14" s="54">
        <f>IF(G14&lt;0,-G14,0)</f>
        <v>0</v>
      </c>
      <c r="R14" s="38">
        <f>IF(E14&gt;0,E14,NA())</f>
        <v>15.834141610087293</v>
      </c>
      <c r="S14" s="38" t="e">
        <f>IF(E14&lt;0,E14,NA())</f>
        <v>#N/A</v>
      </c>
      <c r="T14" s="39"/>
      <c r="U14" s="39"/>
      <c r="V14" s="39">
        <f>H14/$T$12</f>
        <v>5.743381345131892E-2</v>
      </c>
      <c r="W14" s="16" t="str">
        <f>IF(ISNA(H14),"",TEXT(H14,"#,##0"))</f>
        <v>4,777</v>
      </c>
      <c r="X14" s="39">
        <f>I14/$T$12</f>
        <v>0</v>
      </c>
      <c r="Y14" s="39">
        <f>J14/$T$12</f>
        <v>0</v>
      </c>
      <c r="Z14" s="16" t="str">
        <f>IF(ISNA(J14),"",TEXT(J14,"#,##0"))</f>
        <v>0</v>
      </c>
      <c r="AA14" s="39">
        <f>K14/$T$12</f>
        <v>0</v>
      </c>
      <c r="AB14" s="16" t="str">
        <f>IF(ISNA(K14),"",TEXT(K14,"#,##0"))</f>
        <v>0</v>
      </c>
      <c r="AC14" s="39">
        <f>L14/$T$12</f>
        <v>0</v>
      </c>
      <c r="AD14" s="16" t="str">
        <f>IF(ISNA(L14),"",TEXT(L14,"#,##0"))</f>
        <v>0</v>
      </c>
      <c r="AE14" s="39">
        <f>O14/$T$12</f>
        <v>0.90290234929184598</v>
      </c>
      <c r="AF14" s="39">
        <f>P14/$T$12</f>
        <v>7.8510111332868449E-3</v>
      </c>
      <c r="AG14" s="16" t="str">
        <f>IF(ISNA(P14),"",TEXT(P14,"+#,##0"))</f>
        <v>+653</v>
      </c>
      <c r="AH14" s="39">
        <f>Q14/$T$12</f>
        <v>0</v>
      </c>
      <c r="AI14" s="16" t="str">
        <f>IF(ISNA(Q14),"",TEXT(Q14,"""-""#,##0"))</f>
        <v>-0</v>
      </c>
      <c r="AJ14" s="39">
        <f>E14/$U$12</f>
        <v>0.55977750627968859</v>
      </c>
      <c r="AK14" s="16" t="str">
        <f>IF(ISNA(E14),"",TEXT(E14,"+0;-0"))</f>
        <v>+16</v>
      </c>
      <c r="AL14" s="39">
        <f>R14/$U$12</f>
        <v>0.55977750627968859</v>
      </c>
      <c r="AM14" s="39" t="e">
        <f>S14/$U$12</f>
        <v>#N/A</v>
      </c>
    </row>
    <row r="15" spans="1:39" x14ac:dyDescent="0.35">
      <c r="A15" s="20" t="s">
        <v>222</v>
      </c>
      <c r="B15" s="16" t="s">
        <v>201</v>
      </c>
      <c r="C15" t="s">
        <v>17</v>
      </c>
      <c r="D15" s="51">
        <v>2830</v>
      </c>
      <c r="E15" s="56">
        <v>28.286491387126024</v>
      </c>
      <c r="F15" s="54">
        <f>IF(E15=-100,NA(),D15/(1+E15/100))</f>
        <v>2206</v>
      </c>
      <c r="G15" s="57">
        <f>D15-F15</f>
        <v>624</v>
      </c>
      <c r="H15" s="54">
        <f>D15</f>
        <v>2830</v>
      </c>
      <c r="I15" s="54">
        <f>MAX(F15-D15,0)</f>
        <v>0</v>
      </c>
      <c r="J15" s="54">
        <f>0</f>
        <v>0</v>
      </c>
      <c r="K15" s="54">
        <f>0</f>
        <v>0</v>
      </c>
      <c r="L15" s="54">
        <f>0</f>
        <v>0</v>
      </c>
      <c r="M15" s="54">
        <f>N15+G15</f>
        <v>76375</v>
      </c>
      <c r="N15" s="54">
        <f>M14</f>
        <v>75751</v>
      </c>
      <c r="O15" s="54">
        <f>MIN(N15,M15)</f>
        <v>75751</v>
      </c>
      <c r="P15" s="54">
        <f>IF(G15&gt;0,G15,0)</f>
        <v>624</v>
      </c>
      <c r="Q15" s="54">
        <f>IF(G15&lt;0,-G15,0)</f>
        <v>0</v>
      </c>
      <c r="R15" s="38">
        <f>IF(E15&gt;0,E15,NA())</f>
        <v>28.286491387126024</v>
      </c>
      <c r="S15" s="38" t="e">
        <f>IF(E15&lt;0,E15,NA())</f>
        <v>#N/A</v>
      </c>
      <c r="T15" s="39"/>
      <c r="U15" s="39"/>
      <c r="V15" s="39">
        <f>H15/$T$12</f>
        <v>3.4025055906893982E-2</v>
      </c>
      <c r="W15" s="16" t="str">
        <f>IF(ISNA(H15),"",TEXT(H15,"#,##0"))</f>
        <v>2,830</v>
      </c>
      <c r="X15" s="39">
        <f>I15/$T$12</f>
        <v>0</v>
      </c>
      <c r="Y15" s="39">
        <f>J15/$T$12</f>
        <v>0</v>
      </c>
      <c r="Z15" s="16" t="str">
        <f>IF(ISNA(J15),"",TEXT(J15,"#,##0"))</f>
        <v>0</v>
      </c>
      <c r="AA15" s="39">
        <f>K15/$T$12</f>
        <v>0</v>
      </c>
      <c r="AB15" s="16" t="str">
        <f>IF(ISNA(K15),"",TEXT(K15,"#,##0"))</f>
        <v>0</v>
      </c>
      <c r="AC15" s="39">
        <f>L15/$T$12</f>
        <v>0</v>
      </c>
      <c r="AD15" s="16" t="str">
        <f>IF(ISNA(L15),"",TEXT(L15,"#,##0"))</f>
        <v>0</v>
      </c>
      <c r="AE15" s="39">
        <f>O15/$T$12</f>
        <v>0.91075336042513289</v>
      </c>
      <c r="AF15" s="39">
        <f>P15/$T$12</f>
        <v>7.5023444826508284E-3</v>
      </c>
      <c r="AG15" s="16" t="str">
        <f>IF(ISNA(P15),"",TEXT(P15,"+#,##0"))</f>
        <v>+624</v>
      </c>
      <c r="AH15" s="39">
        <f>Q15/$T$12</f>
        <v>0</v>
      </c>
      <c r="AI15" s="16" t="str">
        <f>IF(ISNA(Q15),"",TEXT(Q15,"""-""#,##0"))</f>
        <v>-0</v>
      </c>
      <c r="AJ15" s="39">
        <f>E15/$U$12</f>
        <v>1</v>
      </c>
      <c r="AK15" s="16" t="str">
        <f>IF(ISNA(E15),"",TEXT(E15,"+0;-0"))</f>
        <v>+28</v>
      </c>
      <c r="AL15" s="39">
        <f>R15/$U$12</f>
        <v>1</v>
      </c>
      <c r="AM15" s="39" t="e">
        <f>S15/$U$12</f>
        <v>#N/A</v>
      </c>
    </row>
    <row r="16" spans="1:39" x14ac:dyDescent="0.35">
      <c r="A16" s="20" t="s">
        <v>104</v>
      </c>
      <c r="B16" s="16" t="s">
        <v>201</v>
      </c>
      <c r="C16" t="s">
        <v>17</v>
      </c>
      <c r="D16" s="51">
        <v>3359</v>
      </c>
      <c r="E16" s="56">
        <v>18.692579505300351</v>
      </c>
      <c r="F16" s="54">
        <f>IF(E16=-100,NA(),D16/(1+E16/100))</f>
        <v>2830</v>
      </c>
      <c r="G16" s="57">
        <f>D16-F16</f>
        <v>529</v>
      </c>
      <c r="H16" s="54">
        <f>D16</f>
        <v>3359</v>
      </c>
      <c r="I16" s="54">
        <f>MAX(F16-D16,0)</f>
        <v>0</v>
      </c>
      <c r="J16" s="54">
        <f>0</f>
        <v>0</v>
      </c>
      <c r="K16" s="54">
        <f>0</f>
        <v>0</v>
      </c>
      <c r="L16" s="54">
        <f>0</f>
        <v>0</v>
      </c>
      <c r="M16" s="54">
        <f>N16+G16</f>
        <v>76904</v>
      </c>
      <c r="N16" s="54">
        <f>M15</f>
        <v>76375</v>
      </c>
      <c r="O16" s="54">
        <f>MIN(N16,M16)</f>
        <v>76375</v>
      </c>
      <c r="P16" s="54">
        <f>IF(G16&gt;0,G16,0)</f>
        <v>529</v>
      </c>
      <c r="Q16" s="54">
        <f>IF(G16&lt;0,-G16,0)</f>
        <v>0</v>
      </c>
      <c r="R16" s="38">
        <f>IF(E16&gt;0,E16,NA())</f>
        <v>18.692579505300351</v>
      </c>
      <c r="S16" s="38" t="e">
        <f>IF(E16&lt;0,E16,NA())</f>
        <v>#N/A</v>
      </c>
      <c r="T16" s="39"/>
      <c r="U16" s="39"/>
      <c r="V16" s="39">
        <f>H16/$T$12</f>
        <v>4.038521653401303E-2</v>
      </c>
      <c r="W16" s="16" t="str">
        <f>IF(ISNA(H16),"",TEXT(H16,"#,##0"))</f>
        <v>3,359</v>
      </c>
      <c r="X16" s="39">
        <f>I16/$T$12</f>
        <v>0</v>
      </c>
      <c r="Y16" s="39">
        <f>J16/$T$12</f>
        <v>0</v>
      </c>
      <c r="Z16" s="16" t="str">
        <f>IF(ISNA(J16),"",TEXT(J16,"#,##0"))</f>
        <v>0</v>
      </c>
      <c r="AA16" s="39">
        <f>K16/$T$12</f>
        <v>0</v>
      </c>
      <c r="AB16" s="16" t="str">
        <f>IF(ISNA(K16),"",TEXT(K16,"#,##0"))</f>
        <v>0</v>
      </c>
      <c r="AC16" s="39">
        <f>L16/$T$12</f>
        <v>0</v>
      </c>
      <c r="AD16" s="16" t="str">
        <f>IF(ISNA(L16),"",TEXT(L16,"#,##0"))</f>
        <v>0</v>
      </c>
      <c r="AE16" s="39">
        <f>O16/$T$12</f>
        <v>0.91825570490778363</v>
      </c>
      <c r="AF16" s="39">
        <f>P16/$T$12</f>
        <v>6.3601606271190513E-3</v>
      </c>
      <c r="AG16" s="16" t="str">
        <f>IF(ISNA(P16),"",TEXT(P16,"+#,##0"))</f>
        <v>+529</v>
      </c>
      <c r="AH16" s="39">
        <f>Q16/$T$12</f>
        <v>0</v>
      </c>
      <c r="AI16" s="16" t="str">
        <f>IF(ISNA(Q16),"",TEXT(Q16,"""-""#,##0"))</f>
        <v>-0</v>
      </c>
      <c r="AJ16" s="39">
        <f>E16/$U$12</f>
        <v>0.66083061520340658</v>
      </c>
      <c r="AK16" s="16" t="str">
        <f>IF(ISNA(E16),"",TEXT(E16,"+0;-0"))</f>
        <v>+19</v>
      </c>
      <c r="AL16" s="39">
        <f>R16/$U$12</f>
        <v>0.66083061520340658</v>
      </c>
      <c r="AM16" s="39" t="e">
        <f>S16/$U$12</f>
        <v>#N/A</v>
      </c>
    </row>
    <row r="17" spans="1:39" x14ac:dyDescent="0.35">
      <c r="A17" s="20" t="s">
        <v>103</v>
      </c>
      <c r="B17" s="16" t="s">
        <v>201</v>
      </c>
      <c r="C17" t="s">
        <v>17</v>
      </c>
      <c r="D17" s="51">
        <v>4084</v>
      </c>
      <c r="E17" s="56">
        <v>12.352132049518568</v>
      </c>
      <c r="F17" s="54">
        <f>IF(E17=-100,NA(),D17/(1+E17/100))</f>
        <v>3635</v>
      </c>
      <c r="G17" s="57">
        <f>D17-F17</f>
        <v>449</v>
      </c>
      <c r="H17" s="54">
        <f>D17</f>
        <v>4084</v>
      </c>
      <c r="I17" s="54">
        <f>MAX(F17-D17,0)</f>
        <v>0</v>
      </c>
      <c r="J17" s="54">
        <f>0</f>
        <v>0</v>
      </c>
      <c r="K17" s="54">
        <f>0</f>
        <v>0</v>
      </c>
      <c r="L17" s="54">
        <f>0</f>
        <v>0</v>
      </c>
      <c r="M17" s="54">
        <f>N17+G17</f>
        <v>77353</v>
      </c>
      <c r="N17" s="54">
        <f>M16</f>
        <v>76904</v>
      </c>
      <c r="O17" s="54">
        <f>MIN(N17,M17)</f>
        <v>76904</v>
      </c>
      <c r="P17" s="54">
        <f>IF(G17&gt;0,G17,0)</f>
        <v>449</v>
      </c>
      <c r="Q17" s="54">
        <f>IF(G17&lt;0,-G17,0)</f>
        <v>0</v>
      </c>
      <c r="R17" s="38">
        <f>IF(E17&gt;0,E17,NA())</f>
        <v>12.352132049518568</v>
      </c>
      <c r="S17" s="38" t="e">
        <f>IF(E17&lt;0,E17,NA())</f>
        <v>#N/A</v>
      </c>
      <c r="T17" s="39"/>
      <c r="U17" s="39"/>
      <c r="V17" s="39">
        <f>H17/$T$12</f>
        <v>4.9101882799913434E-2</v>
      </c>
      <c r="W17" s="16" t="str">
        <f>IF(ISNA(H17),"",TEXT(H17,"#,##0"))</f>
        <v>4,084</v>
      </c>
      <c r="X17" s="39">
        <f>I17/$T$12</f>
        <v>0</v>
      </c>
      <c r="Y17" s="39">
        <f>J17/$T$12</f>
        <v>0</v>
      </c>
      <c r="Z17" s="16" t="str">
        <f>IF(ISNA(J17),"",TEXT(J17,"#,##0"))</f>
        <v>0</v>
      </c>
      <c r="AA17" s="39">
        <f>K17/$T$12</f>
        <v>0</v>
      </c>
      <c r="AB17" s="16" t="str">
        <f>IF(ISNA(K17),"",TEXT(K17,"#,##0"))</f>
        <v>0</v>
      </c>
      <c r="AC17" s="39">
        <f>L17/$T$12</f>
        <v>0</v>
      </c>
      <c r="AD17" s="16" t="str">
        <f>IF(ISNA(L17),"",TEXT(L17,"#,##0"))</f>
        <v>0</v>
      </c>
      <c r="AE17" s="39">
        <f>O17/$T$12</f>
        <v>0.92461586553490271</v>
      </c>
      <c r="AF17" s="39">
        <f>P17/$T$12</f>
        <v>5.3983215908817656E-3</v>
      </c>
      <c r="AG17" s="16" t="str">
        <f>IF(ISNA(P17),"",TEXT(P17,"+#,##0"))</f>
        <v>+449</v>
      </c>
      <c r="AH17" s="39">
        <f>Q17/$T$12</f>
        <v>0</v>
      </c>
      <c r="AI17" s="16" t="str">
        <f>IF(ISNA(Q17),"",TEXT(Q17,"""-""#,##0"))</f>
        <v>-0</v>
      </c>
      <c r="AJ17" s="39">
        <f>E17/$U$12</f>
        <v>0.43667954008394161</v>
      </c>
      <c r="AK17" s="16" t="str">
        <f>IF(ISNA(E17),"",TEXT(E17,"+0;-0"))</f>
        <v>+12</v>
      </c>
      <c r="AL17" s="39">
        <f>R17/$U$12</f>
        <v>0.43667954008394161</v>
      </c>
      <c r="AM17" s="39" t="e">
        <f>S17/$U$12</f>
        <v>#N/A</v>
      </c>
    </row>
    <row r="18" spans="1:39" x14ac:dyDescent="0.35">
      <c r="A18" s="20" t="s">
        <v>223</v>
      </c>
      <c r="B18" s="16" t="s">
        <v>201</v>
      </c>
      <c r="C18" t="s">
        <v>17</v>
      </c>
      <c r="D18" s="51">
        <v>2445</v>
      </c>
      <c r="E18" s="56">
        <v>12.776752767527674</v>
      </c>
      <c r="F18" s="54">
        <f>IF(E18=-100,NA(),D18/(1+E18/100))</f>
        <v>2168</v>
      </c>
      <c r="G18" s="57">
        <f>D18-F18</f>
        <v>277</v>
      </c>
      <c r="H18" s="54">
        <f>D18</f>
        <v>2445</v>
      </c>
      <c r="I18" s="54">
        <f>MAX(F18-D18,0)</f>
        <v>0</v>
      </c>
      <c r="J18" s="54">
        <f>0</f>
        <v>0</v>
      </c>
      <c r="K18" s="54">
        <f>0</f>
        <v>0</v>
      </c>
      <c r="L18" s="54">
        <f>0</f>
        <v>0</v>
      </c>
      <c r="M18" s="54">
        <f>N18+G18</f>
        <v>77630</v>
      </c>
      <c r="N18" s="54">
        <f>M17</f>
        <v>77353</v>
      </c>
      <c r="O18" s="54">
        <f>MIN(N18,M18)</f>
        <v>77353</v>
      </c>
      <c r="P18" s="54">
        <f>IF(G18&gt;0,G18,0)</f>
        <v>277</v>
      </c>
      <c r="Q18" s="54">
        <f>IF(G18&lt;0,-G18,0)</f>
        <v>0</v>
      </c>
      <c r="R18" s="38">
        <f>IF(E18&gt;0,E18,NA())</f>
        <v>12.776752767527674</v>
      </c>
      <c r="S18" s="38" t="e">
        <f>IF(E18&lt;0,E18,NA())</f>
        <v>#N/A</v>
      </c>
      <c r="T18" s="39"/>
      <c r="U18" s="39"/>
      <c r="V18" s="39">
        <f>H18/$T$12</f>
        <v>2.9396205545002045E-2</v>
      </c>
      <c r="W18" s="16" t="str">
        <f>IF(ISNA(H18),"",TEXT(H18,"#,##0"))</f>
        <v>2,445</v>
      </c>
      <c r="X18" s="39">
        <f>I18/$T$12</f>
        <v>0</v>
      </c>
      <c r="Y18" s="39">
        <f>J18/$T$12</f>
        <v>0</v>
      </c>
      <c r="Z18" s="16" t="str">
        <f>IF(ISNA(J18),"",TEXT(J18,"#,##0"))</f>
        <v>0</v>
      </c>
      <c r="AA18" s="39">
        <f>K18/$T$12</f>
        <v>0</v>
      </c>
      <c r="AB18" s="16" t="str">
        <f>IF(ISNA(K18),"",TEXT(K18,"#,##0"))</f>
        <v>0</v>
      </c>
      <c r="AC18" s="39">
        <f>L18/$T$12</f>
        <v>0</v>
      </c>
      <c r="AD18" s="16" t="str">
        <f>IF(ISNA(L18),"",TEXT(L18,"#,##0"))</f>
        <v>0</v>
      </c>
      <c r="AE18" s="39">
        <f>O18/$T$12</f>
        <v>0.93001418712578454</v>
      </c>
      <c r="AF18" s="39">
        <f>P18/$T$12</f>
        <v>3.3303676629716015E-3</v>
      </c>
      <c r="AG18" s="16" t="str">
        <f>IF(ISNA(P18),"",TEXT(P18,"+#,##0"))</f>
        <v>+277</v>
      </c>
      <c r="AH18" s="39">
        <f>Q18/$T$12</f>
        <v>0</v>
      </c>
      <c r="AI18" s="16" t="str">
        <f>IF(ISNA(Q18),"",TEXT(Q18,"""-""#,##0"))</f>
        <v>-0</v>
      </c>
      <c r="AJ18" s="39">
        <f>E18/$U$12</f>
        <v>0.45169097123663532</v>
      </c>
      <c r="AK18" s="16" t="str">
        <f>IF(ISNA(E18),"",TEXT(E18,"+0;-0"))</f>
        <v>+13</v>
      </c>
      <c r="AL18" s="39">
        <f>R18/$U$12</f>
        <v>0.45169097123663532</v>
      </c>
      <c r="AM18" s="39" t="e">
        <f>S18/$U$12</f>
        <v>#N/A</v>
      </c>
    </row>
    <row r="19" spans="1:39" x14ac:dyDescent="0.35">
      <c r="A19" s="20" t="s">
        <v>224</v>
      </c>
      <c r="B19" s="16" t="s">
        <v>201</v>
      </c>
      <c r="C19" t="s">
        <v>17</v>
      </c>
      <c r="D19" s="51">
        <v>2240</v>
      </c>
      <c r="E19" s="56">
        <v>12.619406737053795</v>
      </c>
      <c r="F19" s="54">
        <f>IF(E19=-100,NA(),D19/(1+E19/100))</f>
        <v>1989</v>
      </c>
      <c r="G19" s="57">
        <f>D19-F19</f>
        <v>251</v>
      </c>
      <c r="H19" s="54">
        <f>D19</f>
        <v>2240</v>
      </c>
      <c r="I19" s="54">
        <f>MAX(F19-D19,0)</f>
        <v>0</v>
      </c>
      <c r="J19" s="54">
        <f>0</f>
        <v>0</v>
      </c>
      <c r="K19" s="54">
        <f>0</f>
        <v>0</v>
      </c>
      <c r="L19" s="54">
        <f>0</f>
        <v>0</v>
      </c>
      <c r="M19" s="54">
        <f>N19+G19</f>
        <v>77881</v>
      </c>
      <c r="N19" s="54">
        <f>M18</f>
        <v>77630</v>
      </c>
      <c r="O19" s="54">
        <f>MIN(N19,M19)</f>
        <v>77630</v>
      </c>
      <c r="P19" s="54">
        <f>IF(G19&gt;0,G19,0)</f>
        <v>251</v>
      </c>
      <c r="Q19" s="54">
        <f>IF(G19&lt;0,-G19,0)</f>
        <v>0</v>
      </c>
      <c r="R19" s="38">
        <f>IF(E19&gt;0,E19,NA())</f>
        <v>12.619406737053795</v>
      </c>
      <c r="S19" s="38" t="e">
        <f>IF(E19&lt;0,E19,NA())</f>
        <v>#N/A</v>
      </c>
      <c r="T19" s="39"/>
      <c r="U19" s="39"/>
      <c r="V19" s="39">
        <f>H19/$T$12</f>
        <v>2.6931493014643999E-2</v>
      </c>
      <c r="W19" s="16" t="str">
        <f>IF(ISNA(H19),"",TEXT(H19,"#,##0"))</f>
        <v>2,240</v>
      </c>
      <c r="X19" s="39">
        <f>I19/$T$12</f>
        <v>0</v>
      </c>
      <c r="Y19" s="39">
        <f>J19/$T$12</f>
        <v>0</v>
      </c>
      <c r="Z19" s="16" t="str">
        <f>IF(ISNA(J19),"",TEXT(J19,"#,##0"))</f>
        <v>0</v>
      </c>
      <c r="AA19" s="39">
        <f>K19/$T$12</f>
        <v>0</v>
      </c>
      <c r="AB19" s="16" t="str">
        <f>IF(ISNA(K19),"",TEXT(K19,"#,##0"))</f>
        <v>0</v>
      </c>
      <c r="AC19" s="39">
        <f>L19/$T$12</f>
        <v>0</v>
      </c>
      <c r="AD19" s="16" t="str">
        <f>IF(ISNA(L19),"",TEXT(L19,"#,##0"))</f>
        <v>0</v>
      </c>
      <c r="AE19" s="39">
        <f>O19/$T$12</f>
        <v>0.93334455478875611</v>
      </c>
      <c r="AF19" s="39">
        <f>P19/$T$12</f>
        <v>3.0177699761944838E-3</v>
      </c>
      <c r="AG19" s="16" t="str">
        <f>IF(ISNA(P19),"",TEXT(P19,"+#,##0"))</f>
        <v>+251</v>
      </c>
      <c r="AH19" s="39">
        <f>Q19/$T$12</f>
        <v>0</v>
      </c>
      <c r="AI19" s="16" t="str">
        <f>IF(ISNA(Q19),"",TEXT(Q19,"""-""#,##0"))</f>
        <v>-0</v>
      </c>
      <c r="AJ19" s="39">
        <f>E19/$U$12</f>
        <v>0.44612838560802354</v>
      </c>
      <c r="AK19" s="16" t="str">
        <f>IF(ISNA(E19),"",TEXT(E19,"+0;-0"))</f>
        <v>+13</v>
      </c>
      <c r="AL19" s="39">
        <f>R19/$U$12</f>
        <v>0.44612838560802354</v>
      </c>
      <c r="AM19" s="39" t="e">
        <f>S19/$U$12</f>
        <v>#N/A</v>
      </c>
    </row>
    <row r="20" spans="1:39" x14ac:dyDescent="0.35">
      <c r="A20" s="20" t="s">
        <v>225</v>
      </c>
      <c r="B20" s="16" t="s">
        <v>201</v>
      </c>
      <c r="C20" t="s">
        <v>17</v>
      </c>
      <c r="D20" s="51">
        <v>2414</v>
      </c>
      <c r="E20" s="56">
        <v>10.127737226277372</v>
      </c>
      <c r="F20" s="54">
        <f>IF(E20=-100,NA(),D20/(1+E20/100))</f>
        <v>2192</v>
      </c>
      <c r="G20" s="57">
        <f>D20-F20</f>
        <v>222</v>
      </c>
      <c r="H20" s="54">
        <f>D20</f>
        <v>2414</v>
      </c>
      <c r="I20" s="54">
        <f>MAX(F20-D20,0)</f>
        <v>0</v>
      </c>
      <c r="J20" s="54">
        <f>0</f>
        <v>0</v>
      </c>
      <c r="K20" s="54">
        <f>0</f>
        <v>0</v>
      </c>
      <c r="L20" s="54">
        <f>0</f>
        <v>0</v>
      </c>
      <c r="M20" s="54">
        <f>N20+G20</f>
        <v>78103</v>
      </c>
      <c r="N20" s="54">
        <f>M19</f>
        <v>77881</v>
      </c>
      <c r="O20" s="54">
        <f>MIN(N20,M20)</f>
        <v>77881</v>
      </c>
      <c r="P20" s="54">
        <f>IF(G20&gt;0,G20,0)</f>
        <v>222</v>
      </c>
      <c r="Q20" s="54">
        <f>IF(G20&lt;0,-G20,0)</f>
        <v>0</v>
      </c>
      <c r="R20" s="38">
        <f>IF(E20&gt;0,E20,NA())</f>
        <v>10.127737226277372</v>
      </c>
      <c r="S20" s="38" t="e">
        <f>IF(E20&lt;0,E20,NA())</f>
        <v>#N/A</v>
      </c>
      <c r="T20" s="39"/>
      <c r="U20" s="39"/>
      <c r="V20" s="39">
        <f>H20/$T$12</f>
        <v>2.9023492918460094E-2</v>
      </c>
      <c r="W20" s="16" t="str">
        <f>IF(ISNA(H20),"",TEXT(H20,"#,##0"))</f>
        <v>2,414</v>
      </c>
      <c r="X20" s="39">
        <f>I20/$T$12</f>
        <v>0</v>
      </c>
      <c r="Y20" s="39">
        <f>J20/$T$12</f>
        <v>0</v>
      </c>
      <c r="Z20" s="16" t="str">
        <f>IF(ISNA(J20),"",TEXT(J20,"#,##0"))</f>
        <v>0</v>
      </c>
      <c r="AA20" s="39">
        <f>K20/$T$12</f>
        <v>0</v>
      </c>
      <c r="AB20" s="16" t="str">
        <f>IF(ISNA(K20),"",TEXT(K20,"#,##0"))</f>
        <v>0</v>
      </c>
      <c r="AC20" s="39">
        <f>L20/$T$12</f>
        <v>0</v>
      </c>
      <c r="AD20" s="16" t="str">
        <f>IF(ISNA(L20),"",TEXT(L20,"#,##0"))</f>
        <v>0</v>
      </c>
      <c r="AE20" s="39">
        <f>O20/$T$12</f>
        <v>0.93636232476495063</v>
      </c>
      <c r="AF20" s="39">
        <f>P20/$T$12</f>
        <v>2.6691033255584677E-3</v>
      </c>
      <c r="AG20" s="16" t="str">
        <f>IF(ISNA(P20),"",TEXT(P20,"+#,##0"))</f>
        <v>+222</v>
      </c>
      <c r="AH20" s="39">
        <f>Q20/$T$12</f>
        <v>0</v>
      </c>
      <c r="AI20" s="16" t="str">
        <f>IF(ISNA(Q20),"",TEXT(Q20,"""-""#,##0"))</f>
        <v>-0</v>
      </c>
      <c r="AJ20" s="39">
        <f>E20/$U$12</f>
        <v>0.35804147950589549</v>
      </c>
      <c r="AK20" s="16" t="str">
        <f>IF(ISNA(E20),"",TEXT(E20,"+0;-0"))</f>
        <v>+10</v>
      </c>
      <c r="AL20" s="39">
        <f>R20/$U$12</f>
        <v>0.35804147950589549</v>
      </c>
      <c r="AM20" s="39" t="e">
        <f>S20/$U$12</f>
        <v>#N/A</v>
      </c>
    </row>
    <row r="21" spans="1:39" x14ac:dyDescent="0.35">
      <c r="A21" s="20" t="s">
        <v>226</v>
      </c>
      <c r="B21" s="16" t="s">
        <v>201</v>
      </c>
      <c r="C21" t="s">
        <v>17</v>
      </c>
      <c r="D21" s="51">
        <v>2775</v>
      </c>
      <c r="E21" s="56">
        <v>5.5936073059360725</v>
      </c>
      <c r="F21" s="54">
        <f>IF(E21=-100,NA(),D21/(1+E21/100))</f>
        <v>2628</v>
      </c>
      <c r="G21" s="57">
        <f>D21-F21</f>
        <v>147</v>
      </c>
      <c r="H21" s="54">
        <f>D21</f>
        <v>2775</v>
      </c>
      <c r="I21" s="54">
        <f>MAX(F21-D21,0)</f>
        <v>0</v>
      </c>
      <c r="J21" s="54">
        <f>0</f>
        <v>0</v>
      </c>
      <c r="K21" s="54">
        <f>0</f>
        <v>0</v>
      </c>
      <c r="L21" s="54">
        <f>0</f>
        <v>0</v>
      </c>
      <c r="M21" s="54">
        <f>N21+G21</f>
        <v>78250</v>
      </c>
      <c r="N21" s="54">
        <f>M20</f>
        <v>78103</v>
      </c>
      <c r="O21" s="54">
        <f>MIN(N21,M21)</f>
        <v>78103</v>
      </c>
      <c r="P21" s="54">
        <f>IF(G21&gt;0,G21,0)</f>
        <v>147</v>
      </c>
      <c r="Q21" s="54">
        <f>IF(G21&lt;0,-G21,0)</f>
        <v>0</v>
      </c>
      <c r="R21" s="38">
        <f>IF(E21&gt;0,E21,NA())</f>
        <v>5.5936073059360725</v>
      </c>
      <c r="S21" s="38" t="e">
        <f>IF(E21&lt;0,E21,NA())</f>
        <v>#N/A</v>
      </c>
      <c r="T21" s="39"/>
      <c r="U21" s="39"/>
      <c r="V21" s="39">
        <f>H21/$T$12</f>
        <v>3.3363791569480848E-2</v>
      </c>
      <c r="W21" s="16" t="str">
        <f>IF(ISNA(H21),"",TEXT(H21,"#,##0"))</f>
        <v>2,775</v>
      </c>
      <c r="X21" s="39">
        <f>I21/$T$12</f>
        <v>0</v>
      </c>
      <c r="Y21" s="39">
        <f>J21/$T$12</f>
        <v>0</v>
      </c>
      <c r="Z21" s="16" t="str">
        <f>IF(ISNA(J21),"",TEXT(J21,"#,##0"))</f>
        <v>0</v>
      </c>
      <c r="AA21" s="39">
        <f>K21/$T$12</f>
        <v>0</v>
      </c>
      <c r="AB21" s="16" t="str">
        <f>IF(ISNA(K21),"",TEXT(K21,"#,##0"))</f>
        <v>0</v>
      </c>
      <c r="AC21" s="39">
        <f>L21/$T$12</f>
        <v>0</v>
      </c>
      <c r="AD21" s="16" t="str">
        <f>IF(ISNA(L21),"",TEXT(L21,"#,##0"))</f>
        <v>0</v>
      </c>
      <c r="AE21" s="39">
        <f>O21/$T$12</f>
        <v>0.9390314280905091</v>
      </c>
      <c r="AF21" s="39">
        <f>P21/$T$12</f>
        <v>1.7673792290860124E-3</v>
      </c>
      <c r="AG21" s="16" t="str">
        <f>IF(ISNA(P21),"",TEXT(P21,"+#,##0"))</f>
        <v>+147</v>
      </c>
      <c r="AH21" s="39">
        <f>Q21/$T$12</f>
        <v>0</v>
      </c>
      <c r="AI21" s="16" t="str">
        <f>IF(ISNA(Q21),"",TEXT(Q21,"""-""#,##0"))</f>
        <v>-0</v>
      </c>
      <c r="AJ21" s="39">
        <f>E21/$U$12</f>
        <v>0.19774836084767586</v>
      </c>
      <c r="AK21" s="16" t="str">
        <f>IF(ISNA(E21),"",TEXT(E21,"+0;-0"))</f>
        <v>+6</v>
      </c>
      <c r="AL21" s="39">
        <f>R21/$U$12</f>
        <v>0.19774836084767586</v>
      </c>
      <c r="AM21" s="39" t="e">
        <f>S21/$U$12</f>
        <v>#N/A</v>
      </c>
    </row>
    <row r="22" spans="1:39" x14ac:dyDescent="0.35">
      <c r="A22" s="20" t="s">
        <v>101</v>
      </c>
      <c r="B22" s="16" t="s">
        <v>201</v>
      </c>
      <c r="C22" t="s">
        <v>17</v>
      </c>
      <c r="D22" s="51">
        <v>10261</v>
      </c>
      <c r="E22" s="56">
        <v>0.38153003326159263</v>
      </c>
      <c r="F22" s="54">
        <f>IF(E22=-100,NA(),D22/(1+E22/100))</f>
        <v>10222</v>
      </c>
      <c r="G22" s="57">
        <f>D22-F22</f>
        <v>39</v>
      </c>
      <c r="H22" s="54">
        <f>D22</f>
        <v>10261</v>
      </c>
      <c r="I22" s="54">
        <f>MAX(F22-D22,0)</f>
        <v>0</v>
      </c>
      <c r="J22" s="54">
        <f>0</f>
        <v>0</v>
      </c>
      <c r="K22" s="54">
        <f>0</f>
        <v>0</v>
      </c>
      <c r="L22" s="54">
        <f>0</f>
        <v>0</v>
      </c>
      <c r="M22" s="54">
        <f>N22+G22</f>
        <v>78289</v>
      </c>
      <c r="N22" s="54">
        <f>M21</f>
        <v>78250</v>
      </c>
      <c r="O22" s="54">
        <f>MIN(N22,M22)</f>
        <v>78250</v>
      </c>
      <c r="P22" s="54">
        <f>IF(G22&gt;0,G22,0)</f>
        <v>39</v>
      </c>
      <c r="Q22" s="54">
        <f>IF(G22&lt;0,-G22,0)</f>
        <v>0</v>
      </c>
      <c r="R22" s="38">
        <f>IF(E22&gt;0,E22,NA())</f>
        <v>0.38153003326159263</v>
      </c>
      <c r="S22" s="38" t="e">
        <f>IF(E22&lt;0,E22,NA())</f>
        <v>#N/A</v>
      </c>
      <c r="T22" s="39"/>
      <c r="U22" s="39"/>
      <c r="V22" s="39">
        <f>H22/$T$12</f>
        <v>0.12336787938538486</v>
      </c>
      <c r="W22" s="16" t="str">
        <f>IF(ISNA(H22),"",TEXT(H22,"#,##0"))</f>
        <v>10,261</v>
      </c>
      <c r="X22" s="39">
        <f>I22/$T$12</f>
        <v>0</v>
      </c>
      <c r="Y22" s="39">
        <f>J22/$T$12</f>
        <v>0</v>
      </c>
      <c r="Z22" s="16" t="str">
        <f>IF(ISNA(J22),"",TEXT(J22,"#,##0"))</f>
        <v>0</v>
      </c>
      <c r="AA22" s="39">
        <f>K22/$T$12</f>
        <v>0</v>
      </c>
      <c r="AB22" s="16" t="str">
        <f>IF(ISNA(K22),"",TEXT(K22,"#,##0"))</f>
        <v>0</v>
      </c>
      <c r="AC22" s="39">
        <f>L22/$T$12</f>
        <v>0</v>
      </c>
      <c r="AD22" s="16" t="str">
        <f>IF(ISNA(L22),"",TEXT(L22,"#,##0"))</f>
        <v>0</v>
      </c>
      <c r="AE22" s="39">
        <f>O22/$T$12</f>
        <v>0.94079880731959509</v>
      </c>
      <c r="AF22" s="39">
        <f>P22/$T$12</f>
        <v>4.6889653016567677E-4</v>
      </c>
      <c r="AG22" s="16" t="str">
        <f>IF(ISNA(P22),"",TEXT(P22,"+#,##0"))</f>
        <v>+39</v>
      </c>
      <c r="AH22" s="39">
        <f>Q22/$T$12</f>
        <v>0</v>
      </c>
      <c r="AI22" s="16" t="str">
        <f>IF(ISNA(Q22),"",TEXT(Q22,"""-""#,##0"))</f>
        <v>-0</v>
      </c>
      <c r="AJ22" s="39">
        <f>E22/$U$12</f>
        <v>1.3488064957933865E-2</v>
      </c>
      <c r="AK22" s="16" t="str">
        <f>IF(ISNA(E22),"",TEXT(E22,"+0;-0"))</f>
        <v>+0</v>
      </c>
      <c r="AL22" s="39">
        <f>R22/$U$12</f>
        <v>1.3488064957933865E-2</v>
      </c>
      <c r="AM22" s="39" t="e">
        <f>S22/$U$12</f>
        <v>#N/A</v>
      </c>
    </row>
    <row r="23" spans="1:39" x14ac:dyDescent="0.35">
      <c r="A23" s="20" t="s">
        <v>105</v>
      </c>
      <c r="B23" s="16" t="s">
        <v>201</v>
      </c>
      <c r="C23" t="s">
        <v>17</v>
      </c>
      <c r="D23" s="51">
        <v>37674</v>
      </c>
      <c r="E23" s="56">
        <v>14.898289060355607</v>
      </c>
      <c r="F23" s="54">
        <f>IF(E23=-100,NA(),D23/(1+E23/100))</f>
        <v>32789</v>
      </c>
      <c r="G23" s="57">
        <f>D23-F23</f>
        <v>4885</v>
      </c>
      <c r="H23" s="54">
        <f>D23</f>
        <v>37674</v>
      </c>
      <c r="I23" s="54">
        <f>MAX(F23-D23,0)</f>
        <v>0</v>
      </c>
      <c r="J23" s="54">
        <f>0</f>
        <v>0</v>
      </c>
      <c r="K23" s="54">
        <f>0</f>
        <v>0</v>
      </c>
      <c r="L23" s="54">
        <f>0</f>
        <v>0</v>
      </c>
      <c r="M23" s="54">
        <f>N23+G23</f>
        <v>83174</v>
      </c>
      <c r="N23" s="54">
        <f>M22</f>
        <v>78289</v>
      </c>
      <c r="O23" s="54">
        <f>MIN(N23,M23)</f>
        <v>78289</v>
      </c>
      <c r="P23" s="54">
        <f>IF(G23&gt;0,G23,0)</f>
        <v>4885</v>
      </c>
      <c r="Q23" s="54">
        <f>IF(G23&lt;0,-G23,0)</f>
        <v>0</v>
      </c>
      <c r="R23" s="38">
        <f>IF(E23&gt;0,E23,NA())</f>
        <v>14.898289060355607</v>
      </c>
      <c r="S23" s="38" t="e">
        <f>IF(E23&lt;0,E23,NA())</f>
        <v>#N/A</v>
      </c>
      <c r="T23" s="39"/>
      <c r="U23" s="39"/>
      <c r="V23" s="39">
        <f>H23/$T$12</f>
        <v>0.45295404814004375</v>
      </c>
      <c r="W23" s="16" t="str">
        <f>IF(ISNA(H23),"",TEXT(H23,"#,##0"))</f>
        <v>37,674</v>
      </c>
      <c r="X23" s="39">
        <f>I23/$T$12</f>
        <v>0</v>
      </c>
      <c r="Y23" s="39">
        <f>J23/$T$12</f>
        <v>0</v>
      </c>
      <c r="Z23" s="16" t="str">
        <f>IF(ISNA(J23),"",TEXT(J23,"#,##0"))</f>
        <v>0</v>
      </c>
      <c r="AA23" s="39">
        <f>K23/$T$12</f>
        <v>0</v>
      </c>
      <c r="AB23" s="16" t="str">
        <f>IF(ISNA(K23),"",TEXT(K23,"#,##0"))</f>
        <v>0</v>
      </c>
      <c r="AC23" s="39">
        <f>L23/$T$12</f>
        <v>0</v>
      </c>
      <c r="AD23" s="16" t="str">
        <f>IF(ISNA(L23),"",TEXT(L23,"#,##0"))</f>
        <v>0</v>
      </c>
      <c r="AE23" s="39">
        <f>O23/$T$12</f>
        <v>0.94126770384976077</v>
      </c>
      <c r="AF23" s="39">
        <f>P23/$T$12</f>
        <v>5.8732296150239255E-2</v>
      </c>
      <c r="AG23" s="16" t="str">
        <f>IF(ISNA(P23),"",TEXT(P23,"+#,##0"))</f>
        <v>+4,885</v>
      </c>
      <c r="AH23" s="39">
        <f>Q23/$T$12</f>
        <v>0</v>
      </c>
      <c r="AI23" s="16" t="str">
        <f>IF(ISNA(Q23),"",TEXT(Q23,"""-""#,##0"))</f>
        <v>-0</v>
      </c>
      <c r="AJ23" s="39">
        <f>E23/$U$12</f>
        <v>0.52669271902475101</v>
      </c>
      <c r="AK23" s="16" t="str">
        <f>IF(ISNA(E23),"",TEXT(E23,"+0;-0"))</f>
        <v>+15</v>
      </c>
      <c r="AL23" s="39">
        <f>R23/$U$12</f>
        <v>0.52669271902475101</v>
      </c>
      <c r="AM23" s="39" t="e">
        <f>S23/$U$12</f>
        <v>#N/A</v>
      </c>
    </row>
    <row r="24" spans="1:39" x14ac:dyDescent="0.35">
      <c r="A24" s="20" t="s">
        <v>17</v>
      </c>
      <c r="B24" s="16" t="s">
        <v>200</v>
      </c>
      <c r="C24" t="s">
        <v>17</v>
      </c>
      <c r="D24" s="55">
        <f>SUM(D13:D23)</f>
        <v>83174</v>
      </c>
      <c r="E24" s="56">
        <v>11.8</v>
      </c>
      <c r="F24" s="54">
        <f>0</f>
        <v>0</v>
      </c>
      <c r="G24" s="57">
        <f>D24-$D$12</f>
        <v>8750</v>
      </c>
      <c r="H24" s="54">
        <f>0</f>
        <v>0</v>
      </c>
      <c r="I24" s="54">
        <f>0</f>
        <v>0</v>
      </c>
      <c r="J24" s="54">
        <f>0</f>
        <v>0</v>
      </c>
      <c r="K24" s="54">
        <f>0</f>
        <v>0</v>
      </c>
      <c r="L24" s="54">
        <f>D24</f>
        <v>83174</v>
      </c>
      <c r="M24" s="54">
        <f>M23</f>
        <v>83174</v>
      </c>
      <c r="N24" s="54">
        <f>M24</f>
        <v>83174</v>
      </c>
      <c r="O24" s="54">
        <f>0</f>
        <v>0</v>
      </c>
      <c r="P24" s="54">
        <f>0</f>
        <v>0</v>
      </c>
      <c r="Q24" s="54">
        <f>0</f>
        <v>0</v>
      </c>
      <c r="R24" s="38">
        <f>IF(E24&gt;0,E24,NA())</f>
        <v>11.8</v>
      </c>
      <c r="S24" s="38" t="e">
        <f>IF(E24&lt;0,E24,NA())</f>
        <v>#N/A</v>
      </c>
      <c r="T24" s="39"/>
      <c r="U24" s="39"/>
      <c r="V24" s="39">
        <f>H24/$T$12</f>
        <v>0</v>
      </c>
      <c r="W24" s="16" t="str">
        <f>IF(ISNA(H24),"",TEXT(H24,"#,##0"))</f>
        <v>0</v>
      </c>
      <c r="X24" s="39">
        <f>I24/$T$12</f>
        <v>0</v>
      </c>
      <c r="Y24" s="39">
        <f>J24/$T$12</f>
        <v>0</v>
      </c>
      <c r="Z24" s="16" t="str">
        <f>IF(ISNA(J24),"",TEXT(J24,"#,##0"))</f>
        <v>0</v>
      </c>
      <c r="AA24" s="39">
        <f>K24/$T$12</f>
        <v>0</v>
      </c>
      <c r="AB24" s="16" t="str">
        <f>IF(ISNA(K24),"",TEXT(K24,"#,##0"))</f>
        <v>0</v>
      </c>
      <c r="AC24" s="39">
        <f>L24/$T$12</f>
        <v>1</v>
      </c>
      <c r="AD24" s="16" t="str">
        <f>IF(ISNA(L24),"",TEXT(L24,"#,##0"))</f>
        <v>83,174</v>
      </c>
      <c r="AE24" s="39">
        <f>O24/$T$12</f>
        <v>0</v>
      </c>
      <c r="AF24" s="39">
        <f>P24/$T$12</f>
        <v>0</v>
      </c>
      <c r="AG24" s="16" t="str">
        <f>IF(ISNA(P24),"",TEXT(P24,"+#,##0"))</f>
        <v>+0</v>
      </c>
      <c r="AH24" s="39">
        <f>Q24/$T$12</f>
        <v>0</v>
      </c>
      <c r="AI24" s="16" t="str">
        <f>IF(ISNA(Q24),"",TEXT(Q24,"""-""#,##0"))</f>
        <v>-0</v>
      </c>
      <c r="AJ24" s="39">
        <f>E24/$U$12</f>
        <v>0.41716025641025639</v>
      </c>
      <c r="AK24" s="16" t="str">
        <f>IF(ISNA(E24),"",TEXT(E24,"+0;-0"))</f>
        <v>+12</v>
      </c>
      <c r="AL24" s="39">
        <f>R24/$U$12</f>
        <v>0.41716025641025639</v>
      </c>
      <c r="AM24" s="39" t="e">
        <f>S24/$U$12</f>
        <v>#N/A</v>
      </c>
    </row>
    <row r="25" spans="1:39" x14ac:dyDescent="0.35">
      <c r="A25" s="20" t="s">
        <v>119</v>
      </c>
      <c r="B25" s="16" t="s">
        <v>204</v>
      </c>
      <c r="D25" s="51"/>
      <c r="E25" s="56">
        <v>11.8</v>
      </c>
      <c r="F25" s="54">
        <f>0</f>
        <v>0</v>
      </c>
      <c r="G25" s="57">
        <f>$D$24-$D$12</f>
        <v>8750</v>
      </c>
      <c r="H25" s="54">
        <f>0</f>
        <v>0</v>
      </c>
      <c r="I25" s="54">
        <f>0</f>
        <v>0</v>
      </c>
      <c r="J25" s="54">
        <f>0</f>
        <v>0</v>
      </c>
      <c r="K25" s="54">
        <f>0</f>
        <v>0</v>
      </c>
      <c r="L25" s="54">
        <f>0</f>
        <v>0</v>
      </c>
      <c r="M25" s="54">
        <f>$D$24</f>
        <v>83174</v>
      </c>
      <c r="N25" s="54">
        <f>$D$12</f>
        <v>74424</v>
      </c>
      <c r="O25" s="54">
        <f>MIN($D$12,$D$24)</f>
        <v>74424</v>
      </c>
      <c r="P25" s="54">
        <f>IF(G25&gt;0,G25,0)</f>
        <v>8750</v>
      </c>
      <c r="Q25" s="54">
        <f>IF(G25&lt;0,-G25,0)</f>
        <v>0</v>
      </c>
      <c r="R25" s="38" t="e">
        <f>NA()</f>
        <v>#N/A</v>
      </c>
      <c r="S25" s="38" t="e">
        <f>NA()</f>
        <v>#N/A</v>
      </c>
      <c r="T25" s="39"/>
      <c r="U25" s="39"/>
      <c r="V25" s="39">
        <f>H25/$T$12</f>
        <v>0</v>
      </c>
      <c r="W25" s="16" t="str">
        <f>IF(ISNA(H25),"",TEXT(H25,"#,##0"))</f>
        <v>0</v>
      </c>
      <c r="X25" s="39">
        <f>I25/$T$12</f>
        <v>0</v>
      </c>
      <c r="Y25" s="39">
        <f>J25/$T$12</f>
        <v>0</v>
      </c>
      <c r="Z25" s="16" t="str">
        <f>IF(ISNA(J25),"",TEXT(J25,"#,##0"))</f>
        <v>0</v>
      </c>
      <c r="AA25" s="39">
        <f>K25/$T$12</f>
        <v>0</v>
      </c>
      <c r="AB25" s="16" t="str">
        <f>IF(ISNA(K25),"",TEXT(K25,"#,##0"))</f>
        <v>0</v>
      </c>
      <c r="AC25" s="39">
        <f>L25/$T$12</f>
        <v>0</v>
      </c>
      <c r="AD25" s="16" t="str">
        <f>IF(ISNA(L25),"",TEXT(L25,"#,##0"))</f>
        <v>0</v>
      </c>
      <c r="AE25" s="39">
        <f>O25/$T$12</f>
        <v>0.89479885541154691</v>
      </c>
      <c r="AF25" s="39">
        <f>P25/$T$12</f>
        <v>0.10520114458845312</v>
      </c>
      <c r="AG25" s="16" t="str">
        <f>IF(ISNA(P25),"",TEXT(P25,"+#,##0"))</f>
        <v>+8,750</v>
      </c>
      <c r="AH25" s="39">
        <f>Q25/$T$12</f>
        <v>0</v>
      </c>
      <c r="AI25" s="16" t="str">
        <f>IF(ISNA(Q25),"",TEXT(Q25,"""-""#,##0"))</f>
        <v>-0</v>
      </c>
      <c r="AJ25" s="39">
        <f>E25/$U$12</f>
        <v>0.41716025641025639</v>
      </c>
      <c r="AK25" s="16" t="str">
        <f>IF(ISNA(E25),"",TEXT(E25,"+0;-0"))</f>
        <v>+12</v>
      </c>
      <c r="AL25" s="39" t="e">
        <f>R25/$U$12</f>
        <v>#N/A</v>
      </c>
      <c r="AM25" s="39" t="e">
        <f>S25/$U$12</f>
        <v>#N/A</v>
      </c>
    </row>
    <row r="26" spans="1:39" x14ac:dyDescent="0.35">
      <c r="A26" s="20"/>
      <c r="B26" s="16"/>
      <c r="D26" s="49"/>
      <c r="E26" s="56"/>
      <c r="F26" s="54"/>
      <c r="G26" s="57"/>
      <c r="H26" s="54"/>
      <c r="I26" s="54"/>
      <c r="J26" s="54"/>
      <c r="K26" s="54"/>
      <c r="L26" s="54"/>
      <c r="M26" s="54"/>
      <c r="N26" s="54"/>
      <c r="O26" s="54"/>
      <c r="P26" s="54"/>
      <c r="Q26" s="54"/>
      <c r="R26" s="38"/>
      <c r="S26" s="38"/>
      <c r="T26" s="39"/>
      <c r="U26" s="39"/>
      <c r="V26" s="39"/>
      <c r="W26" s="16"/>
      <c r="X26" s="39"/>
      <c r="Y26" s="39"/>
      <c r="Z26" s="16"/>
      <c r="AA26" s="39"/>
      <c r="AB26" s="16"/>
      <c r="AC26" s="39"/>
      <c r="AD26" s="16"/>
      <c r="AE26" s="39"/>
      <c r="AF26" s="39"/>
      <c r="AG26" s="16"/>
      <c r="AH26" s="39"/>
      <c r="AI26" s="16"/>
      <c r="AJ26" s="39"/>
      <c r="AK26" s="16"/>
      <c r="AL26" s="39"/>
      <c r="AM26" s="39"/>
    </row>
    <row r="27" spans="1:39" x14ac:dyDescent="0.35">
      <c r="A27" s="20"/>
      <c r="B27" s="16"/>
      <c r="D27" s="49"/>
      <c r="E27" s="56"/>
      <c r="F27" s="54"/>
      <c r="G27" s="57"/>
      <c r="H27" s="54"/>
      <c r="I27" s="54"/>
      <c r="J27" s="54"/>
      <c r="K27" s="54"/>
      <c r="L27" s="54"/>
      <c r="M27" s="54"/>
      <c r="N27" s="54"/>
      <c r="O27" s="54"/>
      <c r="P27" s="54"/>
      <c r="Q27" s="54"/>
      <c r="R27" s="38"/>
      <c r="S27" s="38"/>
      <c r="T27" s="39"/>
      <c r="U27" s="39"/>
      <c r="V27" s="39"/>
      <c r="W27" s="16"/>
      <c r="X27" s="39"/>
      <c r="Y27" s="39"/>
      <c r="Z27" s="16"/>
      <c r="AA27" s="39"/>
      <c r="AB27" s="16"/>
      <c r="AC27" s="39"/>
      <c r="AD27" s="16"/>
      <c r="AE27" s="39"/>
      <c r="AF27" s="39"/>
      <c r="AG27" s="16"/>
      <c r="AH27" s="39"/>
      <c r="AI27" s="16"/>
      <c r="AJ27" s="39"/>
      <c r="AK27" s="16"/>
      <c r="AL27" s="39"/>
      <c r="AM27" s="39"/>
    </row>
    <row r="28" spans="1:39" x14ac:dyDescent="0.35">
      <c r="A28" s="20"/>
      <c r="B28" s="16"/>
      <c r="D28" s="49"/>
      <c r="E28" s="56"/>
      <c r="F28" s="54"/>
      <c r="G28" s="57"/>
      <c r="H28" s="54"/>
      <c r="I28" s="54"/>
      <c r="J28" s="54"/>
      <c r="K28" s="54"/>
      <c r="L28" s="54"/>
      <c r="M28" s="54"/>
      <c r="N28" s="54"/>
      <c r="O28" s="54"/>
      <c r="P28" s="54"/>
      <c r="Q28" s="54"/>
      <c r="R28" s="38"/>
      <c r="S28" s="38"/>
      <c r="T28" s="39"/>
      <c r="U28" s="39"/>
      <c r="V28" s="39"/>
      <c r="W28" s="16"/>
      <c r="X28" s="39"/>
      <c r="Y28" s="39"/>
      <c r="Z28" s="16"/>
      <c r="AA28" s="39"/>
      <c r="AB28" s="16"/>
      <c r="AC28" s="39"/>
      <c r="AD28" s="16"/>
      <c r="AE28" s="39"/>
      <c r="AF28" s="39"/>
      <c r="AG28" s="16"/>
      <c r="AH28" s="39"/>
      <c r="AI28" s="16"/>
      <c r="AJ28" s="39"/>
      <c r="AK28" s="16"/>
      <c r="AL28" s="39"/>
      <c r="AM28" s="39"/>
    </row>
    <row r="29" spans="1:39" x14ac:dyDescent="0.35">
      <c r="A29" s="20"/>
      <c r="B29" s="16"/>
      <c r="D29" s="49"/>
      <c r="E29" s="56"/>
      <c r="F29" s="54"/>
      <c r="G29" s="57"/>
      <c r="H29" s="54"/>
      <c r="I29" s="54"/>
      <c r="J29" s="54"/>
      <c r="K29" s="54"/>
      <c r="L29" s="54"/>
      <c r="M29" s="54"/>
      <c r="N29" s="54"/>
      <c r="O29" s="54"/>
      <c r="P29" s="54"/>
      <c r="Q29" s="54"/>
      <c r="R29" s="38"/>
      <c r="S29" s="38"/>
      <c r="T29" s="39"/>
      <c r="U29" s="39"/>
      <c r="V29" s="39"/>
      <c r="W29" s="16"/>
      <c r="X29" s="39"/>
      <c r="Y29" s="39"/>
      <c r="Z29" s="16"/>
      <c r="AA29" s="39"/>
      <c r="AB29" s="16"/>
      <c r="AC29" s="39"/>
      <c r="AD29" s="16"/>
      <c r="AE29" s="39"/>
      <c r="AF29" s="39"/>
      <c r="AG29" s="16"/>
      <c r="AH29" s="39"/>
      <c r="AI29" s="16"/>
      <c r="AJ29" s="39"/>
      <c r="AK29" s="16"/>
      <c r="AL29" s="39"/>
      <c r="AM29" s="39"/>
    </row>
    <row r="30" spans="1:39" x14ac:dyDescent="0.35">
      <c r="A30" s="20"/>
      <c r="B30" s="16"/>
      <c r="D30" s="49"/>
      <c r="E30" s="56"/>
      <c r="F30" s="54"/>
      <c r="G30" s="57"/>
      <c r="H30" s="54"/>
      <c r="I30" s="54"/>
      <c r="J30" s="54"/>
      <c r="K30" s="54"/>
      <c r="L30" s="54"/>
      <c r="M30" s="54"/>
      <c r="N30" s="54"/>
      <c r="O30" s="54"/>
      <c r="P30" s="54"/>
      <c r="Q30" s="54"/>
      <c r="R30" s="38"/>
      <c r="S30" s="38"/>
      <c r="T30" s="39"/>
      <c r="U30" s="39"/>
      <c r="V30" s="39"/>
      <c r="W30" s="16"/>
      <c r="X30" s="39"/>
      <c r="Y30" s="39"/>
      <c r="Z30" s="16"/>
      <c r="AA30" s="39"/>
      <c r="AB30" s="16"/>
      <c r="AC30" s="39"/>
      <c r="AD30" s="16"/>
      <c r="AE30" s="39"/>
      <c r="AF30" s="39"/>
      <c r="AG30" s="16"/>
      <c r="AH30" s="39"/>
      <c r="AI30" s="16"/>
      <c r="AJ30" s="39"/>
      <c r="AK30" s="16"/>
      <c r="AL30" s="39"/>
      <c r="AM30" s="39"/>
    </row>
    <row r="31" spans="1:39" x14ac:dyDescent="0.35">
      <c r="A31" s="20"/>
      <c r="B31" s="16"/>
      <c r="D31" s="49"/>
      <c r="E31" s="56"/>
      <c r="F31" s="54"/>
      <c r="G31" s="57"/>
      <c r="H31" s="54"/>
      <c r="I31" s="54"/>
      <c r="J31" s="54"/>
      <c r="K31" s="54"/>
      <c r="L31" s="54"/>
      <c r="M31" s="54"/>
      <c r="N31" s="54"/>
      <c r="O31" s="54"/>
      <c r="P31" s="54"/>
      <c r="Q31" s="54"/>
      <c r="R31" s="38"/>
      <c r="S31" s="38"/>
      <c r="T31" s="39"/>
      <c r="U31" s="39"/>
      <c r="V31" s="39"/>
      <c r="W31" s="16"/>
      <c r="X31" s="39"/>
      <c r="Y31" s="39"/>
      <c r="Z31" s="16"/>
      <c r="AA31" s="39"/>
      <c r="AB31" s="16"/>
      <c r="AC31" s="39"/>
      <c r="AD31" s="16"/>
      <c r="AE31" s="39"/>
      <c r="AF31" s="39"/>
      <c r="AG31" s="16"/>
      <c r="AH31" s="39"/>
      <c r="AI31" s="16"/>
      <c r="AJ31" s="39"/>
      <c r="AK31" s="16"/>
      <c r="AL31" s="39"/>
      <c r="AM31" s="39"/>
    </row>
  </sheetData>
  <mergeCells count="8">
    <mergeCell ref="B7:AM7"/>
    <mergeCell ref="B9:AM9"/>
    <mergeCell ref="B1:AM1"/>
    <mergeCell ref="B2:AM2"/>
    <mergeCell ref="B3:AM3"/>
    <mergeCell ref="B4:AM4"/>
    <mergeCell ref="B5:AM5"/>
    <mergeCell ref="B6:AM6"/>
  </mergeCells>
  <printOptions horizontalCentered="1" verticalCentered="1"/>
  <pageMargins left="0.25" right="0.25" top="0.25" bottom="0.25" header="0.125" footer="0.125"/>
  <pageSetup scale="76" orientation="landscape"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F4AB5-F9A3-4CAB-BA2C-CFF0E44FF9D5}">
  <sheetPr>
    <pageSetUpPr fitToPage="1"/>
  </sheetPr>
  <dimension ref="A1:M60"/>
  <sheetViews>
    <sheetView showGridLines="0" workbookViewId="0"/>
  </sheetViews>
  <sheetFormatPr defaultRowHeight="14.5" x14ac:dyDescent="0.35"/>
  <cols>
    <col min="1" max="1" width="15.6328125" customWidth="1"/>
    <col min="2" max="13" width="8.1796875" customWidth="1"/>
  </cols>
  <sheetData>
    <row r="1" spans="1:13" ht="72.5" customHeight="1" x14ac:dyDescent="0.35">
      <c r="A1" s="16" t="s">
        <v>75</v>
      </c>
      <c r="B1" s="18" t="s">
        <v>76</v>
      </c>
      <c r="C1" s="18"/>
      <c r="D1" s="18"/>
      <c r="E1" s="18"/>
      <c r="F1" s="18"/>
      <c r="G1" s="18"/>
      <c r="H1" s="18"/>
      <c r="I1" s="18"/>
      <c r="J1" s="18"/>
      <c r="K1" s="18"/>
      <c r="L1" s="18"/>
      <c r="M1" s="18"/>
    </row>
    <row r="2" spans="1:13" ht="43.5" x14ac:dyDescent="0.35">
      <c r="A2" s="16" t="s">
        <v>77</v>
      </c>
      <c r="B2" s="27" t="s">
        <v>114</v>
      </c>
    </row>
    <row r="3" spans="1:13" x14ac:dyDescent="0.35">
      <c r="A3" s="16" t="s">
        <v>79</v>
      </c>
      <c r="B3" s="27" t="s">
        <v>80</v>
      </c>
    </row>
    <row r="4" spans="1:13" x14ac:dyDescent="0.35">
      <c r="A4" s="16" t="s">
        <v>81</v>
      </c>
      <c r="B4" s="27" t="s">
        <v>115</v>
      </c>
    </row>
    <row r="5" spans="1:13" x14ac:dyDescent="0.35">
      <c r="A5" s="16" t="s">
        <v>83</v>
      </c>
      <c r="B5" s="27" t="s">
        <v>31</v>
      </c>
    </row>
    <row r="6" spans="1:13" ht="409.5" customHeight="1" x14ac:dyDescent="0.35">
      <c r="A6" s="16" t="s">
        <v>84</v>
      </c>
      <c r="B6" s="18" t="s">
        <v>227</v>
      </c>
      <c r="C6" s="18"/>
      <c r="D6" s="18"/>
      <c r="E6" s="18"/>
      <c r="F6" s="18"/>
      <c r="G6" s="18"/>
      <c r="H6" s="18"/>
      <c r="I6" s="18"/>
      <c r="J6" s="18"/>
      <c r="K6" s="18"/>
      <c r="L6" s="18"/>
      <c r="M6" s="18"/>
    </row>
    <row r="7" spans="1:13" ht="58" customHeight="1" x14ac:dyDescent="0.35">
      <c r="A7" s="16" t="s">
        <v>86</v>
      </c>
      <c r="B7" s="19" t="str">
        <f>B2&amp;IF(B3="",""," in "&amp;B3)</f>
        <v>Underwriting result in $m</v>
      </c>
      <c r="C7" s="19"/>
      <c r="D7" s="19"/>
      <c r="E7" s="19"/>
      <c r="F7" s="19"/>
      <c r="G7" s="19"/>
      <c r="H7" s="19"/>
      <c r="I7" s="19"/>
      <c r="J7" s="19"/>
      <c r="K7" s="19"/>
      <c r="L7" s="19"/>
      <c r="M7" s="19"/>
    </row>
    <row r="9" spans="1:13" x14ac:dyDescent="0.35">
      <c r="B9" s="21" t="s">
        <v>144</v>
      </c>
      <c r="C9" s="21" t="s">
        <v>145</v>
      </c>
      <c r="D9" s="21" t="s">
        <v>146</v>
      </c>
      <c r="E9" s="21" t="s">
        <v>147</v>
      </c>
      <c r="F9" s="21" t="s">
        <v>148</v>
      </c>
      <c r="G9" s="21" t="s">
        <v>149</v>
      </c>
      <c r="H9" s="21" t="s">
        <v>150</v>
      </c>
      <c r="I9" s="21" t="s">
        <v>151</v>
      </c>
      <c r="J9" s="21" t="s">
        <v>152</v>
      </c>
      <c r="K9" s="21" t="s">
        <v>153</v>
      </c>
      <c r="L9" s="21" t="s">
        <v>154</v>
      </c>
      <c r="M9" s="21" t="s">
        <v>155</v>
      </c>
    </row>
    <row r="10" spans="1:13" x14ac:dyDescent="0.35">
      <c r="B10" s="58" t="s">
        <v>17</v>
      </c>
      <c r="C10" s="58" t="s">
        <v>17</v>
      </c>
      <c r="D10" s="58" t="s">
        <v>17</v>
      </c>
      <c r="E10" s="58" t="s">
        <v>17</v>
      </c>
      <c r="F10" s="58" t="s">
        <v>17</v>
      </c>
      <c r="G10" s="58" t="s">
        <v>17</v>
      </c>
      <c r="H10" s="58" t="s">
        <v>17</v>
      </c>
      <c r="I10" s="58" t="s">
        <v>26</v>
      </c>
      <c r="J10" s="58" t="s">
        <v>26</v>
      </c>
      <c r="K10" s="58" t="s">
        <v>26</v>
      </c>
      <c r="L10" s="58" t="s">
        <v>26</v>
      </c>
      <c r="M10" s="58" t="s">
        <v>26</v>
      </c>
    </row>
    <row r="11" spans="1:13" x14ac:dyDescent="0.35">
      <c r="A11" s="20" t="s">
        <v>228</v>
      </c>
      <c r="B11" s="23">
        <v>277</v>
      </c>
      <c r="C11" s="23">
        <v>261</v>
      </c>
      <c r="D11" s="23">
        <v>301</v>
      </c>
      <c r="E11" s="23">
        <v>284</v>
      </c>
      <c r="F11" s="23">
        <v>294</v>
      </c>
      <c r="G11" s="23">
        <v>284</v>
      </c>
      <c r="H11" s="23">
        <v>294</v>
      </c>
      <c r="I11" s="23">
        <v>301</v>
      </c>
      <c r="J11" s="23">
        <v>292</v>
      </c>
      <c r="K11" s="23">
        <v>302</v>
      </c>
      <c r="L11" s="23">
        <v>295</v>
      </c>
      <c r="M11" s="23">
        <v>304</v>
      </c>
    </row>
    <row r="12" spans="1:13" x14ac:dyDescent="0.35">
      <c r="A12" s="20" t="s">
        <v>229</v>
      </c>
      <c r="B12" s="23">
        <v>1080</v>
      </c>
      <c r="C12" s="23">
        <v>934</v>
      </c>
      <c r="D12" s="23">
        <v>842</v>
      </c>
      <c r="E12" s="23">
        <v>697</v>
      </c>
      <c r="F12" s="23">
        <v>1318</v>
      </c>
      <c r="G12" s="23">
        <v>710</v>
      </c>
      <c r="H12" s="23">
        <v>971</v>
      </c>
      <c r="I12" s="22"/>
      <c r="J12" s="22"/>
      <c r="K12" s="22"/>
      <c r="L12" s="22"/>
      <c r="M12" s="22"/>
    </row>
    <row r="13" spans="1:13" x14ac:dyDescent="0.35">
      <c r="A13" s="20" t="s">
        <v>230</v>
      </c>
      <c r="B13" s="22"/>
      <c r="C13" s="22"/>
      <c r="D13" s="22"/>
      <c r="E13" s="22"/>
      <c r="F13" s="22"/>
      <c r="G13" s="22"/>
      <c r="H13" s="22"/>
      <c r="I13" s="23">
        <v>987</v>
      </c>
      <c r="J13" s="23">
        <v>958</v>
      </c>
      <c r="K13" s="23">
        <v>993</v>
      </c>
      <c r="L13" s="23">
        <v>967</v>
      </c>
      <c r="M13" s="23">
        <v>999</v>
      </c>
    </row>
    <row r="14" spans="1:13" x14ac:dyDescent="0.35">
      <c r="A14" s="20" t="s">
        <v>231</v>
      </c>
      <c r="B14" s="22">
        <f>SUM(B11:B11)</f>
        <v>277</v>
      </c>
      <c r="C14" s="22">
        <f>SUM(B11:C11)</f>
        <v>538</v>
      </c>
      <c r="D14" s="22">
        <f>SUM(B11:D11)</f>
        <v>839</v>
      </c>
      <c r="E14" s="22">
        <f>SUM(B11:E11)</f>
        <v>1123</v>
      </c>
      <c r="F14" s="22">
        <f>SUM(B11:F11)</f>
        <v>1417</v>
      </c>
      <c r="G14" s="22">
        <f>SUM(B11:G11)</f>
        <v>1701</v>
      </c>
      <c r="H14" s="22">
        <f>SUM(B11:H11)</f>
        <v>1995</v>
      </c>
      <c r="I14" s="22">
        <f>SUM(B11:I11)</f>
        <v>2296</v>
      </c>
      <c r="J14" s="22">
        <f>SUM(B11:J11)</f>
        <v>2588</v>
      </c>
      <c r="K14" s="22">
        <f>SUM(B11:K11)</f>
        <v>2890</v>
      </c>
      <c r="L14" s="22">
        <f>SUM(B11:L11)</f>
        <v>3185</v>
      </c>
      <c r="M14" s="22">
        <f>SUM(B11:M11)</f>
        <v>3489</v>
      </c>
    </row>
    <row r="15" spans="1:13" x14ac:dyDescent="0.35">
      <c r="A15" s="20" t="s">
        <v>232</v>
      </c>
      <c r="B15" s="22">
        <f>SUM(B12:B12)</f>
        <v>1080</v>
      </c>
      <c r="C15" s="22">
        <f>SUM(B12:C12)</f>
        <v>2014</v>
      </c>
      <c r="D15" s="22">
        <f>SUM(B12:D12)</f>
        <v>2856</v>
      </c>
      <c r="E15" s="22">
        <f>SUM(B12:E12)</f>
        <v>3553</v>
      </c>
      <c r="F15" s="22">
        <f>SUM(B12:F12)</f>
        <v>4871</v>
      </c>
      <c r="G15" s="22">
        <f>SUM(B12:G12)</f>
        <v>5581</v>
      </c>
      <c r="H15" s="22">
        <f>SUM(B12:H12)</f>
        <v>6552</v>
      </c>
      <c r="I15" s="22"/>
      <c r="J15" s="22"/>
      <c r="K15" s="22"/>
      <c r="L15" s="22"/>
      <c r="M15" s="22"/>
    </row>
    <row r="16" spans="1:13" x14ac:dyDescent="0.35">
      <c r="A16" s="20" t="s">
        <v>233</v>
      </c>
      <c r="B16" s="22"/>
      <c r="C16" s="22"/>
      <c r="D16" s="22"/>
      <c r="E16" s="22"/>
      <c r="F16" s="22"/>
      <c r="G16" s="22"/>
      <c r="H16" s="22">
        <f>SUM(B12:H12)+SUM(B13:H13)</f>
        <v>6552</v>
      </c>
      <c r="I16" s="22">
        <f>SUM(B12:I12)+SUM(B13:I13)</f>
        <v>7539</v>
      </c>
      <c r="J16" s="22">
        <f>SUM(B12:J12)+SUM(B13:J13)</f>
        <v>8497</v>
      </c>
      <c r="K16" s="22">
        <f>SUM(B12:K12)+SUM(B13:K13)</f>
        <v>9490</v>
      </c>
      <c r="L16" s="22">
        <f>SUM(B12:L12)+SUM(B13:L13)</f>
        <v>10457</v>
      </c>
      <c r="M16" s="22">
        <f>SUM(B12:M12)+SUM(B13:M13)</f>
        <v>11456</v>
      </c>
    </row>
    <row r="17" spans="1:13" x14ac:dyDescent="0.35">
      <c r="A17" s="20" t="s">
        <v>234</v>
      </c>
      <c r="B17" s="23">
        <v>10288</v>
      </c>
      <c r="C17" s="23">
        <v>10172</v>
      </c>
      <c r="D17" s="23">
        <v>10396</v>
      </c>
      <c r="E17" s="23">
        <v>10090</v>
      </c>
      <c r="F17" s="23">
        <v>10529</v>
      </c>
      <c r="G17" s="23">
        <v>10307</v>
      </c>
      <c r="H17" s="23">
        <v>10251</v>
      </c>
      <c r="I17" s="23">
        <v>10049</v>
      </c>
      <c r="J17" s="23">
        <v>11034</v>
      </c>
      <c r="K17" s="23">
        <v>11298</v>
      </c>
      <c r="L17" s="23">
        <v>11376</v>
      </c>
      <c r="M17" s="23">
        <v>11456</v>
      </c>
    </row>
    <row r="19" spans="1:13" x14ac:dyDescent="0.35">
      <c r="A19" t="s">
        <v>106</v>
      </c>
      <c r="B19" s="26">
        <f>MAX(_xlfn.AGGREGATE(4,6,B11:M11,B12:M12,B13:M13,B14:M14,B15:M15,B16:M16,B17:M17),-_xlfn.AGGREGATE(5,6,B11:M11,B12:M12,B13:M13,B14:M14,B15:M15,B16:M16,B17:M17),0.000000001)</f>
        <v>11456</v>
      </c>
    </row>
    <row r="21" spans="1:13" ht="36" customHeight="1" x14ac:dyDescent="0.35">
      <c r="A21" s="40" t="s">
        <v>248</v>
      </c>
      <c r="B21" s="41"/>
      <c r="C21" s="41"/>
      <c r="D21" s="41"/>
      <c r="E21" s="41"/>
      <c r="F21" s="41"/>
      <c r="G21" s="41"/>
      <c r="H21" s="41"/>
      <c r="I21" s="41"/>
      <c r="J21" s="41"/>
      <c r="K21" s="41"/>
      <c r="L21" s="41"/>
      <c r="M21" s="41"/>
    </row>
    <row r="22" spans="1:13" ht="24" customHeight="1" x14ac:dyDescent="0.35">
      <c r="A22" s="40" t="s">
        <v>249</v>
      </c>
      <c r="B22" s="41"/>
      <c r="C22" s="41"/>
      <c r="D22" s="41"/>
      <c r="E22" s="41"/>
      <c r="F22" s="41"/>
      <c r="G22" s="41"/>
      <c r="H22" s="41"/>
      <c r="I22" s="41"/>
      <c r="J22" s="41"/>
      <c r="K22" s="41"/>
      <c r="L22" s="41"/>
      <c r="M22" s="41"/>
    </row>
    <row r="23" spans="1:13" hidden="1" x14ac:dyDescent="0.35"/>
    <row r="24" spans="1:13" hidden="1" x14ac:dyDescent="0.35"/>
    <row r="25" spans="1:13" hidden="1" x14ac:dyDescent="0.35"/>
    <row r="26" spans="1:13" hidden="1" x14ac:dyDescent="0.35"/>
    <row r="27" spans="1:13" hidden="1" x14ac:dyDescent="0.35"/>
    <row r="28" spans="1:13" hidden="1" x14ac:dyDescent="0.35"/>
    <row r="29" spans="1:13" hidden="1" x14ac:dyDescent="0.35"/>
    <row r="30" spans="1:13" hidden="1" x14ac:dyDescent="0.35"/>
    <row r="31" spans="1:13" hidden="1" x14ac:dyDescent="0.35"/>
    <row r="32" spans="1:13" hidden="1" x14ac:dyDescent="0.35">
      <c r="A32" t="s">
        <v>235</v>
      </c>
      <c r="B32">
        <f>IF(ISNA(B11),NA(),IF(ISBLANK(B11),NA(),B11/$B$19))</f>
        <v>2.4179469273743016E-2</v>
      </c>
      <c r="C32">
        <f>IF(ISNA(C11),NA(),IF(ISBLANK(C11),NA(),C11/$B$19))</f>
        <v>2.278282122905028E-2</v>
      </c>
      <c r="D32">
        <f>IF(ISNA(D11),NA(),IF(ISBLANK(D11),NA(),D11/$B$19))</f>
        <v>2.6274441340782124E-2</v>
      </c>
      <c r="E32">
        <f>IF(ISNA(E11),NA(),IF(ISBLANK(E11),NA(),E11/$B$19))</f>
        <v>2.4790502793296091E-2</v>
      </c>
      <c r="F32">
        <f>IF(ISNA(F11),NA(),IF(ISBLANK(F11),NA(),F11/$B$19))</f>
        <v>2.5663407821229049E-2</v>
      </c>
      <c r="G32">
        <f>IF(ISNA(G11),NA(),IF(ISBLANK(G11),NA(),G11/$B$19))</f>
        <v>2.4790502793296091E-2</v>
      </c>
      <c r="H32">
        <f>IF(ISNA(H11),NA(),IF(ISBLANK(H11),NA(),H11/$B$19))</f>
        <v>2.5663407821229049E-2</v>
      </c>
      <c r="I32">
        <f>IF(ISNA(I11),NA(),IF(ISBLANK(I11),NA(),I11/$B$19))</f>
        <v>2.6274441340782124E-2</v>
      </c>
      <c r="J32">
        <f>IF(ISNA(J11),NA(),IF(ISBLANK(J11),NA(),J11/$B$19))</f>
        <v>2.5488826815642459E-2</v>
      </c>
      <c r="K32">
        <f>IF(ISNA(K11),NA(),IF(ISBLANK(K11),NA(),K11/$B$19))</f>
        <v>2.6361731843575421E-2</v>
      </c>
      <c r="L32">
        <f>IF(ISNA(L11),NA(),IF(ISBLANK(L11),NA(),L11/$B$19))</f>
        <v>2.5750698324022346E-2</v>
      </c>
      <c r="M32">
        <f>IF(ISNA(M11),NA(),IF(ISBLANK(M11),NA(),M11/$B$19))</f>
        <v>2.6536312849162011E-2</v>
      </c>
    </row>
    <row r="33" spans="1:13" hidden="1" x14ac:dyDescent="0.35">
      <c r="A33" t="s">
        <v>236</v>
      </c>
      <c r="B33">
        <f>IF(ISNA(B12),NA(),IF(ISBLANK(B12),NA(),B12/$B$19))</f>
        <v>9.4273743016759781E-2</v>
      </c>
      <c r="C33">
        <f>IF(ISNA(C12),NA(),IF(ISBLANK(C12),NA(),C12/$B$19))</f>
        <v>8.152932960893855E-2</v>
      </c>
      <c r="D33">
        <f>IF(ISNA(D12),NA(),IF(ISBLANK(D12),NA(),D12/$B$19))</f>
        <v>7.3498603351955308E-2</v>
      </c>
      <c r="E33">
        <f>IF(ISNA(E12),NA(),IF(ISBLANK(E12),NA(),E12/$B$19))</f>
        <v>6.0841480446927373E-2</v>
      </c>
      <c r="F33">
        <f>IF(ISNA(F12),NA(),IF(ISBLANK(F12),NA(),F12/$B$19))</f>
        <v>0.11504888268156424</v>
      </c>
      <c r="G33">
        <f>IF(ISNA(G12),NA(),IF(ISBLANK(G12),NA(),G12/$B$19))</f>
        <v>6.1976256983240226E-2</v>
      </c>
      <c r="H33">
        <f>IF(ISNA(H12),NA(),IF(ISBLANK(H12),NA(),H12/$B$19))</f>
        <v>8.4759078212290506E-2</v>
      </c>
      <c r="I33" t="e">
        <f>IF(ISNA(I12),NA(),IF(ISBLANK(I12),NA(),I12/$B$19))</f>
        <v>#N/A</v>
      </c>
      <c r="J33" t="e">
        <f>IF(ISNA(J12),NA(),IF(ISBLANK(J12),NA(),J12/$B$19))</f>
        <v>#N/A</v>
      </c>
      <c r="K33" t="e">
        <f>IF(ISNA(K12),NA(),IF(ISBLANK(K12),NA(),K12/$B$19))</f>
        <v>#N/A</v>
      </c>
      <c r="L33" t="e">
        <f>IF(ISNA(L12),NA(),IF(ISBLANK(L12),NA(),L12/$B$19))</f>
        <v>#N/A</v>
      </c>
      <c r="M33" t="e">
        <f>IF(ISNA(M12),NA(),IF(ISBLANK(M12),NA(),M12/$B$19))</f>
        <v>#N/A</v>
      </c>
    </row>
    <row r="34" spans="1:13" hidden="1" x14ac:dyDescent="0.35">
      <c r="A34" t="s">
        <v>238</v>
      </c>
      <c r="B34" t="e">
        <f>IF(ISNA(B13),NA(),IF(ISBLANK(B13),NA(),B13/$B$19))</f>
        <v>#N/A</v>
      </c>
      <c r="C34" t="e">
        <f>IF(ISNA(C13),NA(),IF(ISBLANK(C13),NA(),C13/$B$19))</f>
        <v>#N/A</v>
      </c>
      <c r="D34" t="e">
        <f>IF(ISNA(D13),NA(),IF(ISBLANK(D13),NA(),D13/$B$19))</f>
        <v>#N/A</v>
      </c>
      <c r="E34" t="e">
        <f>IF(ISNA(E13),NA(),IF(ISBLANK(E13),NA(),E13/$B$19))</f>
        <v>#N/A</v>
      </c>
      <c r="F34" t="e">
        <f>IF(ISNA(F13),NA(),IF(ISBLANK(F13),NA(),F13/$B$19))</f>
        <v>#N/A</v>
      </c>
      <c r="G34" t="e">
        <f>IF(ISNA(G13),NA(),IF(ISBLANK(G13),NA(),G13/$B$19))</f>
        <v>#N/A</v>
      </c>
      <c r="H34" t="e">
        <f>IF(ISNA(H13),NA(),IF(ISBLANK(H13),NA(),H13/$B$19))</f>
        <v>#N/A</v>
      </c>
      <c r="I34">
        <f>IF(ISNA(I13),NA(),IF(ISBLANK(I13),NA(),I13/$B$19))</f>
        <v>8.6155726256983242E-2</v>
      </c>
      <c r="J34">
        <f>IF(ISNA(J13),NA(),IF(ISBLANK(J13),NA(),J13/$B$19))</f>
        <v>8.3624301675977647E-2</v>
      </c>
      <c r="K34">
        <f>IF(ISNA(K13),NA(),IF(ISBLANK(K13),NA(),K13/$B$19))</f>
        <v>8.6679469273743023E-2</v>
      </c>
      <c r="L34">
        <f>IF(ISNA(L13),NA(),IF(ISBLANK(L13),NA(),L13/$B$19))</f>
        <v>8.4409916201117319E-2</v>
      </c>
      <c r="M34">
        <f>IF(ISNA(M13),NA(),IF(ISBLANK(M13),NA(),M13/$B$19))</f>
        <v>8.7203212290502791E-2</v>
      </c>
    </row>
    <row r="35" spans="1:13" hidden="1" x14ac:dyDescent="0.35">
      <c r="A35" t="s">
        <v>240</v>
      </c>
      <c r="B35">
        <f>IF(ISNA(B14),NA(),IF(ISBLANK(B14),NA(),B14/$B$19))</f>
        <v>2.4179469273743016E-2</v>
      </c>
      <c r="C35">
        <f>IF(ISNA(C14),NA(),IF(ISBLANK(C14),NA(),C14/$B$19))</f>
        <v>4.6962290502793297E-2</v>
      </c>
      <c r="D35">
        <f>IF(ISNA(D14),NA(),IF(ISBLANK(D14),NA(),D14/$B$19))</f>
        <v>7.3236731843575417E-2</v>
      </c>
      <c r="E35">
        <f>IF(ISNA(E14),NA(),IF(ISBLANK(E14),NA(),E14/$B$19))</f>
        <v>9.8027234636871505E-2</v>
      </c>
      <c r="F35">
        <f>IF(ISNA(F14),NA(),IF(ISBLANK(F14),NA(),F14/$B$19))</f>
        <v>0.12369064245810056</v>
      </c>
      <c r="G35">
        <f>IF(ISNA(G14),NA(),IF(ISBLANK(G14),NA(),G14/$B$19))</f>
        <v>0.14848114525139663</v>
      </c>
      <c r="H35">
        <f>IF(ISNA(H14),NA(),IF(ISBLANK(H14),NA(),H14/$B$19))</f>
        <v>0.17414455307262569</v>
      </c>
      <c r="I35">
        <f>IF(ISNA(I14),NA(),IF(ISBLANK(I14),NA(),I14/$B$19))</f>
        <v>0.20041899441340782</v>
      </c>
      <c r="J35">
        <f>IF(ISNA(J14),NA(),IF(ISBLANK(J14),NA(),J14/$B$19))</f>
        <v>0.22590782122905029</v>
      </c>
      <c r="K35">
        <f>IF(ISNA(K14),NA(),IF(ISBLANK(K14),NA(),K14/$B$19))</f>
        <v>0.25226955307262572</v>
      </c>
      <c r="L35">
        <f>IF(ISNA(L14),NA(),IF(ISBLANK(L14),NA(),L14/$B$19))</f>
        <v>0.27802025139664804</v>
      </c>
      <c r="M35">
        <f>IF(ISNA(M14),NA(),IF(ISBLANK(M14),NA(),M14/$B$19))</f>
        <v>0.30455656424581007</v>
      </c>
    </row>
    <row r="36" spans="1:13" hidden="1" x14ac:dyDescent="0.35">
      <c r="A36" t="s">
        <v>242</v>
      </c>
      <c r="B36">
        <f>IF(ISNA(B15),NA(),IF(ISBLANK(B15),NA(),B15/$B$19))</f>
        <v>9.4273743016759781E-2</v>
      </c>
      <c r="C36">
        <f>IF(ISNA(C15),NA(),IF(ISBLANK(C15),NA(),C15/$B$19))</f>
        <v>0.17580307262569833</v>
      </c>
      <c r="D36">
        <f>IF(ISNA(D15),NA(),IF(ISBLANK(D15),NA(),D15/$B$19))</f>
        <v>0.24930167597765363</v>
      </c>
      <c r="E36">
        <f>IF(ISNA(E15),NA(),IF(ISBLANK(E15),NA(),E15/$B$19))</f>
        <v>0.31014315642458101</v>
      </c>
      <c r="F36">
        <f>IF(ISNA(F15),NA(),IF(ISBLANK(F15),NA(),F15/$B$19))</f>
        <v>0.42519203910614523</v>
      </c>
      <c r="G36">
        <f>IF(ISNA(G15),NA(),IF(ISBLANK(G15),NA(),G15/$B$19))</f>
        <v>0.4871682960893855</v>
      </c>
      <c r="H36">
        <f>IF(ISNA(H15),NA(),IF(ISBLANK(H15),NA(),H15/$B$19))</f>
        <v>0.57192737430167595</v>
      </c>
      <c r="I36" t="e">
        <f>IF(ISNA(I15),NA(),IF(ISBLANK(I15),NA(),I15/$B$19))</f>
        <v>#N/A</v>
      </c>
      <c r="J36" t="e">
        <f>IF(ISNA(J15),NA(),IF(ISBLANK(J15),NA(),J15/$B$19))</f>
        <v>#N/A</v>
      </c>
      <c r="K36" t="e">
        <f>IF(ISNA(K15),NA(),IF(ISBLANK(K15),NA(),K15/$B$19))</f>
        <v>#N/A</v>
      </c>
      <c r="L36" t="e">
        <f>IF(ISNA(L15),NA(),IF(ISBLANK(L15),NA(),L15/$B$19))</f>
        <v>#N/A</v>
      </c>
      <c r="M36" t="e">
        <f>IF(ISNA(M15),NA(),IF(ISBLANK(M15),NA(),M15/$B$19))</f>
        <v>#N/A</v>
      </c>
    </row>
    <row r="37" spans="1:13" hidden="1" x14ac:dyDescent="0.35">
      <c r="A37" t="s">
        <v>244</v>
      </c>
      <c r="B37" t="e">
        <f>IF(ISNA(B16),NA(),IF(ISBLANK(B16),NA(),B16/$B$19))</f>
        <v>#N/A</v>
      </c>
      <c r="C37" t="e">
        <f>IF(ISNA(C16),NA(),IF(ISBLANK(C16),NA(),C16/$B$19))</f>
        <v>#N/A</v>
      </c>
      <c r="D37" t="e">
        <f>IF(ISNA(D16),NA(),IF(ISBLANK(D16),NA(),D16/$B$19))</f>
        <v>#N/A</v>
      </c>
      <c r="E37" t="e">
        <f>IF(ISNA(E16),NA(),IF(ISBLANK(E16),NA(),E16/$B$19))</f>
        <v>#N/A</v>
      </c>
      <c r="F37" t="e">
        <f>IF(ISNA(F16),NA(),IF(ISBLANK(F16),NA(),F16/$B$19))</f>
        <v>#N/A</v>
      </c>
      <c r="G37" t="e">
        <f>IF(ISNA(G16),NA(),IF(ISBLANK(G16),NA(),G16/$B$19))</f>
        <v>#N/A</v>
      </c>
      <c r="H37">
        <f>IF(ISNA(H16),NA(),IF(ISBLANK(H16),NA(),H16/$B$19))</f>
        <v>0.57192737430167595</v>
      </c>
      <c r="I37">
        <f>IF(ISNA(I16),NA(),IF(ISBLANK(I16),NA(),I16/$B$19))</f>
        <v>0.65808310055865926</v>
      </c>
      <c r="J37">
        <f>IF(ISNA(J16),NA(),IF(ISBLANK(J16),NA(),J16/$B$19))</f>
        <v>0.74170740223463683</v>
      </c>
      <c r="K37">
        <f>IF(ISNA(K16),NA(),IF(ISBLANK(K16),NA(),K16/$B$19))</f>
        <v>0.82838687150837986</v>
      </c>
      <c r="L37">
        <f>IF(ISNA(L16),NA(),IF(ISBLANK(L16),NA(),L16/$B$19))</f>
        <v>0.91279678770949724</v>
      </c>
      <c r="M37">
        <f>IF(ISNA(M16),NA(),IF(ISBLANK(M16),NA(),M16/$B$19))</f>
        <v>1</v>
      </c>
    </row>
    <row r="38" spans="1:13" hidden="1" x14ac:dyDescent="0.35">
      <c r="A38" t="s">
        <v>246</v>
      </c>
      <c r="B38">
        <f>IF(ISNA(B17),NA(),IF(ISBLANK(B17),NA(),B17/$B$19))</f>
        <v>0.89804469273743015</v>
      </c>
      <c r="C38">
        <f>IF(ISNA(C17),NA(),IF(ISBLANK(C17),NA(),C17/$B$19))</f>
        <v>0.88791899441340782</v>
      </c>
      <c r="D38">
        <f>IF(ISNA(D17),NA(),IF(ISBLANK(D17),NA(),D17/$B$19))</f>
        <v>0.9074720670391061</v>
      </c>
      <c r="E38">
        <f>IF(ISNA(E17),NA(),IF(ISBLANK(E17),NA(),E17/$B$19))</f>
        <v>0.88076117318435754</v>
      </c>
      <c r="F38">
        <f>IF(ISNA(F17),NA(),IF(ISBLANK(F17),NA(),F17/$B$19))</f>
        <v>0.9190817039106145</v>
      </c>
      <c r="G38">
        <f>IF(ISNA(G17),NA(),IF(ISBLANK(G17),NA(),G17/$B$19))</f>
        <v>0.89970321229050276</v>
      </c>
      <c r="H38">
        <f>IF(ISNA(H17),NA(),IF(ISBLANK(H17),NA(),H17/$B$19))</f>
        <v>0.89481494413407825</v>
      </c>
      <c r="I38">
        <f>IF(ISNA(I17),NA(),IF(ISBLANK(I17),NA(),I17/$B$19))</f>
        <v>0.87718226256983245</v>
      </c>
      <c r="J38">
        <f>IF(ISNA(J17),NA(),IF(ISBLANK(J17),NA(),J17/$B$19))</f>
        <v>0.963163407821229</v>
      </c>
      <c r="K38">
        <f>IF(ISNA(K17),NA(),IF(ISBLANK(K17),NA(),K17/$B$19))</f>
        <v>0.98620810055865926</v>
      </c>
      <c r="L38">
        <f>IF(ISNA(L17),NA(),IF(ISBLANK(L17),NA(),L17/$B$19))</f>
        <v>0.99301675977653636</v>
      </c>
      <c r="M38">
        <f>IF(ISNA(M17),NA(),IF(ISBLANK(M17),NA(),M17/$B$19))</f>
        <v>1</v>
      </c>
    </row>
    <row r="39" spans="1:13" hidden="1" x14ac:dyDescent="0.35"/>
    <row r="40" spans="1:13" hidden="1" x14ac:dyDescent="0.35"/>
    <row r="41" spans="1:13" hidden="1" x14ac:dyDescent="0.35"/>
    <row r="42" spans="1:13" hidden="1" x14ac:dyDescent="0.35"/>
    <row r="43" spans="1:13" hidden="1" x14ac:dyDescent="0.35"/>
    <row r="44" spans="1:13" hidden="1" x14ac:dyDescent="0.35"/>
    <row r="45" spans="1:13" hidden="1" x14ac:dyDescent="0.35"/>
    <row r="46" spans="1:13" hidden="1" x14ac:dyDescent="0.35"/>
    <row r="47" spans="1:13" hidden="1" x14ac:dyDescent="0.35"/>
    <row r="48" spans="1:13" hidden="1" x14ac:dyDescent="0.35"/>
    <row r="49" spans="1:13" hidden="1" x14ac:dyDescent="0.35"/>
    <row r="50" spans="1:13" hidden="1" x14ac:dyDescent="0.35"/>
    <row r="51" spans="1:13" hidden="1" x14ac:dyDescent="0.35"/>
    <row r="52" spans="1:13" hidden="1" x14ac:dyDescent="0.35"/>
    <row r="53" spans="1:13" hidden="1" x14ac:dyDescent="0.35"/>
    <row r="54" spans="1:13" hidden="1" x14ac:dyDescent="0.35">
      <c r="A54" t="s">
        <v>237</v>
      </c>
      <c r="B54" t="str">
        <f>IF(ISNA(B12),"",IF(ISBLANK(B12),"",TEXT(B12,"#,##0")))</f>
        <v>1,080</v>
      </c>
      <c r="C54" t="str">
        <f>IF(ISNA(C12),"",IF(ISBLANK(C12),"",TEXT(C12,"#,##0")))</f>
        <v>934</v>
      </c>
      <c r="D54" t="str">
        <f>IF(ISNA(D12),"",IF(ISBLANK(D12),"",TEXT(D12,"#,##0")))</f>
        <v>842</v>
      </c>
      <c r="E54" t="str">
        <f>IF(ISNA(E12),"",IF(ISBLANK(E12),"",TEXT(E12,"#,##0")))</f>
        <v>697</v>
      </c>
      <c r="F54" t="str">
        <f>IF(ISNA(F12),"",IF(ISBLANK(F12),"",TEXT(F12,"#,##0")))</f>
        <v>1,318</v>
      </c>
      <c r="G54" t="str">
        <f>IF(ISNA(G12),"",IF(ISBLANK(G12),"",TEXT(G12,"#,##0")))</f>
        <v>710</v>
      </c>
      <c r="H54" t="str">
        <f>IF(ISNA(H12),"",IF(ISBLANK(H12),"",TEXT(H12,"#,##0")))</f>
        <v>971</v>
      </c>
      <c r="I54" t="str">
        <f>IF(ISNA(I12),"",IF(ISBLANK(I12),"",TEXT(I12,"#,##0")))</f>
        <v/>
      </c>
      <c r="J54" t="str">
        <f>IF(ISNA(J12),"",IF(ISBLANK(J12),"",TEXT(J12,"#,##0")))</f>
        <v/>
      </c>
      <c r="K54" t="str">
        <f>IF(ISNA(K12),"",IF(ISBLANK(K12),"",TEXT(K12,"#,##0")))</f>
        <v/>
      </c>
      <c r="L54" t="str">
        <f>IF(ISNA(L12),"",IF(ISBLANK(L12),"",TEXT(L12,"#,##0")))</f>
        <v/>
      </c>
      <c r="M54" t="str">
        <f>IF(ISNA(M12),"",IF(ISBLANK(M12),"",TEXT(M12,"#,##0")))</f>
        <v/>
      </c>
    </row>
    <row r="55" spans="1:13" hidden="1" x14ac:dyDescent="0.35">
      <c r="A55" t="s">
        <v>239</v>
      </c>
      <c r="B55" t="str">
        <f>IF(ISNA(B13),"",IF(ISBLANK(B13),"",TEXT(B13,"#,##0")))</f>
        <v/>
      </c>
      <c r="C55" t="str">
        <f>IF(ISNA(C13),"",IF(ISBLANK(C13),"",TEXT(C13,"#,##0")))</f>
        <v/>
      </c>
      <c r="D55" t="str">
        <f>IF(ISNA(D13),"",IF(ISBLANK(D13),"",TEXT(D13,"#,##0")))</f>
        <v/>
      </c>
      <c r="E55" t="str">
        <f>IF(ISNA(E13),"",IF(ISBLANK(E13),"",TEXT(E13,"#,##0")))</f>
        <v/>
      </c>
      <c r="F55" t="str">
        <f>IF(ISNA(F13),"",IF(ISBLANK(F13),"",TEXT(F13,"#,##0")))</f>
        <v/>
      </c>
      <c r="G55" t="str">
        <f>IF(ISNA(G13),"",IF(ISBLANK(G13),"",TEXT(G13,"#,##0")))</f>
        <v/>
      </c>
      <c r="H55" t="str">
        <f>IF(ISNA(H13),"",IF(ISBLANK(H13),"",TEXT(H13,"#,##0")))</f>
        <v/>
      </c>
      <c r="I55" t="str">
        <f>IF(ISNA(I13),"",IF(ISBLANK(I13),"",TEXT(I13,"#,##0")))</f>
        <v>987</v>
      </c>
      <c r="J55" t="str">
        <f>IF(ISNA(J13),"",IF(ISBLANK(J13),"",TEXT(J13,"#,##0")))</f>
        <v>958</v>
      </c>
      <c r="K55" t="str">
        <f>IF(ISNA(K13),"",IF(ISBLANK(K13),"",TEXT(K13,"#,##0")))</f>
        <v>993</v>
      </c>
      <c r="L55" t="str">
        <f>IF(ISNA(L13),"",IF(ISBLANK(L13),"",TEXT(L13,"#,##0")))</f>
        <v>967</v>
      </c>
      <c r="M55" t="str">
        <f>IF(ISNA(M13),"",IF(ISBLANK(M13),"",TEXT(M13,"#,##0")))</f>
        <v>999</v>
      </c>
    </row>
    <row r="56" spans="1:13" hidden="1" x14ac:dyDescent="0.35">
      <c r="A56" t="s">
        <v>241</v>
      </c>
      <c r="B56" t="str">
        <f>IF(ISNA(B14),"",IF(ISBLANK(B14),"",TEXT(B14,"#,##0")))</f>
        <v>277</v>
      </c>
      <c r="C56" t="str">
        <f>IF(ISNA(C14),"",IF(ISBLANK(C14),"",TEXT(C14,"#,##0")))</f>
        <v>538</v>
      </c>
      <c r="D56" t="str">
        <f>IF(ISNA(D14),"",IF(ISBLANK(D14),"",TEXT(D14,"#,##0")))</f>
        <v>839</v>
      </c>
      <c r="E56" t="str">
        <f>IF(ISNA(E14),"",IF(ISBLANK(E14),"",TEXT(E14,"#,##0")))</f>
        <v>1,123</v>
      </c>
      <c r="F56" t="str">
        <f>IF(ISNA(F14),"",IF(ISBLANK(F14),"",TEXT(F14,"#,##0")))</f>
        <v>1,417</v>
      </c>
      <c r="G56" t="str">
        <f>IF(ISNA(G14),"",IF(ISBLANK(G14),"",TEXT(G14,"#,##0")))</f>
        <v>1,701</v>
      </c>
      <c r="H56" t="str">
        <f>IF(ISNA(H14),"",IF(ISBLANK(H14),"",TEXT(H14,"#,##0")))</f>
        <v>1,995</v>
      </c>
      <c r="I56" t="str">
        <f>IF(ISNA(I14),"",IF(ISBLANK(I14),"",TEXT(I14,"#,##0")))</f>
        <v>2,296</v>
      </c>
      <c r="J56" t="str">
        <f>IF(ISNA(J14),"",IF(ISBLANK(J14),"",TEXT(J14,"#,##0")))</f>
        <v>2,588</v>
      </c>
      <c r="K56" t="str">
        <f>IF(ISNA(K14),"",IF(ISBLANK(K14),"",TEXT(K14,"#,##0")))</f>
        <v>2,890</v>
      </c>
      <c r="L56" t="str">
        <f>IF(ISNA(L14),"",IF(ISBLANK(L14),"",TEXT(L14,"#,##0")))</f>
        <v>3,185</v>
      </c>
      <c r="M56" t="str">
        <f>IF(ISNA(M14),"",IF(ISBLANK(M14),"",TEXT(M14,"#,##0")))</f>
        <v>3,489</v>
      </c>
    </row>
    <row r="57" spans="1:13" hidden="1" x14ac:dyDescent="0.35">
      <c r="A57" t="s">
        <v>243</v>
      </c>
      <c r="B57" t="str">
        <f>IF(ISNA(B15),"",IF(ISBLANK(B15),"",TEXT(B15,"#,##0")))</f>
        <v>1,080</v>
      </c>
      <c r="C57" t="str">
        <f>IF(ISNA(C15),"",IF(ISBLANK(C15),"",TEXT(C15,"#,##0")))</f>
        <v>2,014</v>
      </c>
      <c r="D57" t="str">
        <f>IF(ISNA(D15),"",IF(ISBLANK(D15),"",TEXT(D15,"#,##0")))</f>
        <v>2,856</v>
      </c>
      <c r="E57" t="str">
        <f>IF(ISNA(E15),"",IF(ISBLANK(E15),"",TEXT(E15,"#,##0")))</f>
        <v>3,553</v>
      </c>
      <c r="F57" t="str">
        <f>IF(ISNA(F15),"",IF(ISBLANK(F15),"",TEXT(F15,"#,##0")))</f>
        <v>4,871</v>
      </c>
      <c r="G57" t="str">
        <f>IF(ISNA(G15),"",IF(ISBLANK(G15),"",TEXT(G15,"#,##0")))</f>
        <v>5,581</v>
      </c>
      <c r="H57" t="str">
        <f>IF(ISNA(H15),"",IF(ISBLANK(H15),"",TEXT(H15,"#,##0")))</f>
        <v>6,552</v>
      </c>
      <c r="I57" t="str">
        <f>IF(ISNA(I15),"",IF(ISBLANK(I15),"",TEXT(I15,"#,##0")))</f>
        <v/>
      </c>
      <c r="J57" t="str">
        <f>IF(ISNA(J15),"",IF(ISBLANK(J15),"",TEXT(J15,"#,##0")))</f>
        <v/>
      </c>
      <c r="K57" t="str">
        <f>IF(ISNA(K15),"",IF(ISBLANK(K15),"",TEXT(K15,"#,##0")))</f>
        <v/>
      </c>
      <c r="L57" t="str">
        <f>IF(ISNA(L15),"",IF(ISBLANK(L15),"",TEXT(L15,"#,##0")))</f>
        <v/>
      </c>
      <c r="M57" t="str">
        <f>IF(ISNA(M15),"",IF(ISBLANK(M15),"",TEXT(M15,"#,##0")))</f>
        <v/>
      </c>
    </row>
    <row r="58" spans="1:13" hidden="1" x14ac:dyDescent="0.35">
      <c r="A58" t="s">
        <v>245</v>
      </c>
      <c r="B58" t="str">
        <f>IF(ISNA(B16),"",IF(ISBLANK(B16),"",TEXT(B16,"#,##0")))</f>
        <v/>
      </c>
      <c r="C58" t="str">
        <f>IF(ISNA(C16),"",IF(ISBLANK(C16),"",TEXT(C16,"#,##0")))</f>
        <v/>
      </c>
      <c r="D58" t="str">
        <f>IF(ISNA(D16),"",IF(ISBLANK(D16),"",TEXT(D16,"#,##0")))</f>
        <v/>
      </c>
      <c r="E58" t="str">
        <f>IF(ISNA(E16),"",IF(ISBLANK(E16),"",TEXT(E16,"#,##0")))</f>
        <v/>
      </c>
      <c r="F58" t="str">
        <f>IF(ISNA(F16),"",IF(ISBLANK(F16),"",TEXT(F16,"#,##0")))</f>
        <v/>
      </c>
      <c r="G58" t="str">
        <f>IF(ISNA(G16),"",IF(ISBLANK(G16),"",TEXT(G16,"#,##0")))</f>
        <v/>
      </c>
      <c r="H58" t="str">
        <f>IF(ISNA(H16),"",IF(ISBLANK(H16),"",TEXT(H16,"#,##0")))</f>
        <v>6,552</v>
      </c>
      <c r="I58" t="str">
        <f>IF(ISNA(I16),"",IF(ISBLANK(I16),"",TEXT(I16,"#,##0")))</f>
        <v>7,539</v>
      </c>
      <c r="J58" t="str">
        <f>IF(ISNA(J16),"",IF(ISBLANK(J16),"",TEXT(J16,"#,##0")))</f>
        <v>8,497</v>
      </c>
      <c r="K58" t="str">
        <f>IF(ISNA(K16),"",IF(ISBLANK(K16),"",TEXT(K16,"#,##0")))</f>
        <v>9,490</v>
      </c>
      <c r="L58" t="str">
        <f>IF(ISNA(L16),"",IF(ISBLANK(L16),"",TEXT(L16,"#,##0")))</f>
        <v>10,457</v>
      </c>
      <c r="M58" t="str">
        <f>IF(ISNA(M16),"",IF(ISBLANK(M16),"",TEXT(M16,"#,##0")))</f>
        <v>11,456</v>
      </c>
    </row>
    <row r="59" spans="1:13" hidden="1" x14ac:dyDescent="0.35">
      <c r="A59" t="s">
        <v>247</v>
      </c>
      <c r="B59" t="str">
        <f>IF(ISNA(B17),"",IF(ISBLANK(B17),"",TEXT(B17,"#,##0")))</f>
        <v>10,288</v>
      </c>
      <c r="C59" t="str">
        <f>IF(ISNA(C17),"",IF(ISBLANK(C17),"",TEXT(C17,"#,##0")))</f>
        <v>10,172</v>
      </c>
      <c r="D59" t="str">
        <f>IF(ISNA(D17),"",IF(ISBLANK(D17),"",TEXT(D17,"#,##0")))</f>
        <v>10,396</v>
      </c>
      <c r="E59" t="str">
        <f>IF(ISNA(E17),"",IF(ISBLANK(E17),"",TEXT(E17,"#,##0")))</f>
        <v>10,090</v>
      </c>
      <c r="F59" t="str">
        <f>IF(ISNA(F17),"",IF(ISBLANK(F17),"",TEXT(F17,"#,##0")))</f>
        <v>10,529</v>
      </c>
      <c r="G59" t="str">
        <f>IF(ISNA(G17),"",IF(ISBLANK(G17),"",TEXT(G17,"#,##0")))</f>
        <v>10,307</v>
      </c>
      <c r="H59" t="str">
        <f>IF(ISNA(H17),"",IF(ISBLANK(H17),"",TEXT(H17,"#,##0")))</f>
        <v>10,251</v>
      </c>
      <c r="I59" t="str">
        <f>IF(ISNA(I17),"",IF(ISBLANK(I17),"",TEXT(I17,"#,##0")))</f>
        <v>10,049</v>
      </c>
      <c r="J59" t="str">
        <f>IF(ISNA(J17),"",IF(ISBLANK(J17),"",TEXT(J17,"#,##0")))</f>
        <v>11,034</v>
      </c>
      <c r="K59" t="str">
        <f>IF(ISNA(K17),"",IF(ISBLANK(K17),"",TEXT(K17,"#,##0")))</f>
        <v>11,298</v>
      </c>
      <c r="L59" t="str">
        <f>IF(ISNA(L17),"",IF(ISBLANK(L17),"",TEXT(L17,"#,##0")))</f>
        <v>11,376</v>
      </c>
      <c r="M59" t="str">
        <f>IF(ISNA(M17),"",IF(ISBLANK(M17),"",TEXT(M17,"#,##0")))</f>
        <v>11,456</v>
      </c>
    </row>
    <row r="60" spans="1:13" hidden="1" x14ac:dyDescent="0.35"/>
  </sheetData>
  <mergeCells count="5">
    <mergeCell ref="A21:M21"/>
    <mergeCell ref="A22:M22"/>
    <mergeCell ref="B1:M1"/>
    <mergeCell ref="B6:M6"/>
    <mergeCell ref="B7:M7"/>
  </mergeCells>
  <printOptions horizontalCentered="1" verticalCentered="1"/>
  <pageMargins left="0.25" right="0.25" top="0.25" bottom="0.25" header="0.125" footer="0.125"/>
  <pageSetup scale="96"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8918-7286-463C-BEAF-8A20F5D0FC50}">
  <sheetPr>
    <pageSetUpPr fitToPage="1"/>
  </sheetPr>
  <dimension ref="A1:U66"/>
  <sheetViews>
    <sheetView showGridLines="0" workbookViewId="0"/>
  </sheetViews>
  <sheetFormatPr defaultRowHeight="14.5" x14ac:dyDescent="0.35"/>
  <cols>
    <col min="1" max="1" width="17.6328125" customWidth="1"/>
    <col min="2" max="22" width="6.81640625" customWidth="1"/>
  </cols>
  <sheetData>
    <row r="1" spans="1:21" ht="72.5" customHeight="1" x14ac:dyDescent="0.35">
      <c r="A1" s="16" t="s">
        <v>75</v>
      </c>
      <c r="B1" s="18" t="s">
        <v>76</v>
      </c>
      <c r="C1" s="18"/>
      <c r="D1" s="18"/>
      <c r="E1" s="18"/>
      <c r="F1" s="18"/>
      <c r="G1" s="18"/>
      <c r="H1" s="18"/>
      <c r="I1" s="18"/>
      <c r="J1" s="18"/>
      <c r="K1" s="18"/>
      <c r="L1" s="18"/>
      <c r="M1" s="18"/>
      <c r="N1" s="18"/>
      <c r="O1" s="18"/>
      <c r="P1" s="18"/>
      <c r="Q1" s="18"/>
      <c r="R1" s="18"/>
      <c r="S1" s="18"/>
      <c r="T1" s="18"/>
      <c r="U1" s="18"/>
    </row>
    <row r="2" spans="1:21" ht="130.5" customHeight="1" x14ac:dyDescent="0.35">
      <c r="A2" s="16" t="s">
        <v>77</v>
      </c>
      <c r="B2" s="18" t="s">
        <v>250</v>
      </c>
      <c r="C2" s="18"/>
      <c r="D2" s="18"/>
      <c r="E2" s="18"/>
      <c r="F2" s="18"/>
      <c r="G2" s="18"/>
      <c r="H2" s="18"/>
      <c r="I2" s="18"/>
      <c r="J2" s="18"/>
      <c r="K2" s="18"/>
      <c r="L2" s="18"/>
      <c r="M2" s="18"/>
      <c r="N2" s="18"/>
      <c r="O2" s="18"/>
      <c r="P2" s="18"/>
      <c r="Q2" s="18"/>
      <c r="R2" s="18"/>
      <c r="S2" s="18"/>
      <c r="T2" s="18"/>
      <c r="U2" s="18"/>
    </row>
    <row r="3" spans="1:21" x14ac:dyDescent="0.35">
      <c r="A3" s="16" t="s">
        <v>79</v>
      </c>
      <c r="B3" s="27" t="s">
        <v>80</v>
      </c>
    </row>
    <row r="4" spans="1:21" ht="29" x14ac:dyDescent="0.35">
      <c r="A4" s="16" t="s">
        <v>81</v>
      </c>
      <c r="B4" s="27" t="s">
        <v>251</v>
      </c>
    </row>
    <row r="5" spans="1:21" x14ac:dyDescent="0.35">
      <c r="A5" s="16" t="s">
        <v>83</v>
      </c>
      <c r="B5" s="27" t="s">
        <v>31</v>
      </c>
    </row>
    <row r="6" spans="1:21" ht="409.5" customHeight="1" x14ac:dyDescent="0.35">
      <c r="A6" s="16" t="s">
        <v>84</v>
      </c>
      <c r="B6" s="18" t="s">
        <v>252</v>
      </c>
      <c r="C6" s="18"/>
      <c r="D6" s="18"/>
      <c r="E6" s="18"/>
      <c r="F6" s="18"/>
      <c r="G6" s="18"/>
      <c r="H6" s="18"/>
      <c r="I6" s="18"/>
      <c r="J6" s="18"/>
      <c r="K6" s="18"/>
      <c r="L6" s="18"/>
      <c r="M6" s="18"/>
      <c r="N6" s="18"/>
      <c r="O6" s="18"/>
      <c r="P6" s="18"/>
      <c r="Q6" s="18"/>
      <c r="R6" s="18"/>
      <c r="S6" s="18"/>
      <c r="T6" s="18"/>
      <c r="U6" s="18"/>
    </row>
    <row r="7" spans="1:21" ht="145" customHeight="1" x14ac:dyDescent="0.35">
      <c r="A7" s="16" t="s">
        <v>86</v>
      </c>
      <c r="B7" s="19" t="str">
        <f>B2&amp;IF(B3="",""," in "&amp;B3)</f>
        <v>Loss and loss adjustment expense reserves, net in $m</v>
      </c>
      <c r="C7" s="19"/>
      <c r="D7" s="19"/>
      <c r="E7" s="19"/>
      <c r="F7" s="19"/>
      <c r="G7" s="19"/>
      <c r="H7" s="19"/>
      <c r="I7" s="19"/>
      <c r="J7" s="19"/>
      <c r="K7" s="19"/>
      <c r="L7" s="19"/>
      <c r="M7" s="19"/>
      <c r="N7" s="19"/>
      <c r="O7" s="19"/>
      <c r="P7" s="19"/>
      <c r="Q7" s="19"/>
      <c r="R7" s="19"/>
      <c r="S7" s="19"/>
      <c r="T7" s="19"/>
      <c r="U7" s="19"/>
    </row>
    <row r="9" spans="1:21" x14ac:dyDescent="0.35">
      <c r="B9" s="21" t="s">
        <v>253</v>
      </c>
      <c r="C9" s="21" t="s">
        <v>255</v>
      </c>
      <c r="D9" s="21" t="s">
        <v>256</v>
      </c>
      <c r="E9" s="21" t="s">
        <v>257</v>
      </c>
      <c r="F9" s="21" t="s">
        <v>253</v>
      </c>
      <c r="G9" s="21" t="s">
        <v>255</v>
      </c>
      <c r="H9" s="21" t="s">
        <v>256</v>
      </c>
      <c r="I9" s="21" t="s">
        <v>257</v>
      </c>
      <c r="J9" s="21" t="s">
        <v>253</v>
      </c>
      <c r="K9" s="21" t="s">
        <v>255</v>
      </c>
      <c r="L9" s="21" t="s">
        <v>256</v>
      </c>
      <c r="M9" s="21" t="s">
        <v>257</v>
      </c>
      <c r="N9" s="21" t="s">
        <v>253</v>
      </c>
      <c r="O9" s="21" t="s">
        <v>255</v>
      </c>
      <c r="P9" s="21" t="s">
        <v>256</v>
      </c>
      <c r="Q9" s="21" t="s">
        <v>257</v>
      </c>
      <c r="R9" s="21" t="s">
        <v>253</v>
      </c>
      <c r="S9" s="21" t="s">
        <v>255</v>
      </c>
      <c r="T9" s="21" t="s">
        <v>256</v>
      </c>
      <c r="U9" s="21" t="s">
        <v>257</v>
      </c>
    </row>
    <row r="10" spans="1:21" x14ac:dyDescent="0.35">
      <c r="B10" s="21" t="s">
        <v>254</v>
      </c>
      <c r="C10" s="21" t="s">
        <v>254</v>
      </c>
      <c r="D10" s="21" t="s">
        <v>254</v>
      </c>
      <c r="E10" s="21" t="s">
        <v>254</v>
      </c>
      <c r="F10" s="21" t="s">
        <v>108</v>
      </c>
      <c r="G10" s="21" t="s">
        <v>108</v>
      </c>
      <c r="H10" s="21" t="s">
        <v>108</v>
      </c>
      <c r="I10" s="21" t="s">
        <v>108</v>
      </c>
      <c r="J10" s="21" t="s">
        <v>115</v>
      </c>
      <c r="K10" s="21" t="s">
        <v>115</v>
      </c>
      <c r="L10" s="21" t="s">
        <v>115</v>
      </c>
      <c r="M10" s="21" t="s">
        <v>115</v>
      </c>
      <c r="N10" s="21" t="s">
        <v>258</v>
      </c>
      <c r="O10" s="21" t="s">
        <v>258</v>
      </c>
      <c r="P10" s="21" t="s">
        <v>258</v>
      </c>
      <c r="Q10" s="21" t="s">
        <v>258</v>
      </c>
      <c r="R10" s="21" t="s">
        <v>259</v>
      </c>
      <c r="S10" s="21" t="s">
        <v>259</v>
      </c>
      <c r="T10" s="21" t="s">
        <v>259</v>
      </c>
      <c r="U10" s="21" t="s">
        <v>259</v>
      </c>
    </row>
    <row r="11" spans="1:21" x14ac:dyDescent="0.35">
      <c r="B11" s="58" t="s">
        <v>17</v>
      </c>
      <c r="C11" s="58" t="s">
        <v>17</v>
      </c>
      <c r="D11" s="58" t="s">
        <v>17</v>
      </c>
      <c r="E11" s="58" t="s">
        <v>17</v>
      </c>
      <c r="F11" s="58" t="s">
        <v>17</v>
      </c>
      <c r="G11" s="58" t="s">
        <v>17</v>
      </c>
      <c r="H11" s="58" t="s">
        <v>17</v>
      </c>
      <c r="I11" s="58" t="s">
        <v>17</v>
      </c>
      <c r="J11" s="58" t="s">
        <v>17</v>
      </c>
      <c r="K11" s="58" t="s">
        <v>17</v>
      </c>
      <c r="L11" s="58" t="s">
        <v>26</v>
      </c>
      <c r="M11" s="58" t="s">
        <v>26</v>
      </c>
      <c r="N11" s="58" t="s">
        <v>31</v>
      </c>
      <c r="O11" s="58" t="s">
        <v>31</v>
      </c>
      <c r="P11" s="58" t="s">
        <v>31</v>
      </c>
      <c r="Q11" s="58" t="s">
        <v>31</v>
      </c>
      <c r="R11" s="58" t="s">
        <v>31</v>
      </c>
      <c r="S11" s="58" t="s">
        <v>31</v>
      </c>
      <c r="T11" s="58" t="s">
        <v>31</v>
      </c>
      <c r="U11" s="58" t="s">
        <v>31</v>
      </c>
    </row>
    <row r="12" spans="1:21" x14ac:dyDescent="0.35">
      <c r="A12" s="20" t="s">
        <v>260</v>
      </c>
      <c r="B12" s="23">
        <v>10972</v>
      </c>
      <c r="C12" s="23">
        <v>12595</v>
      </c>
      <c r="D12" s="23">
        <v>12510</v>
      </c>
      <c r="E12" s="23">
        <v>12983</v>
      </c>
      <c r="F12" s="23">
        <v>12804</v>
      </c>
      <c r="G12" s="23">
        <v>13605</v>
      </c>
      <c r="H12" s="23">
        <v>13445</v>
      </c>
      <c r="I12" s="23">
        <v>14105</v>
      </c>
      <c r="J12" s="23">
        <v>13827</v>
      </c>
      <c r="K12" s="23">
        <v>14572</v>
      </c>
      <c r="L12" s="23">
        <v>15876</v>
      </c>
      <c r="M12" s="23">
        <v>16240</v>
      </c>
      <c r="N12" s="23">
        <v>16612</v>
      </c>
      <c r="O12" s="23">
        <v>16993</v>
      </c>
      <c r="P12" s="23">
        <v>17382</v>
      </c>
      <c r="Q12" s="23">
        <v>17781</v>
      </c>
      <c r="R12" s="23">
        <v>18188</v>
      </c>
      <c r="S12" s="23">
        <v>18605</v>
      </c>
      <c r="T12" s="23">
        <v>19032</v>
      </c>
      <c r="U12" s="23">
        <v>19468</v>
      </c>
    </row>
    <row r="13" spans="1:21" x14ac:dyDescent="0.35">
      <c r="A13" s="20" t="s">
        <v>261</v>
      </c>
      <c r="B13" s="23">
        <v>10393</v>
      </c>
      <c r="C13" s="23">
        <v>10684</v>
      </c>
      <c r="D13" s="23">
        <v>11084</v>
      </c>
      <c r="E13" s="23">
        <v>11929</v>
      </c>
      <c r="F13" s="23">
        <v>11685</v>
      </c>
      <c r="G13" s="23">
        <v>12040</v>
      </c>
      <c r="H13" s="23">
        <v>12407</v>
      </c>
      <c r="I13" s="23">
        <v>12894</v>
      </c>
      <c r="J13" s="23">
        <v>12701</v>
      </c>
      <c r="K13" s="23">
        <v>13300</v>
      </c>
      <c r="L13" s="23">
        <v>14557</v>
      </c>
      <c r="M13" s="23">
        <v>14891</v>
      </c>
      <c r="N13" s="23">
        <v>15232</v>
      </c>
      <c r="O13" s="23">
        <v>15582</v>
      </c>
      <c r="P13" s="23">
        <v>15938</v>
      </c>
      <c r="Q13" s="23">
        <v>16304</v>
      </c>
      <c r="R13" s="23">
        <v>16677</v>
      </c>
      <c r="S13" s="23">
        <v>17060</v>
      </c>
      <c r="T13" s="23">
        <v>17451</v>
      </c>
      <c r="U13" s="23">
        <v>17851</v>
      </c>
    </row>
    <row r="14" spans="1:21" x14ac:dyDescent="0.35">
      <c r="A14" s="20" t="s">
        <v>262</v>
      </c>
      <c r="B14" s="22">
        <f>B12-B13</f>
        <v>579</v>
      </c>
      <c r="C14" s="22">
        <f>C12-C13</f>
        <v>1911</v>
      </c>
      <c r="D14" s="22">
        <f>D12-D13</f>
        <v>1426</v>
      </c>
      <c r="E14" s="22">
        <f>E12-E13</f>
        <v>1054</v>
      </c>
      <c r="F14" s="22">
        <f>F12-F13</f>
        <v>1119</v>
      </c>
      <c r="G14" s="22">
        <f>G12-G13</f>
        <v>1565</v>
      </c>
      <c r="H14" s="22">
        <f>H12-H13</f>
        <v>1038</v>
      </c>
      <c r="I14" s="22">
        <f>I12-I13</f>
        <v>1211</v>
      </c>
      <c r="J14" s="22">
        <f>J12-J13</f>
        <v>1126</v>
      </c>
      <c r="K14" s="22">
        <f>K12-K13</f>
        <v>1272</v>
      </c>
      <c r="L14" s="22">
        <f>L12-L13</f>
        <v>1319</v>
      </c>
      <c r="M14" s="22">
        <f>M12-M13</f>
        <v>1349</v>
      </c>
      <c r="N14" s="22">
        <f>N12-N13</f>
        <v>1380</v>
      </c>
      <c r="O14" s="22">
        <f>O12-O13</f>
        <v>1411</v>
      </c>
      <c r="P14" s="22">
        <f>P12-P13</f>
        <v>1444</v>
      </c>
      <c r="Q14" s="22">
        <f>Q12-Q13</f>
        <v>1477</v>
      </c>
      <c r="R14" s="22">
        <f>R12-R13</f>
        <v>1511</v>
      </c>
      <c r="S14" s="22">
        <f>S12-S13</f>
        <v>1545</v>
      </c>
      <c r="T14" s="22">
        <f>T12-T13</f>
        <v>1581</v>
      </c>
      <c r="U14" s="22">
        <f>U12-U13</f>
        <v>1617</v>
      </c>
    </row>
    <row r="15" spans="1:21" x14ac:dyDescent="0.35">
      <c r="A15" s="23">
        <v>29600</v>
      </c>
      <c r="B15" s="22">
        <f>$A$15+SUM(B14:B14)</f>
        <v>30179</v>
      </c>
      <c r="C15" s="22">
        <f>$A$15+SUM(B14:C14)</f>
        <v>32090</v>
      </c>
      <c r="D15" s="22">
        <f>$A$15+SUM(B14:D14)</f>
        <v>33516</v>
      </c>
      <c r="E15" s="22">
        <f>$A$15+SUM(B14:E14)</f>
        <v>34570</v>
      </c>
      <c r="F15" s="22">
        <f>$A$15+SUM(B14:F14)</f>
        <v>35689</v>
      </c>
      <c r="G15" s="22">
        <f>$A$15+SUM(B14:G14)</f>
        <v>37254</v>
      </c>
      <c r="H15" s="22">
        <f>$A$15+SUM(B14:H14)</f>
        <v>38292</v>
      </c>
      <c r="I15" s="22">
        <f>$A$15+SUM(B14:I14)</f>
        <v>39503</v>
      </c>
      <c r="J15" s="22">
        <f>$A$15+SUM(B14:J14)</f>
        <v>40629</v>
      </c>
      <c r="K15" s="22">
        <f>$A$15+SUM(B14:K14)</f>
        <v>41901</v>
      </c>
      <c r="L15" s="22">
        <f>$A$15+SUM(B14:L14)</f>
        <v>43220</v>
      </c>
      <c r="M15" s="22">
        <f>$A$15+SUM(B14:M14)</f>
        <v>44569</v>
      </c>
      <c r="N15" s="22">
        <f>$A$15+SUM(B14:N14)</f>
        <v>45949</v>
      </c>
      <c r="O15" s="22">
        <f>$A$15+SUM(B14:O14)</f>
        <v>47360</v>
      </c>
      <c r="P15" s="22">
        <f>$A$15+SUM(B14:P14)</f>
        <v>48804</v>
      </c>
      <c r="Q15" s="22">
        <f>$A$15+SUM(B14:Q14)</f>
        <v>50281</v>
      </c>
      <c r="R15" s="22">
        <f>$A$15+SUM(B14:R14)</f>
        <v>51792</v>
      </c>
      <c r="S15" s="22">
        <f>$A$15+SUM(B14:S14)</f>
        <v>53337</v>
      </c>
      <c r="T15" s="22">
        <f>$A$15+SUM(B14:T14)</f>
        <v>54918</v>
      </c>
      <c r="U15" s="22">
        <f>$A$15+SUM(B14:U14)</f>
        <v>56535</v>
      </c>
    </row>
    <row r="16" spans="1:21" x14ac:dyDescent="0.35">
      <c r="A16" s="58" t="s">
        <v>263</v>
      </c>
      <c r="B16" s="22">
        <f>B15</f>
        <v>30179</v>
      </c>
      <c r="C16" s="22">
        <f>C15</f>
        <v>32090</v>
      </c>
      <c r="D16" s="22">
        <f>D15</f>
        <v>33516</v>
      </c>
      <c r="E16" s="22">
        <f>E15</f>
        <v>34570</v>
      </c>
      <c r="F16" s="22">
        <f>F15</f>
        <v>35689</v>
      </c>
      <c r="G16" s="22">
        <f>G15</f>
        <v>37254</v>
      </c>
      <c r="H16" s="22">
        <f>H15</f>
        <v>38292</v>
      </c>
      <c r="I16" s="22">
        <f>I15</f>
        <v>39503</v>
      </c>
      <c r="J16" s="22">
        <f>J15</f>
        <v>40629</v>
      </c>
      <c r="K16" s="22">
        <f>K15</f>
        <v>41901</v>
      </c>
      <c r="L16" s="22">
        <f>L15</f>
        <v>43220</v>
      </c>
      <c r="M16" t="e">
        <f>NA()</f>
        <v>#N/A</v>
      </c>
      <c r="N16" t="e">
        <f>NA()</f>
        <v>#N/A</v>
      </c>
      <c r="O16" t="e">
        <f>NA()</f>
        <v>#N/A</v>
      </c>
      <c r="P16" t="e">
        <f>NA()</f>
        <v>#N/A</v>
      </c>
      <c r="Q16" t="e">
        <f>NA()</f>
        <v>#N/A</v>
      </c>
      <c r="R16" t="e">
        <f>NA()</f>
        <v>#N/A</v>
      </c>
      <c r="S16" t="e">
        <f>NA()</f>
        <v>#N/A</v>
      </c>
      <c r="T16" t="e">
        <f>NA()</f>
        <v>#N/A</v>
      </c>
      <c r="U16" t="e">
        <f>NA()</f>
        <v>#N/A</v>
      </c>
    </row>
    <row r="17" spans="1:21" x14ac:dyDescent="0.35">
      <c r="A17" s="58" t="s">
        <v>264</v>
      </c>
      <c r="B17" t="e">
        <f>NA()</f>
        <v>#N/A</v>
      </c>
      <c r="C17" t="e">
        <f>NA()</f>
        <v>#N/A</v>
      </c>
      <c r="D17" t="e">
        <f>NA()</f>
        <v>#N/A</v>
      </c>
      <c r="E17" t="e">
        <f>NA()</f>
        <v>#N/A</v>
      </c>
      <c r="F17" t="e">
        <f>NA()</f>
        <v>#N/A</v>
      </c>
      <c r="G17" t="e">
        <f>NA()</f>
        <v>#N/A</v>
      </c>
      <c r="H17" t="e">
        <f>NA()</f>
        <v>#N/A</v>
      </c>
      <c r="I17" t="e">
        <f>NA()</f>
        <v>#N/A</v>
      </c>
      <c r="J17" t="e">
        <f>NA()</f>
        <v>#N/A</v>
      </c>
      <c r="K17" t="e">
        <f>NA()</f>
        <v>#N/A</v>
      </c>
      <c r="L17" s="22">
        <f>L15</f>
        <v>43220</v>
      </c>
      <c r="M17" s="22">
        <f>M15</f>
        <v>44569</v>
      </c>
      <c r="N17" s="22">
        <f>N15</f>
        <v>45949</v>
      </c>
      <c r="O17" t="e">
        <f>NA()</f>
        <v>#N/A</v>
      </c>
      <c r="P17" t="e">
        <f>NA()</f>
        <v>#N/A</v>
      </c>
      <c r="Q17" t="e">
        <f>NA()</f>
        <v>#N/A</v>
      </c>
      <c r="R17" t="e">
        <f>NA()</f>
        <v>#N/A</v>
      </c>
      <c r="S17" t="e">
        <f>NA()</f>
        <v>#N/A</v>
      </c>
      <c r="T17" t="e">
        <f>NA()</f>
        <v>#N/A</v>
      </c>
      <c r="U17" t="e">
        <f>NA()</f>
        <v>#N/A</v>
      </c>
    </row>
    <row r="18" spans="1:21" x14ac:dyDescent="0.35">
      <c r="A18" s="58" t="s">
        <v>265</v>
      </c>
      <c r="B18" t="e">
        <f>NA()</f>
        <v>#N/A</v>
      </c>
      <c r="C18" t="e">
        <f>NA()</f>
        <v>#N/A</v>
      </c>
      <c r="D18" t="e">
        <f>NA()</f>
        <v>#N/A</v>
      </c>
      <c r="E18" t="e">
        <f>NA()</f>
        <v>#N/A</v>
      </c>
      <c r="F18" t="e">
        <f>NA()</f>
        <v>#N/A</v>
      </c>
      <c r="G18" t="e">
        <f>NA()</f>
        <v>#N/A</v>
      </c>
      <c r="H18" t="e">
        <f>NA()</f>
        <v>#N/A</v>
      </c>
      <c r="I18" t="e">
        <f>NA()</f>
        <v>#N/A</v>
      </c>
      <c r="J18" t="e">
        <f>NA()</f>
        <v>#N/A</v>
      </c>
      <c r="K18" t="e">
        <f>NA()</f>
        <v>#N/A</v>
      </c>
      <c r="L18" t="e">
        <f>NA()</f>
        <v>#N/A</v>
      </c>
      <c r="M18" t="e">
        <f>NA()</f>
        <v>#N/A</v>
      </c>
      <c r="N18" s="22">
        <f>N15</f>
        <v>45949</v>
      </c>
      <c r="O18" s="22">
        <f>O15</f>
        <v>47360</v>
      </c>
      <c r="P18" s="22">
        <f>P15</f>
        <v>48804</v>
      </c>
      <c r="Q18" s="22">
        <f>Q15</f>
        <v>50281</v>
      </c>
      <c r="R18" s="22">
        <f>R15</f>
        <v>51792</v>
      </c>
      <c r="S18" s="22">
        <f>S15</f>
        <v>53337</v>
      </c>
      <c r="T18" s="22">
        <f>T15</f>
        <v>54918</v>
      </c>
      <c r="U18" s="22">
        <f>U15</f>
        <v>56535</v>
      </c>
    </row>
    <row r="19" spans="1:21" x14ac:dyDescent="0.35">
      <c r="A19" s="58" t="s">
        <v>266</v>
      </c>
      <c r="B19" s="22">
        <f>-B13</f>
        <v>-10393</v>
      </c>
      <c r="C19" s="22">
        <f>-C13</f>
        <v>-10684</v>
      </c>
      <c r="D19" s="22">
        <f>-D13</f>
        <v>-11084</v>
      </c>
      <c r="E19" s="22">
        <f>-E13</f>
        <v>-11929</v>
      </c>
      <c r="F19" s="22">
        <f>-F13</f>
        <v>-11685</v>
      </c>
      <c r="G19" s="22">
        <f>-G13</f>
        <v>-12040</v>
      </c>
      <c r="H19" s="22">
        <f>-H13</f>
        <v>-12407</v>
      </c>
      <c r="I19" s="22">
        <f>-I13</f>
        <v>-12894</v>
      </c>
      <c r="J19" s="22">
        <f>-J13</f>
        <v>-12701</v>
      </c>
      <c r="K19" s="22">
        <f>-K13</f>
        <v>-13300</v>
      </c>
      <c r="L19" s="22">
        <f>-L13</f>
        <v>-14557</v>
      </c>
      <c r="M19" s="22">
        <f>-M13</f>
        <v>-14891</v>
      </c>
      <c r="N19" s="22">
        <f>-N13</f>
        <v>-15232</v>
      </c>
      <c r="O19" s="22">
        <f>-O13</f>
        <v>-15582</v>
      </c>
      <c r="P19" s="22">
        <f>-P13</f>
        <v>-15938</v>
      </c>
      <c r="Q19" s="22">
        <f>-Q13</f>
        <v>-16304</v>
      </c>
      <c r="R19" s="22">
        <f>-R13</f>
        <v>-16677</v>
      </c>
      <c r="S19" s="22">
        <f>-S13</f>
        <v>-17060</v>
      </c>
      <c r="T19" s="22">
        <f>-T13</f>
        <v>-17451</v>
      </c>
      <c r="U19" s="22">
        <f>-U13</f>
        <v>-17851</v>
      </c>
    </row>
    <row r="21" spans="1:21" x14ac:dyDescent="0.35">
      <c r="A21" t="s">
        <v>106</v>
      </c>
      <c r="B21" s="26">
        <f>MAX(_xlfn.AGGREGATE(4,6,B16:U16,B17:U17,B18:U18,B12:U12,B19:U19),-_xlfn.AGGREGATE(5,6,B16:U16,B17:U17,B18:U18,B12:U12,B19:U19),0.000000001)</f>
        <v>56535</v>
      </c>
    </row>
    <row r="23" spans="1:21" ht="36" customHeight="1" x14ac:dyDescent="0.35">
      <c r="A23" s="40" t="s">
        <v>274</v>
      </c>
      <c r="B23" s="41"/>
      <c r="C23" s="41"/>
      <c r="D23" s="41"/>
      <c r="E23" s="41"/>
      <c r="F23" s="41"/>
      <c r="G23" s="41"/>
      <c r="H23" s="41"/>
      <c r="I23" s="41"/>
      <c r="J23" s="41"/>
      <c r="K23" s="41"/>
      <c r="L23" s="41"/>
      <c r="M23" s="41"/>
      <c r="N23" s="41"/>
      <c r="O23" s="41"/>
      <c r="P23" s="41"/>
      <c r="Q23" s="41"/>
      <c r="R23" s="41"/>
      <c r="S23" s="41"/>
      <c r="T23" s="41"/>
      <c r="U23" s="41"/>
    </row>
    <row r="24" spans="1:21" ht="24" customHeight="1" x14ac:dyDescent="0.35">
      <c r="A24" s="40" t="s">
        <v>275</v>
      </c>
      <c r="B24" s="41"/>
      <c r="C24" s="41"/>
      <c r="D24" s="41"/>
      <c r="E24" s="41"/>
      <c r="F24" s="41"/>
      <c r="G24" s="41"/>
      <c r="H24" s="41"/>
      <c r="I24" s="41"/>
      <c r="J24" s="41"/>
      <c r="K24" s="41"/>
      <c r="L24" s="41"/>
      <c r="M24" s="41"/>
      <c r="N24" s="41"/>
      <c r="O24" s="41"/>
      <c r="P24" s="41"/>
      <c r="Q24" s="41"/>
      <c r="R24" s="41"/>
      <c r="S24" s="41"/>
      <c r="T24" s="41"/>
      <c r="U24" s="41"/>
    </row>
    <row r="25" spans="1:21" hidden="1" x14ac:dyDescent="0.35"/>
    <row r="26" spans="1:21" hidden="1" x14ac:dyDescent="0.35"/>
    <row r="27" spans="1:21" hidden="1" x14ac:dyDescent="0.35"/>
    <row r="28" spans="1:21" hidden="1" x14ac:dyDescent="0.35"/>
    <row r="29" spans="1:21" hidden="1" x14ac:dyDescent="0.35"/>
    <row r="30" spans="1:21" hidden="1" x14ac:dyDescent="0.35"/>
    <row r="31" spans="1:21" hidden="1" x14ac:dyDescent="0.35"/>
    <row r="32" spans="1:21" hidden="1" x14ac:dyDescent="0.35"/>
    <row r="33" spans="1:21" hidden="1" x14ac:dyDescent="0.35"/>
    <row r="34" spans="1:21" hidden="1" x14ac:dyDescent="0.35"/>
    <row r="35" spans="1:21" hidden="1" x14ac:dyDescent="0.35">
      <c r="A35" t="s">
        <v>270</v>
      </c>
      <c r="B35">
        <f>IF(ISNA(B12),NA(),IF(ISBLANK(B12),NA(),B12/$B$21))</f>
        <v>0.19407446714424692</v>
      </c>
      <c r="C35">
        <f>IF(ISNA(C12),NA(),IF(ISBLANK(C12),NA(),C12/$B$21))</f>
        <v>0.22278234721853718</v>
      </c>
      <c r="D35">
        <f>IF(ISNA(D12),NA(),IF(ISBLANK(D12),NA(),D12/$B$21))</f>
        <v>0.22127885380737597</v>
      </c>
      <c r="E35">
        <f>IF(ISNA(E12),NA(),IF(ISBLANK(E12),NA(),E12/$B$21))</f>
        <v>0.22964535243654374</v>
      </c>
      <c r="F35">
        <f>IF(ISNA(F12),NA(),IF(ISBLANK(F12),NA(),F12/$B$21))</f>
        <v>0.22647917219421598</v>
      </c>
      <c r="G35">
        <f>IF(ISNA(G12),NA(),IF(ISBLANK(G12),NA(),G12/$B$21))</f>
        <v>0.24064738657468823</v>
      </c>
      <c r="H35">
        <f>IF(ISNA(H12),NA(),IF(ISBLANK(H12),NA(),H12/$B$21))</f>
        <v>0.23781728133014945</v>
      </c>
      <c r="I35">
        <f>IF(ISNA(I12),NA(),IF(ISBLANK(I12),NA(),I12/$B$21))</f>
        <v>0.24949146546387194</v>
      </c>
      <c r="J35">
        <f>IF(ISNA(J12),NA(),IF(ISBLANK(J12),NA(),J12/$B$21))</f>
        <v>0.24457415760148579</v>
      </c>
      <c r="K35">
        <f>IF(ISNA(K12),NA(),IF(ISBLANK(K12),NA(),K12/$B$21))</f>
        <v>0.25775183514636951</v>
      </c>
      <c r="L35">
        <f>IF(ISNA(L12),NA(),IF(ISBLANK(L12),NA(),L12/$B$21))</f>
        <v>0.28081719288936058</v>
      </c>
      <c r="M35">
        <f>IF(ISNA(M12),NA(),IF(ISBLANK(M12),NA(),M12/$B$21))</f>
        <v>0.28725568232068632</v>
      </c>
      <c r="N35">
        <f>IF(ISNA(N12),NA(),IF(ISBLANK(N12),NA(),N12/$B$21))</f>
        <v>0.29383567701423896</v>
      </c>
      <c r="O35">
        <f>IF(ISNA(O12),NA(),IF(ISBLANK(O12),NA(),O12/$B$21))</f>
        <v>0.30057486512779696</v>
      </c>
      <c r="P35">
        <f>IF(ISNA(P12),NA(),IF(ISBLANK(P12),NA(),P12/$B$21))</f>
        <v>0.30745555850358186</v>
      </c>
      <c r="Q35">
        <f>IF(ISNA(Q12),NA(),IF(ISBLANK(Q12),NA(),Q12/$B$21))</f>
        <v>0.31451313345715043</v>
      </c>
      <c r="R35">
        <f>IF(ISNA(R12),NA(),IF(ISBLANK(R12),NA(),R12/$B$21))</f>
        <v>0.32171221367294595</v>
      </c>
      <c r="S35">
        <f>IF(ISNA(S12),NA(),IF(ISBLANK(S12),NA(),S12/$B$21))</f>
        <v>0.32908817546652513</v>
      </c>
      <c r="T35">
        <f>IF(ISNA(T12),NA(),IF(ISBLANK(T12),NA(),T12/$B$21))</f>
        <v>0.33664101883788805</v>
      </c>
      <c r="U35">
        <f>IF(ISNA(U12),NA(),IF(ISBLANK(U12),NA(),U12/$B$21))</f>
        <v>0.34435305562925622</v>
      </c>
    </row>
    <row r="36" spans="1:21" hidden="1" x14ac:dyDescent="0.35"/>
    <row r="37" spans="1:21" hidden="1" x14ac:dyDescent="0.35"/>
    <row r="38" spans="1:21" hidden="1" x14ac:dyDescent="0.35"/>
    <row r="39" spans="1:21" hidden="1" x14ac:dyDescent="0.35">
      <c r="A39" t="s">
        <v>267</v>
      </c>
      <c r="B39">
        <f>IF(ISNA(B16),NA(),IF(ISBLANK(B16),NA(),B16/$B$21))</f>
        <v>0.5338109135933492</v>
      </c>
      <c r="C39">
        <f>IF(ISNA(C16),NA(),IF(ISBLANK(C16),NA(),C16/$B$21))</f>
        <v>0.56761298310780928</v>
      </c>
      <c r="D39">
        <f>IF(ISNA(D16),NA(),IF(ISBLANK(D16),NA(),D16/$B$21))</f>
        <v>0.59283629609976118</v>
      </c>
      <c r="E39">
        <f>IF(ISNA(E16),NA(),IF(ISBLANK(E16),NA(),E16/$B$21))</f>
        <v>0.61147961439816045</v>
      </c>
      <c r="F39">
        <f>IF(ISNA(F16),NA(),IF(ISBLANK(F16),NA(),F16/$B$21))</f>
        <v>0.63127266295215356</v>
      </c>
      <c r="G39">
        <f>IF(ISNA(G16),NA(),IF(ISBLANK(G16),NA(),G16/$B$21))</f>
        <v>0.65895462987529851</v>
      </c>
      <c r="H39">
        <f>IF(ISNA(H16),NA(),IF(ISBLANK(H16),NA(),H16/$B$21))</f>
        <v>0.67731493764924389</v>
      </c>
      <c r="I39">
        <f>IF(ISNA(I16),NA(),IF(ISBLANK(I16),NA(),I16/$B$21))</f>
        <v>0.69873529671884671</v>
      </c>
      <c r="J39">
        <f>IF(ISNA(J16),NA(),IF(ISBLANK(J16),NA(),J16/$B$21))</f>
        <v>0.71865216237728835</v>
      </c>
      <c r="K39">
        <f>IF(ISNA(K16),NA(),IF(ISBLANK(K16),NA(),K16/$B$21))</f>
        <v>0.74115149907137168</v>
      </c>
      <c r="L39">
        <f>IF(ISNA(L16),NA(),IF(ISBLANK(L16),NA(),L16/$B$21))</f>
        <v>0.76448217918103833</v>
      </c>
      <c r="M39" t="e">
        <f>IF(ISNA(M16),NA(),IF(ISBLANK(M16),NA(),M16/$B$21))</f>
        <v>#N/A</v>
      </c>
      <c r="N39" t="e">
        <f>IF(ISNA(N16),NA(),IF(ISBLANK(N16),NA(),N16/$B$21))</f>
        <v>#N/A</v>
      </c>
      <c r="O39" t="e">
        <f>IF(ISNA(O16),NA(),IF(ISBLANK(O16),NA(),O16/$B$21))</f>
        <v>#N/A</v>
      </c>
      <c r="P39" t="e">
        <f>IF(ISNA(P16),NA(),IF(ISBLANK(P16),NA(),P16/$B$21))</f>
        <v>#N/A</v>
      </c>
      <c r="Q39" t="e">
        <f>IF(ISNA(Q16),NA(),IF(ISBLANK(Q16),NA(),Q16/$B$21))</f>
        <v>#N/A</v>
      </c>
      <c r="R39" t="e">
        <f>IF(ISNA(R16),NA(),IF(ISBLANK(R16),NA(),R16/$B$21))</f>
        <v>#N/A</v>
      </c>
      <c r="S39" t="e">
        <f>IF(ISNA(S16),NA(),IF(ISBLANK(S16),NA(),S16/$B$21))</f>
        <v>#N/A</v>
      </c>
      <c r="T39" t="e">
        <f>IF(ISNA(T16),NA(),IF(ISBLANK(T16),NA(),T16/$B$21))</f>
        <v>#N/A</v>
      </c>
      <c r="U39" t="e">
        <f>IF(ISNA(U16),NA(),IF(ISBLANK(U16),NA(),U16/$B$21))</f>
        <v>#N/A</v>
      </c>
    </row>
    <row r="40" spans="1:21" hidden="1" x14ac:dyDescent="0.35">
      <c r="A40" t="s">
        <v>268</v>
      </c>
      <c r="B40" t="e">
        <f>IF(ISNA(B17),NA(),IF(ISBLANK(B17),NA(),B17/$B$21))</f>
        <v>#N/A</v>
      </c>
      <c r="C40" t="e">
        <f>IF(ISNA(C17),NA(),IF(ISBLANK(C17),NA(),C17/$B$21))</f>
        <v>#N/A</v>
      </c>
      <c r="D40" t="e">
        <f>IF(ISNA(D17),NA(),IF(ISBLANK(D17),NA(),D17/$B$21))</f>
        <v>#N/A</v>
      </c>
      <c r="E40" t="e">
        <f>IF(ISNA(E17),NA(),IF(ISBLANK(E17),NA(),E17/$B$21))</f>
        <v>#N/A</v>
      </c>
      <c r="F40" t="e">
        <f>IF(ISNA(F17),NA(),IF(ISBLANK(F17),NA(),F17/$B$21))</f>
        <v>#N/A</v>
      </c>
      <c r="G40" t="e">
        <f>IF(ISNA(G17),NA(),IF(ISBLANK(G17),NA(),G17/$B$21))</f>
        <v>#N/A</v>
      </c>
      <c r="H40" t="e">
        <f>IF(ISNA(H17),NA(),IF(ISBLANK(H17),NA(),H17/$B$21))</f>
        <v>#N/A</v>
      </c>
      <c r="I40" t="e">
        <f>IF(ISNA(I17),NA(),IF(ISBLANK(I17),NA(),I17/$B$21))</f>
        <v>#N/A</v>
      </c>
      <c r="J40" t="e">
        <f>IF(ISNA(J17),NA(),IF(ISBLANK(J17),NA(),J17/$B$21))</f>
        <v>#N/A</v>
      </c>
      <c r="K40" t="e">
        <f>IF(ISNA(K17),NA(),IF(ISBLANK(K17),NA(),K17/$B$21))</f>
        <v>#N/A</v>
      </c>
      <c r="L40">
        <f>IF(ISNA(L17),NA(),IF(ISBLANK(L17),NA(),L17/$B$21))</f>
        <v>0.76448217918103833</v>
      </c>
      <c r="M40">
        <f>IF(ISNA(M17),NA(),IF(ISBLANK(M17),NA(),M17/$B$21))</f>
        <v>0.78834350402405584</v>
      </c>
      <c r="N40">
        <f>IF(ISNA(N17),NA(),IF(ISBLANK(N17),NA(),N17/$B$21))</f>
        <v>0.81275316175820289</v>
      </c>
      <c r="O40" t="e">
        <f>IF(ISNA(O17),NA(),IF(ISBLANK(O17),NA(),O17/$B$21))</f>
        <v>#N/A</v>
      </c>
      <c r="P40" t="e">
        <f>IF(ISNA(P17),NA(),IF(ISBLANK(P17),NA(),P17/$B$21))</f>
        <v>#N/A</v>
      </c>
      <c r="Q40" t="e">
        <f>IF(ISNA(Q17),NA(),IF(ISBLANK(Q17),NA(),Q17/$B$21))</f>
        <v>#N/A</v>
      </c>
      <c r="R40" t="e">
        <f>IF(ISNA(R17),NA(),IF(ISBLANK(R17),NA(),R17/$B$21))</f>
        <v>#N/A</v>
      </c>
      <c r="S40" t="e">
        <f>IF(ISNA(S17),NA(),IF(ISBLANK(S17),NA(),S17/$B$21))</f>
        <v>#N/A</v>
      </c>
      <c r="T40" t="e">
        <f>IF(ISNA(T17),NA(),IF(ISBLANK(T17),NA(),T17/$B$21))</f>
        <v>#N/A</v>
      </c>
      <c r="U40" t="e">
        <f>IF(ISNA(U17),NA(),IF(ISBLANK(U17),NA(),U17/$B$21))</f>
        <v>#N/A</v>
      </c>
    </row>
    <row r="41" spans="1:21" hidden="1" x14ac:dyDescent="0.35">
      <c r="A41" t="s">
        <v>269</v>
      </c>
      <c r="B41" t="e">
        <f>IF(ISNA(B18),NA(),IF(ISBLANK(B18),NA(),B18/$B$21))</f>
        <v>#N/A</v>
      </c>
      <c r="C41" t="e">
        <f>IF(ISNA(C18),NA(),IF(ISBLANK(C18),NA(),C18/$B$21))</f>
        <v>#N/A</v>
      </c>
      <c r="D41" t="e">
        <f>IF(ISNA(D18),NA(),IF(ISBLANK(D18),NA(),D18/$B$21))</f>
        <v>#N/A</v>
      </c>
      <c r="E41" t="e">
        <f>IF(ISNA(E18),NA(),IF(ISBLANK(E18),NA(),E18/$B$21))</f>
        <v>#N/A</v>
      </c>
      <c r="F41" t="e">
        <f>IF(ISNA(F18),NA(),IF(ISBLANK(F18),NA(),F18/$B$21))</f>
        <v>#N/A</v>
      </c>
      <c r="G41" t="e">
        <f>IF(ISNA(G18),NA(),IF(ISBLANK(G18),NA(),G18/$B$21))</f>
        <v>#N/A</v>
      </c>
      <c r="H41" t="e">
        <f>IF(ISNA(H18),NA(),IF(ISBLANK(H18),NA(),H18/$B$21))</f>
        <v>#N/A</v>
      </c>
      <c r="I41" t="e">
        <f>IF(ISNA(I18),NA(),IF(ISBLANK(I18),NA(),I18/$B$21))</f>
        <v>#N/A</v>
      </c>
      <c r="J41" t="e">
        <f>IF(ISNA(J18),NA(),IF(ISBLANK(J18),NA(),J18/$B$21))</f>
        <v>#N/A</v>
      </c>
      <c r="K41" t="e">
        <f>IF(ISNA(K18),NA(),IF(ISBLANK(K18),NA(),K18/$B$21))</f>
        <v>#N/A</v>
      </c>
      <c r="L41" t="e">
        <f>IF(ISNA(L18),NA(),IF(ISBLANK(L18),NA(),L18/$B$21))</f>
        <v>#N/A</v>
      </c>
      <c r="M41" t="e">
        <f>IF(ISNA(M18),NA(),IF(ISBLANK(M18),NA(),M18/$B$21))</f>
        <v>#N/A</v>
      </c>
      <c r="N41">
        <f>IF(ISNA(N18),NA(),IF(ISBLANK(N18),NA(),N18/$B$21))</f>
        <v>0.81275316175820289</v>
      </c>
      <c r="O41">
        <f>IF(ISNA(O18),NA(),IF(ISBLANK(O18),NA(),O18/$B$21))</f>
        <v>0.83771115238347926</v>
      </c>
      <c r="P41">
        <f>IF(ISNA(P18),NA(),IF(ISBLANK(P18),NA(),P18/$B$21))</f>
        <v>0.86325285221544179</v>
      </c>
      <c r="Q41">
        <f>IF(ISNA(Q18),NA(),IF(ISBLANK(Q18),NA(),Q18/$B$21))</f>
        <v>0.88937826125409036</v>
      </c>
      <c r="R41">
        <f>IF(ISNA(R18),NA(),IF(ISBLANK(R18),NA(),R18/$B$21))</f>
        <v>0.91610506765720345</v>
      </c>
      <c r="S41">
        <f>IF(ISNA(S18),NA(),IF(ISBLANK(S18),NA(),S18/$B$21))</f>
        <v>0.94343327142478106</v>
      </c>
      <c r="T41">
        <f>IF(ISNA(T18),NA(),IF(ISBLANK(T18),NA(),T18/$B$21))</f>
        <v>0.97139824887237991</v>
      </c>
      <c r="U41">
        <f>IF(ISNA(U18),NA(),IF(ISBLANK(U18),NA(),U18/$B$21))</f>
        <v>1</v>
      </c>
    </row>
    <row r="42" spans="1:21" hidden="1" x14ac:dyDescent="0.35">
      <c r="A42" t="s">
        <v>272</v>
      </c>
      <c r="B42">
        <f>IF(ISNA(B19),NA(),IF(ISBLANK(B19),NA(),B19/$B$21))</f>
        <v>-0.1838330237905722</v>
      </c>
      <c r="C42">
        <f>IF(ISNA(C19),NA(),IF(ISBLANK(C19),NA(),C19/$B$21))</f>
        <v>-0.18898027770407713</v>
      </c>
      <c r="D42">
        <f>IF(ISNA(D19),NA(),IF(ISBLANK(D19),NA(),D19/$B$21))</f>
        <v>-0.19605554081542406</v>
      </c>
      <c r="E42">
        <f>IF(ISNA(E19),NA(),IF(ISBLANK(E19),NA(),E19/$B$21))</f>
        <v>-0.2110020341381445</v>
      </c>
      <c r="F42">
        <f>IF(ISNA(F19),NA(),IF(ISBLANK(F19),NA(),F19/$B$21))</f>
        <v>-0.20668612364022287</v>
      </c>
      <c r="G42">
        <f>IF(ISNA(G19),NA(),IF(ISBLANK(G19),NA(),G19/$B$21))</f>
        <v>-0.21296541965154328</v>
      </c>
      <c r="H42">
        <f>IF(ISNA(H19),NA(),IF(ISBLANK(H19),NA(),H19/$B$21))</f>
        <v>-0.21945697355620411</v>
      </c>
      <c r="I42">
        <f>IF(ISNA(I19),NA(),IF(ISBLANK(I19),NA(),I19/$B$21))</f>
        <v>-0.22807110639426903</v>
      </c>
      <c r="J42">
        <f>IF(ISNA(J19),NA(),IF(ISBLANK(J19),NA(),J19/$B$21))</f>
        <v>-0.22465729194304412</v>
      </c>
      <c r="K42">
        <f>IF(ISNA(K19),NA(),IF(ISBLANK(K19),NA(),K19/$B$21))</f>
        <v>-0.23525249845228619</v>
      </c>
      <c r="L42">
        <f>IF(ISNA(L19),NA(),IF(ISBLANK(L19),NA(),L19/$B$21))</f>
        <v>-0.25748651277969398</v>
      </c>
      <c r="M42">
        <f>IF(ISNA(M19),NA(),IF(ISBLANK(M19),NA(),M19/$B$21))</f>
        <v>-0.26339435747766871</v>
      </c>
      <c r="N42">
        <f>IF(ISNA(N19),NA(),IF(ISBLANK(N19),NA(),N19/$B$21))</f>
        <v>-0.26942601928009197</v>
      </c>
      <c r="O42">
        <f>IF(ISNA(O19),NA(),IF(ISBLANK(O19),NA(),O19/$B$21))</f>
        <v>-0.27561687450252054</v>
      </c>
      <c r="P42">
        <f>IF(ISNA(P19),NA(),IF(ISBLANK(P19),NA(),P19/$B$21))</f>
        <v>-0.28191385867161933</v>
      </c>
      <c r="Q42">
        <f>IF(ISNA(Q19),NA(),IF(ISBLANK(Q19),NA(),Q19/$B$21))</f>
        <v>-0.2883877244185018</v>
      </c>
      <c r="R42">
        <f>IF(ISNA(R19),NA(),IF(ISBLANK(R19),NA(),R19/$B$21))</f>
        <v>-0.29498540726983286</v>
      </c>
      <c r="S42">
        <f>IF(ISNA(S19),NA(),IF(ISBLANK(S19),NA(),S19/$B$21))</f>
        <v>-0.30175997169894758</v>
      </c>
      <c r="T42">
        <f>IF(ISNA(T19),NA(),IF(ISBLANK(T19),NA(),T19/$B$21))</f>
        <v>-0.3086760413902892</v>
      </c>
      <c r="U42">
        <f>IF(ISNA(U19),NA(),IF(ISBLANK(U19),NA(),U19/$B$21))</f>
        <v>-0.31575130450163613</v>
      </c>
    </row>
    <row r="43" spans="1:21" hidden="1" x14ac:dyDescent="0.35"/>
    <row r="44" spans="1:21" hidden="1" x14ac:dyDescent="0.35"/>
    <row r="45" spans="1:21" hidden="1" x14ac:dyDescent="0.35"/>
    <row r="46" spans="1:21" hidden="1" x14ac:dyDescent="0.35"/>
    <row r="47" spans="1:21" hidden="1" x14ac:dyDescent="0.35"/>
    <row r="48" spans="1:21" hidden="1" x14ac:dyDescent="0.35"/>
    <row r="49" spans="1:21" hidden="1" x14ac:dyDescent="0.35"/>
    <row r="50" spans="1:21" hidden="1" x14ac:dyDescent="0.35"/>
    <row r="51" spans="1:21" hidden="1" x14ac:dyDescent="0.35"/>
    <row r="52" spans="1:21" hidden="1" x14ac:dyDescent="0.35"/>
    <row r="53" spans="1:21" hidden="1" x14ac:dyDescent="0.35"/>
    <row r="54" spans="1:21" hidden="1" x14ac:dyDescent="0.35"/>
    <row r="55" spans="1:21" hidden="1" x14ac:dyDescent="0.35"/>
    <row r="56" spans="1:21" hidden="1" x14ac:dyDescent="0.35"/>
    <row r="57" spans="1:21" hidden="1" x14ac:dyDescent="0.35"/>
    <row r="58" spans="1:21" hidden="1" x14ac:dyDescent="0.35">
      <c r="A58" t="s">
        <v>271</v>
      </c>
      <c r="B58" t="str">
        <f>IF(ISNA(B12),"",IF(ISBLANK(B12),"",TEXT(B12,"0")))</f>
        <v>10972</v>
      </c>
      <c r="C58" t="str">
        <f>IF(ISNA(C12),"",IF(ISBLANK(C12),"",TEXT(C12,"0")))</f>
        <v>12595</v>
      </c>
      <c r="D58" t="str">
        <f>IF(ISNA(D12),"",IF(ISBLANK(D12),"",TEXT(D12,"0")))</f>
        <v>12510</v>
      </c>
      <c r="E58" t="str">
        <f>IF(ISNA(E12),"",IF(ISBLANK(E12),"",TEXT(E12,"0")))</f>
        <v>12983</v>
      </c>
      <c r="F58" t="str">
        <f>IF(ISNA(F12),"",IF(ISBLANK(F12),"",TEXT(F12,"0")))</f>
        <v>12804</v>
      </c>
      <c r="G58" t="str">
        <f>IF(ISNA(G12),"",IF(ISBLANK(G12),"",TEXT(G12,"0")))</f>
        <v>13605</v>
      </c>
      <c r="H58" t="str">
        <f>IF(ISNA(H12),"",IF(ISBLANK(H12),"",TEXT(H12,"0")))</f>
        <v>13445</v>
      </c>
      <c r="I58" t="str">
        <f>IF(ISNA(I12),"",IF(ISBLANK(I12),"",TEXT(I12,"0")))</f>
        <v>14105</v>
      </c>
      <c r="J58" t="str">
        <f>IF(ISNA(J12),"",IF(ISBLANK(J12),"",TEXT(J12,"0")))</f>
        <v>13827</v>
      </c>
      <c r="K58" t="str">
        <f>IF(ISNA(K12),"",IF(ISBLANK(K12),"",TEXT(K12,"0")))</f>
        <v>14572</v>
      </c>
      <c r="L58" t="str">
        <f>IF(ISNA(L12),"",IF(ISBLANK(L12),"",TEXT(L12,"0")))</f>
        <v>15876</v>
      </c>
      <c r="M58" t="str">
        <f>IF(ISNA(M12),"",IF(ISBLANK(M12),"",TEXT(M12,"0")))</f>
        <v>16240</v>
      </c>
      <c r="N58" t="str">
        <f>IF(ISNA(N12),"",IF(ISBLANK(N12),"",TEXT(N12,"0")))</f>
        <v>16612</v>
      </c>
      <c r="O58" t="str">
        <f>IF(ISNA(O12),"",IF(ISBLANK(O12),"",TEXT(O12,"0")))</f>
        <v>16993</v>
      </c>
      <c r="P58" t="str">
        <f>IF(ISNA(P12),"",IF(ISBLANK(P12),"",TEXT(P12,"0")))</f>
        <v>17382</v>
      </c>
      <c r="Q58" t="str">
        <f>IF(ISNA(Q12),"",IF(ISBLANK(Q12),"",TEXT(Q12,"0")))</f>
        <v>17781</v>
      </c>
      <c r="R58" t="str">
        <f>IF(ISNA(R12),"",IF(ISBLANK(R12),"",TEXT(R12,"0")))</f>
        <v>18188</v>
      </c>
      <c r="S58" t="str">
        <f>IF(ISNA(S12),"",IF(ISBLANK(S12),"",TEXT(S12,"0")))</f>
        <v>18605</v>
      </c>
      <c r="T58" t="str">
        <f>IF(ISNA(T12),"",IF(ISBLANK(T12),"",TEXT(T12,"0")))</f>
        <v>19032</v>
      </c>
      <c r="U58" t="str">
        <f>IF(ISNA(U12),"",IF(ISBLANK(U12),"",TEXT(U12,"0")))</f>
        <v>19468</v>
      </c>
    </row>
    <row r="59" spans="1:21" hidden="1" x14ac:dyDescent="0.35"/>
    <row r="60" spans="1:21" hidden="1" x14ac:dyDescent="0.35"/>
    <row r="61" spans="1:21" hidden="1" x14ac:dyDescent="0.35"/>
    <row r="62" spans="1:21" hidden="1" x14ac:dyDescent="0.35"/>
    <row r="63" spans="1:21" hidden="1" x14ac:dyDescent="0.35"/>
    <row r="64" spans="1:21" hidden="1" x14ac:dyDescent="0.35"/>
    <row r="65" spans="1:21" hidden="1" x14ac:dyDescent="0.35">
      <c r="A65" t="s">
        <v>273</v>
      </c>
      <c r="B65" t="str">
        <f>IF(ISNA(B19),"",IF(ISBLANK(B19),"",TEXT(B19,"0")))</f>
        <v>-10393</v>
      </c>
      <c r="C65" t="str">
        <f>IF(ISNA(C19),"",IF(ISBLANK(C19),"",TEXT(C19,"0")))</f>
        <v>-10684</v>
      </c>
      <c r="D65" t="str">
        <f>IF(ISNA(D19),"",IF(ISBLANK(D19),"",TEXT(D19,"0")))</f>
        <v>-11084</v>
      </c>
      <c r="E65" t="str">
        <f>IF(ISNA(E19),"",IF(ISBLANK(E19),"",TEXT(E19,"0")))</f>
        <v>-11929</v>
      </c>
      <c r="F65" t="str">
        <f>IF(ISNA(F19),"",IF(ISBLANK(F19),"",TEXT(F19,"0")))</f>
        <v>-11685</v>
      </c>
      <c r="G65" t="str">
        <f>IF(ISNA(G19),"",IF(ISBLANK(G19),"",TEXT(G19,"0")))</f>
        <v>-12040</v>
      </c>
      <c r="H65" t="str">
        <f>IF(ISNA(H19),"",IF(ISBLANK(H19),"",TEXT(H19,"0")))</f>
        <v>-12407</v>
      </c>
      <c r="I65" t="str">
        <f>IF(ISNA(I19),"",IF(ISBLANK(I19),"",TEXT(I19,"0")))</f>
        <v>-12894</v>
      </c>
      <c r="J65" t="str">
        <f>IF(ISNA(J19),"",IF(ISBLANK(J19),"",TEXT(J19,"0")))</f>
        <v>-12701</v>
      </c>
      <c r="K65" t="str">
        <f>IF(ISNA(K19),"",IF(ISBLANK(K19),"",TEXT(K19,"0")))</f>
        <v>-13300</v>
      </c>
      <c r="L65" t="str">
        <f>IF(ISNA(L19),"",IF(ISBLANK(L19),"",TEXT(L19,"0")))</f>
        <v>-14557</v>
      </c>
      <c r="M65" t="str">
        <f>IF(ISNA(M19),"",IF(ISBLANK(M19),"",TEXT(M19,"0")))</f>
        <v>-14891</v>
      </c>
      <c r="N65" t="str">
        <f>IF(ISNA(N19),"",IF(ISBLANK(N19),"",TEXT(N19,"0")))</f>
        <v>-15232</v>
      </c>
      <c r="O65" t="str">
        <f>IF(ISNA(O19),"",IF(ISBLANK(O19),"",TEXT(O19,"0")))</f>
        <v>-15582</v>
      </c>
      <c r="P65" t="str">
        <f>IF(ISNA(P19),"",IF(ISBLANK(P19),"",TEXT(P19,"0")))</f>
        <v>-15938</v>
      </c>
      <c r="Q65" t="str">
        <f>IF(ISNA(Q19),"",IF(ISBLANK(Q19),"",TEXT(Q19,"0")))</f>
        <v>-16304</v>
      </c>
      <c r="R65" t="str">
        <f>IF(ISNA(R19),"",IF(ISBLANK(R19),"",TEXT(R19,"0")))</f>
        <v>-16677</v>
      </c>
      <c r="S65" t="str">
        <f>IF(ISNA(S19),"",IF(ISBLANK(S19),"",TEXT(S19,"0")))</f>
        <v>-17060</v>
      </c>
      <c r="T65" t="str">
        <f>IF(ISNA(T19),"",IF(ISBLANK(T19),"",TEXT(T19,"0")))</f>
        <v>-17451</v>
      </c>
      <c r="U65" t="str">
        <f>IF(ISNA(U19),"",IF(ISBLANK(U19),"",TEXT(U19,"0")))</f>
        <v>-17851</v>
      </c>
    </row>
    <row r="66" spans="1:21" hidden="1" x14ac:dyDescent="0.35"/>
  </sheetData>
  <mergeCells count="6">
    <mergeCell ref="A23:U23"/>
    <mergeCell ref="A24:U24"/>
    <mergeCell ref="B1:U1"/>
    <mergeCell ref="B2:U2"/>
    <mergeCell ref="B6:U6"/>
    <mergeCell ref="B7:U7"/>
  </mergeCells>
  <printOptions horizontalCentered="1" verticalCentered="1"/>
  <pageMargins left="0.25" right="0.25" top="0.25" bottom="0.25" header="0.125" footer="0.125"/>
  <pageSetup scale="8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083B5-3A86-43B9-A40C-AAEBF71ED9C2}">
  <sheetPr>
    <pageSetUpPr fitToPage="1"/>
  </sheetPr>
  <dimension ref="A1:E146"/>
  <sheetViews>
    <sheetView showGridLines="0" workbookViewId="0"/>
  </sheetViews>
  <sheetFormatPr defaultRowHeight="14.5" x14ac:dyDescent="0.35"/>
  <cols>
    <col min="1" max="5" width="10.6328125" customWidth="1"/>
  </cols>
  <sheetData>
    <row r="1" spans="1:5" ht="14.5" customHeight="1" x14ac:dyDescent="0.35">
      <c r="A1" s="16" t="s">
        <v>75</v>
      </c>
      <c r="B1" s="18" t="s">
        <v>76</v>
      </c>
      <c r="C1" s="18"/>
      <c r="D1" s="18"/>
      <c r="E1" s="18"/>
    </row>
    <row r="2" spans="1:5" x14ac:dyDescent="0.35">
      <c r="A2" s="16" t="s">
        <v>77</v>
      </c>
      <c r="B2" s="18" t="s">
        <v>107</v>
      </c>
      <c r="C2" s="17"/>
      <c r="D2" s="17"/>
      <c r="E2" s="17"/>
    </row>
    <row r="3" spans="1:5" x14ac:dyDescent="0.35">
      <c r="A3" s="16" t="s">
        <v>79</v>
      </c>
      <c r="B3" s="18" t="s">
        <v>276</v>
      </c>
      <c r="C3" s="17"/>
      <c r="D3" s="17"/>
      <c r="E3" s="17"/>
    </row>
    <row r="4" spans="1:5" x14ac:dyDescent="0.35">
      <c r="A4" s="16" t="s">
        <v>81</v>
      </c>
      <c r="B4" s="18" t="s">
        <v>277</v>
      </c>
      <c r="C4" s="17"/>
      <c r="D4" s="17"/>
      <c r="E4" s="17"/>
    </row>
    <row r="5" spans="1:5" x14ac:dyDescent="0.35">
      <c r="A5" s="16" t="s">
        <v>83</v>
      </c>
      <c r="B5" s="18" t="s">
        <v>24</v>
      </c>
      <c r="C5" s="17"/>
      <c r="D5" s="17"/>
      <c r="E5" s="17"/>
    </row>
    <row r="6" spans="1:5" ht="72" customHeight="1" x14ac:dyDescent="0.35">
      <c r="A6" s="16" t="s">
        <v>84</v>
      </c>
      <c r="B6" s="18" t="s">
        <v>278</v>
      </c>
      <c r="C6" s="18"/>
      <c r="D6" s="18"/>
      <c r="E6" s="18"/>
    </row>
    <row r="7" spans="1:5" ht="14.5" customHeight="1" x14ac:dyDescent="0.35">
      <c r="A7" s="16" t="s">
        <v>86</v>
      </c>
      <c r="B7" s="19" t="str">
        <f>B2&amp;IF(B3="",""," in "&amp;B3)</f>
        <v>Net premiums earned in $m, margin in %</v>
      </c>
      <c r="C7" s="19"/>
      <c r="D7" s="19"/>
      <c r="E7" s="19"/>
    </row>
    <row r="10" spans="1:5" ht="14.5" customHeight="1" x14ac:dyDescent="0.35">
      <c r="A10" s="59" t="s">
        <v>93</v>
      </c>
      <c r="B10" s="63" t="s">
        <v>279</v>
      </c>
      <c r="C10" s="63"/>
      <c r="D10" s="63"/>
      <c r="E10" s="63"/>
    </row>
    <row r="11" spans="1:5" x14ac:dyDescent="0.35">
      <c r="A11" s="20" t="s">
        <v>280</v>
      </c>
      <c r="B11" s="61">
        <v>14.799999999999997</v>
      </c>
      <c r="C11" s="61">
        <v>1958.7</v>
      </c>
      <c r="D11" s="20" t="s">
        <v>93</v>
      </c>
      <c r="E11" s="60">
        <f t="shared" ref="E11:E33" si="0">C11*B11/100</f>
        <v>289.88759999999996</v>
      </c>
    </row>
    <row r="12" spans="1:5" x14ac:dyDescent="0.35">
      <c r="A12" s="20" t="s">
        <v>280</v>
      </c>
      <c r="B12" s="61">
        <v>15.5</v>
      </c>
      <c r="C12" s="61">
        <v>1864.1</v>
      </c>
      <c r="D12" s="20" t="s">
        <v>93</v>
      </c>
      <c r="E12" s="60">
        <f t="shared" si="0"/>
        <v>288.93549999999999</v>
      </c>
    </row>
    <row r="13" spans="1:5" x14ac:dyDescent="0.35">
      <c r="A13" s="20" t="s">
        <v>280</v>
      </c>
      <c r="B13" s="61">
        <v>18.299999999999997</v>
      </c>
      <c r="C13" s="61">
        <v>2034.9</v>
      </c>
      <c r="D13" s="20" t="s">
        <v>93</v>
      </c>
      <c r="E13" s="60">
        <f t="shared" si="0"/>
        <v>372.38669999999996</v>
      </c>
    </row>
    <row r="14" spans="1:5" x14ac:dyDescent="0.35">
      <c r="A14" s="20" t="s">
        <v>280</v>
      </c>
      <c r="B14" s="61">
        <v>14</v>
      </c>
      <c r="C14" s="61">
        <v>2008.8</v>
      </c>
      <c r="D14" s="20" t="s">
        <v>93</v>
      </c>
      <c r="E14" s="60">
        <f t="shared" si="0"/>
        <v>281.23200000000003</v>
      </c>
    </row>
    <row r="15" spans="1:5" x14ac:dyDescent="0.35">
      <c r="A15" s="20" t="s">
        <v>280</v>
      </c>
      <c r="B15" s="61">
        <v>8</v>
      </c>
      <c r="C15" s="61">
        <v>2116.6</v>
      </c>
      <c r="D15" s="20" t="s">
        <v>93</v>
      </c>
      <c r="E15" s="60">
        <f t="shared" si="0"/>
        <v>169.328</v>
      </c>
    </row>
    <row r="16" spans="1:5" x14ac:dyDescent="0.35">
      <c r="A16" s="20" t="s">
        <v>280</v>
      </c>
      <c r="B16" s="61">
        <v>16.099999999999994</v>
      </c>
      <c r="C16" s="61">
        <v>2088</v>
      </c>
      <c r="D16" s="20" t="s">
        <v>93</v>
      </c>
      <c r="E16" s="60">
        <f t="shared" si="0"/>
        <v>336.16799999999989</v>
      </c>
    </row>
    <row r="17" spans="1:5" x14ac:dyDescent="0.35">
      <c r="A17" s="20" t="s">
        <v>280</v>
      </c>
      <c r="B17" s="61">
        <v>14.400000000000006</v>
      </c>
      <c r="C17" s="61">
        <v>2194.4</v>
      </c>
      <c r="D17" s="20" t="s">
        <v>93</v>
      </c>
      <c r="E17" s="60">
        <f t="shared" si="0"/>
        <v>315.99360000000013</v>
      </c>
    </row>
    <row r="18" spans="1:5" x14ac:dyDescent="0.35">
      <c r="A18" s="20" t="s">
        <v>280</v>
      </c>
      <c r="B18" s="61">
        <v>17.200000000000003</v>
      </c>
      <c r="C18" s="61">
        <v>2159.8000000000002</v>
      </c>
      <c r="D18" s="20" t="s">
        <v>93</v>
      </c>
      <c r="E18" s="60">
        <f t="shared" si="0"/>
        <v>371.48560000000015</v>
      </c>
    </row>
    <row r="19" spans="1:5" x14ac:dyDescent="0.35">
      <c r="A19" s="20" t="s">
        <v>280</v>
      </c>
      <c r="B19" s="61">
        <v>8</v>
      </c>
      <c r="C19" s="61">
        <v>2273.6</v>
      </c>
      <c r="D19" s="20" t="s">
        <v>93</v>
      </c>
      <c r="E19" s="60">
        <f t="shared" si="0"/>
        <v>181.88800000000001</v>
      </c>
    </row>
    <row r="20" spans="1:5" x14ac:dyDescent="0.35">
      <c r="A20" s="20" t="s">
        <v>280</v>
      </c>
      <c r="B20" s="61">
        <v>7.2999999999999972</v>
      </c>
      <c r="C20" s="61">
        <v>2305.1999999999998</v>
      </c>
      <c r="D20" s="20" t="s">
        <v>93</v>
      </c>
      <c r="E20" s="60">
        <f t="shared" si="0"/>
        <v>168.27959999999993</v>
      </c>
    </row>
    <row r="21" spans="1:5" x14ac:dyDescent="0.35">
      <c r="A21" s="20" t="s">
        <v>280</v>
      </c>
      <c r="B21" s="61">
        <v>16.700000000000003</v>
      </c>
      <c r="C21" s="61">
        <v>2191.1</v>
      </c>
      <c r="D21" s="20" t="s">
        <v>93</v>
      </c>
      <c r="E21" s="60">
        <f t="shared" si="0"/>
        <v>365.91370000000001</v>
      </c>
    </row>
    <row r="22" spans="1:5" x14ac:dyDescent="0.35">
      <c r="A22" s="20" t="s">
        <v>280</v>
      </c>
      <c r="B22" s="61">
        <v>17</v>
      </c>
      <c r="C22" s="61">
        <v>2445</v>
      </c>
      <c r="D22" s="20" t="s">
        <v>93</v>
      </c>
      <c r="E22" s="60">
        <f t="shared" si="0"/>
        <v>415.65</v>
      </c>
    </row>
    <row r="23" spans="1:5" x14ac:dyDescent="0.35">
      <c r="A23" s="20" t="s">
        <v>280</v>
      </c>
      <c r="B23" s="61">
        <v>20.900000000000006</v>
      </c>
      <c r="C23" s="61">
        <v>2392</v>
      </c>
      <c r="D23" s="20" t="s">
        <v>93</v>
      </c>
      <c r="E23" s="60">
        <f t="shared" si="0"/>
        <v>499.92800000000011</v>
      </c>
    </row>
    <row r="24" spans="1:5" x14ac:dyDescent="0.35">
      <c r="A24" s="20" t="s">
        <v>280</v>
      </c>
      <c r="B24" s="61">
        <v>21.5</v>
      </c>
      <c r="C24" s="61">
        <v>2185</v>
      </c>
      <c r="D24" s="20" t="s">
        <v>93</v>
      </c>
      <c r="E24" s="60">
        <f t="shared" si="0"/>
        <v>469.77499999999998</v>
      </c>
    </row>
    <row r="25" spans="1:5" x14ac:dyDescent="0.35">
      <c r="A25" s="20" t="s">
        <v>280</v>
      </c>
      <c r="B25" s="61">
        <v>12.299999999999997</v>
      </c>
      <c r="C25" s="61">
        <v>2449</v>
      </c>
      <c r="D25" s="20" t="s">
        <v>93</v>
      </c>
      <c r="E25" s="60">
        <f t="shared" si="0"/>
        <v>301.22699999999992</v>
      </c>
    </row>
    <row r="26" spans="1:5" x14ac:dyDescent="0.35">
      <c r="A26" s="20" t="s">
        <v>280</v>
      </c>
      <c r="B26" s="61">
        <v>17.799999999999997</v>
      </c>
      <c r="C26" s="61">
        <v>2390</v>
      </c>
      <c r="D26" s="20" t="s">
        <v>93</v>
      </c>
      <c r="E26" s="60">
        <f t="shared" si="0"/>
        <v>425.4199999999999</v>
      </c>
    </row>
    <row r="27" spans="1:5" x14ac:dyDescent="0.35">
      <c r="A27" s="20" t="s">
        <v>280</v>
      </c>
      <c r="B27" s="61">
        <v>15.400000000000006</v>
      </c>
      <c r="C27" s="61">
        <v>2409</v>
      </c>
      <c r="D27" s="20" t="s">
        <v>93</v>
      </c>
      <c r="E27" s="60">
        <f t="shared" si="0"/>
        <v>370.9860000000001</v>
      </c>
    </row>
    <row r="28" spans="1:5" x14ac:dyDescent="0.35">
      <c r="A28" s="20" t="s">
        <v>280</v>
      </c>
      <c r="B28" s="61">
        <v>13.599999999999994</v>
      </c>
      <c r="C28" s="61">
        <v>2503</v>
      </c>
      <c r="D28" s="20" t="s">
        <v>93</v>
      </c>
      <c r="E28" s="60">
        <f t="shared" si="0"/>
        <v>340.4079999999999</v>
      </c>
    </row>
    <row r="29" spans="1:5" x14ac:dyDescent="0.35">
      <c r="A29" s="20" t="s">
        <v>280</v>
      </c>
      <c r="B29" s="61">
        <v>17.5</v>
      </c>
      <c r="C29" s="61">
        <v>2513</v>
      </c>
      <c r="D29" s="20" t="s">
        <v>93</v>
      </c>
      <c r="E29" s="60">
        <f t="shared" si="0"/>
        <v>439.77499999999998</v>
      </c>
    </row>
    <row r="30" spans="1:5" x14ac:dyDescent="0.35">
      <c r="A30" s="20" t="s">
        <v>280</v>
      </c>
      <c r="B30" s="61">
        <v>19.599999999999994</v>
      </c>
      <c r="C30" s="61">
        <v>2519</v>
      </c>
      <c r="D30" s="20" t="s">
        <v>93</v>
      </c>
      <c r="E30" s="60">
        <f t="shared" si="0"/>
        <v>493.72399999999988</v>
      </c>
    </row>
    <row r="31" spans="1:5" x14ac:dyDescent="0.35">
      <c r="A31" s="20" t="s">
        <v>280</v>
      </c>
      <c r="B31" s="61">
        <v>13.5</v>
      </c>
      <c r="C31" s="61">
        <v>2543</v>
      </c>
      <c r="D31" s="20" t="s">
        <v>93</v>
      </c>
      <c r="E31" s="60">
        <f t="shared" si="0"/>
        <v>343.30500000000001</v>
      </c>
    </row>
    <row r="32" spans="1:5" x14ac:dyDescent="0.35">
      <c r="A32" s="20" t="s">
        <v>280</v>
      </c>
      <c r="B32" s="61">
        <v>14.400000000000006</v>
      </c>
      <c r="C32" s="61">
        <v>2472</v>
      </c>
      <c r="D32" s="20" t="s">
        <v>93</v>
      </c>
      <c r="E32" s="60">
        <f t="shared" si="0"/>
        <v>355.96800000000019</v>
      </c>
    </row>
    <row r="33" spans="1:5" x14ac:dyDescent="0.35">
      <c r="A33" s="20" t="s">
        <v>280</v>
      </c>
      <c r="B33" s="61">
        <v>12.400000000000006</v>
      </c>
      <c r="C33" s="61">
        <v>2559</v>
      </c>
      <c r="D33" s="20" t="s">
        <v>93</v>
      </c>
      <c r="E33" s="60">
        <f t="shared" si="0"/>
        <v>317.31600000000014</v>
      </c>
    </row>
    <row r="34" spans="1:5" x14ac:dyDescent="0.35">
      <c r="A34" s="58" t="s">
        <v>94</v>
      </c>
    </row>
    <row r="35" spans="1:5" x14ac:dyDescent="0.35">
      <c r="A35" s="20" t="s">
        <v>280</v>
      </c>
      <c r="B35" s="61">
        <v>13.5</v>
      </c>
      <c r="C35" s="61">
        <v>2327.6999999999998</v>
      </c>
      <c r="D35" s="20" t="s">
        <v>94</v>
      </c>
      <c r="E35" s="60">
        <f t="shared" ref="E35:E57" si="1">C35*B35/100</f>
        <v>314.23949999999996</v>
      </c>
    </row>
    <row r="36" spans="1:5" x14ac:dyDescent="0.35">
      <c r="A36" s="20" t="s">
        <v>280</v>
      </c>
      <c r="B36" s="61">
        <v>13.700000000000003</v>
      </c>
      <c r="C36" s="61">
        <v>2231.5</v>
      </c>
      <c r="D36" s="20" t="s">
        <v>94</v>
      </c>
      <c r="E36" s="60">
        <f t="shared" si="1"/>
        <v>305.71550000000008</v>
      </c>
    </row>
    <row r="37" spans="1:5" x14ac:dyDescent="0.35">
      <c r="A37" s="20" t="s">
        <v>280</v>
      </c>
      <c r="B37" s="61">
        <v>17.200000000000003</v>
      </c>
      <c r="C37" s="61">
        <v>2461.3000000000002</v>
      </c>
      <c r="D37" s="20" t="s">
        <v>94</v>
      </c>
      <c r="E37" s="60">
        <f t="shared" si="1"/>
        <v>423.34360000000009</v>
      </c>
    </row>
    <row r="38" spans="1:5" x14ac:dyDescent="0.35">
      <c r="A38" s="20" t="s">
        <v>280</v>
      </c>
      <c r="B38" s="61">
        <v>10.700000000000003</v>
      </c>
      <c r="C38" s="61">
        <v>2446.1</v>
      </c>
      <c r="D38" s="20" t="s">
        <v>94</v>
      </c>
      <c r="E38" s="60">
        <f t="shared" si="1"/>
        <v>261.73270000000008</v>
      </c>
    </row>
    <row r="39" spans="1:5" x14ac:dyDescent="0.35">
      <c r="A39" s="20" t="s">
        <v>280</v>
      </c>
      <c r="B39" s="61">
        <v>7.2999999999999972</v>
      </c>
      <c r="C39" s="61">
        <v>2588.4</v>
      </c>
      <c r="D39" s="20" t="s">
        <v>94</v>
      </c>
      <c r="E39" s="60">
        <f t="shared" si="1"/>
        <v>188.95319999999992</v>
      </c>
    </row>
    <row r="40" spans="1:5" x14ac:dyDescent="0.35">
      <c r="A40" s="20" t="s">
        <v>280</v>
      </c>
      <c r="B40" s="61">
        <v>13</v>
      </c>
      <c r="C40" s="61">
        <v>2561</v>
      </c>
      <c r="D40" s="20" t="s">
        <v>94</v>
      </c>
      <c r="E40" s="60">
        <f t="shared" si="1"/>
        <v>332.93</v>
      </c>
    </row>
    <row r="41" spans="1:5" x14ac:dyDescent="0.35">
      <c r="A41" s="20" t="s">
        <v>280</v>
      </c>
      <c r="B41" s="61">
        <v>9.7000000000000028</v>
      </c>
      <c r="C41" s="61">
        <v>2701</v>
      </c>
      <c r="D41" s="20" t="s">
        <v>94</v>
      </c>
      <c r="E41" s="60">
        <f t="shared" si="1"/>
        <v>261.99700000000007</v>
      </c>
    </row>
    <row r="42" spans="1:5" x14ac:dyDescent="0.35">
      <c r="A42" s="20" t="s">
        <v>280</v>
      </c>
      <c r="B42" s="61">
        <v>9.2999999999999972</v>
      </c>
      <c r="C42" s="61">
        <v>2664</v>
      </c>
      <c r="D42" s="20" t="s">
        <v>94</v>
      </c>
      <c r="E42" s="60">
        <f t="shared" si="1"/>
        <v>247.75199999999992</v>
      </c>
    </row>
    <row r="43" spans="1:5" x14ac:dyDescent="0.35">
      <c r="A43" s="20" t="s">
        <v>280</v>
      </c>
      <c r="B43" s="61">
        <v>5.5</v>
      </c>
      <c r="C43" s="61">
        <v>2815.2</v>
      </c>
      <c r="D43" s="20" t="s">
        <v>94</v>
      </c>
      <c r="E43" s="60">
        <f t="shared" si="1"/>
        <v>154.83599999999998</v>
      </c>
    </row>
    <row r="44" spans="1:5" x14ac:dyDescent="0.35">
      <c r="A44" s="20" t="s">
        <v>280</v>
      </c>
      <c r="B44" s="61">
        <v>4.2999999999999972</v>
      </c>
      <c r="C44" s="61">
        <v>2867.4</v>
      </c>
      <c r="D44" s="20" t="s">
        <v>94</v>
      </c>
      <c r="E44" s="60">
        <f t="shared" si="1"/>
        <v>123.29819999999992</v>
      </c>
    </row>
    <row r="45" spans="1:5" x14ac:dyDescent="0.35">
      <c r="A45" s="20" t="s">
        <v>280</v>
      </c>
      <c r="B45" s="61">
        <v>9.7999999999999972</v>
      </c>
      <c r="C45" s="61">
        <v>2731.4</v>
      </c>
      <c r="D45" s="20" t="s">
        <v>94</v>
      </c>
      <c r="E45" s="60">
        <f t="shared" si="1"/>
        <v>267.67719999999991</v>
      </c>
    </row>
    <row r="46" spans="1:5" x14ac:dyDescent="0.35">
      <c r="A46" s="20" t="s">
        <v>280</v>
      </c>
      <c r="B46" s="61">
        <v>11.5</v>
      </c>
      <c r="C46" s="61">
        <v>3063</v>
      </c>
      <c r="D46" s="20" t="s">
        <v>94</v>
      </c>
      <c r="E46" s="60">
        <f t="shared" si="1"/>
        <v>352.245</v>
      </c>
    </row>
    <row r="47" spans="1:5" x14ac:dyDescent="0.35">
      <c r="A47" s="20" t="s">
        <v>280</v>
      </c>
      <c r="B47" s="61">
        <v>12.400000000000006</v>
      </c>
      <c r="C47" s="61">
        <v>3008</v>
      </c>
      <c r="D47" s="20" t="s">
        <v>94</v>
      </c>
      <c r="E47" s="60">
        <f t="shared" si="1"/>
        <v>372.99200000000019</v>
      </c>
    </row>
    <row r="48" spans="1:5" x14ac:dyDescent="0.35">
      <c r="A48" s="20" t="s">
        <v>280</v>
      </c>
      <c r="B48" s="61">
        <v>13.799999999999997</v>
      </c>
      <c r="C48" s="61">
        <v>2765</v>
      </c>
      <c r="D48" s="20" t="s">
        <v>94</v>
      </c>
      <c r="E48" s="60">
        <f t="shared" si="1"/>
        <v>381.56999999999994</v>
      </c>
    </row>
    <row r="49" spans="1:5" x14ac:dyDescent="0.35">
      <c r="A49" s="20" t="s">
        <v>280</v>
      </c>
      <c r="B49" s="61">
        <v>8.2000000000000028</v>
      </c>
      <c r="C49" s="61">
        <v>3135</v>
      </c>
      <c r="D49" s="20" t="s">
        <v>94</v>
      </c>
      <c r="E49" s="60">
        <f t="shared" si="1"/>
        <v>257.07000000000005</v>
      </c>
    </row>
    <row r="50" spans="1:5" x14ac:dyDescent="0.35">
      <c r="A50" s="20" t="s">
        <v>280</v>
      </c>
      <c r="B50" s="61">
        <v>14.400000000000006</v>
      </c>
      <c r="C50" s="61">
        <v>3086</v>
      </c>
      <c r="D50" s="20" t="s">
        <v>94</v>
      </c>
      <c r="E50" s="60">
        <f t="shared" si="1"/>
        <v>444.38400000000019</v>
      </c>
    </row>
    <row r="51" spans="1:5" x14ac:dyDescent="0.35">
      <c r="A51" s="20" t="s">
        <v>280</v>
      </c>
      <c r="B51" s="61">
        <v>11.900000000000006</v>
      </c>
      <c r="C51" s="61">
        <v>3122</v>
      </c>
      <c r="D51" s="20" t="s">
        <v>94</v>
      </c>
      <c r="E51" s="60">
        <f t="shared" si="1"/>
        <v>371.5180000000002</v>
      </c>
    </row>
    <row r="52" spans="1:5" x14ac:dyDescent="0.35">
      <c r="A52" s="20" t="s">
        <v>280</v>
      </c>
      <c r="B52" s="61">
        <v>11.299999999999997</v>
      </c>
      <c r="C52" s="61">
        <v>3258</v>
      </c>
      <c r="D52" s="20" t="s">
        <v>94</v>
      </c>
      <c r="E52" s="60">
        <f t="shared" si="1"/>
        <v>368.15399999999994</v>
      </c>
    </row>
    <row r="53" spans="1:5" x14ac:dyDescent="0.35">
      <c r="A53" s="20" t="s">
        <v>280</v>
      </c>
      <c r="B53" s="61">
        <v>12.599999999999994</v>
      </c>
      <c r="C53" s="61">
        <v>3284</v>
      </c>
      <c r="D53" s="20" t="s">
        <v>94</v>
      </c>
      <c r="E53" s="60">
        <f t="shared" si="1"/>
        <v>413.78399999999982</v>
      </c>
    </row>
    <row r="54" spans="1:5" x14ac:dyDescent="0.35">
      <c r="A54" s="20" t="s">
        <v>280</v>
      </c>
      <c r="B54" s="61">
        <v>14.799999999999997</v>
      </c>
      <c r="C54" s="61">
        <v>3306</v>
      </c>
      <c r="D54" s="20" t="s">
        <v>94</v>
      </c>
      <c r="E54" s="60">
        <f t="shared" si="1"/>
        <v>489.2879999999999</v>
      </c>
    </row>
    <row r="55" spans="1:5" x14ac:dyDescent="0.35">
      <c r="A55" s="20" t="s">
        <v>280</v>
      </c>
      <c r="B55" s="61">
        <v>7.2999999999999972</v>
      </c>
      <c r="C55" s="61">
        <v>3369</v>
      </c>
      <c r="D55" s="20" t="s">
        <v>94</v>
      </c>
      <c r="E55" s="60">
        <f t="shared" si="1"/>
        <v>245.9369999999999</v>
      </c>
    </row>
    <row r="56" spans="1:5" x14ac:dyDescent="0.35">
      <c r="A56" s="20" t="s">
        <v>280</v>
      </c>
      <c r="B56" s="61">
        <v>9.2000000000000028</v>
      </c>
      <c r="C56" s="61">
        <v>3293</v>
      </c>
      <c r="D56" s="20" t="s">
        <v>94</v>
      </c>
      <c r="E56" s="60">
        <f t="shared" si="1"/>
        <v>302.95600000000007</v>
      </c>
    </row>
    <row r="57" spans="1:5" x14ac:dyDescent="0.35">
      <c r="A57" s="20" t="s">
        <v>280</v>
      </c>
      <c r="B57" s="61">
        <v>8.7999999999999972</v>
      </c>
      <c r="C57" s="61">
        <v>3425</v>
      </c>
      <c r="D57" s="20" t="s">
        <v>94</v>
      </c>
      <c r="E57" s="60">
        <f t="shared" si="1"/>
        <v>301.39999999999986</v>
      </c>
    </row>
    <row r="58" spans="1:5" x14ac:dyDescent="0.35">
      <c r="A58" s="58" t="s">
        <v>96</v>
      </c>
    </row>
    <row r="59" spans="1:5" x14ac:dyDescent="0.35">
      <c r="A59" s="20" t="s">
        <v>280</v>
      </c>
      <c r="B59" s="61">
        <v>11.400000000000006</v>
      </c>
      <c r="C59" s="61">
        <v>860.5</v>
      </c>
      <c r="D59" s="20" t="s">
        <v>96</v>
      </c>
      <c r="E59" s="60">
        <f t="shared" ref="E59:E81" si="2">C59*B59/100</f>
        <v>98.097000000000037</v>
      </c>
    </row>
    <row r="60" spans="1:5" x14ac:dyDescent="0.35">
      <c r="A60" s="20" t="s">
        <v>280</v>
      </c>
      <c r="B60" s="61">
        <v>4</v>
      </c>
      <c r="C60" s="61">
        <v>807.6</v>
      </c>
      <c r="D60" s="20" t="s">
        <v>96</v>
      </c>
      <c r="E60" s="60">
        <f t="shared" si="2"/>
        <v>32.304000000000002</v>
      </c>
    </row>
    <row r="61" spans="1:5" x14ac:dyDescent="0.35">
      <c r="A61" s="20" t="s">
        <v>280</v>
      </c>
      <c r="B61" s="61">
        <v>8.9000000000000057</v>
      </c>
      <c r="C61" s="61">
        <v>889.3</v>
      </c>
      <c r="D61" s="20" t="s">
        <v>96</v>
      </c>
      <c r="E61" s="60">
        <f t="shared" si="2"/>
        <v>79.147700000000043</v>
      </c>
    </row>
    <row r="62" spans="1:5" x14ac:dyDescent="0.35">
      <c r="A62" s="20" t="s">
        <v>280</v>
      </c>
      <c r="B62" s="61">
        <v>12.5</v>
      </c>
      <c r="C62" s="61">
        <v>876.1</v>
      </c>
      <c r="D62" s="20" t="s">
        <v>96</v>
      </c>
      <c r="E62" s="60">
        <f t="shared" si="2"/>
        <v>109.5125</v>
      </c>
    </row>
    <row r="63" spans="1:5" x14ac:dyDescent="0.35">
      <c r="A63" s="20" t="s">
        <v>280</v>
      </c>
      <c r="B63" s="61">
        <v>7.7000000000000028</v>
      </c>
      <c r="C63" s="61">
        <v>904.9</v>
      </c>
      <c r="D63" s="20" t="s">
        <v>96</v>
      </c>
      <c r="E63" s="60">
        <f t="shared" si="2"/>
        <v>69.677300000000017</v>
      </c>
    </row>
    <row r="64" spans="1:5" x14ac:dyDescent="0.35">
      <c r="A64" s="20" t="s">
        <v>280</v>
      </c>
      <c r="B64" s="61">
        <v>14</v>
      </c>
      <c r="C64" s="61">
        <v>883.5</v>
      </c>
      <c r="D64" s="20" t="s">
        <v>96</v>
      </c>
      <c r="E64" s="60">
        <f t="shared" si="2"/>
        <v>123.69</v>
      </c>
    </row>
    <row r="65" spans="1:5" x14ac:dyDescent="0.35">
      <c r="A65" s="20" t="s">
        <v>280</v>
      </c>
      <c r="B65" s="61">
        <v>10.099999999999994</v>
      </c>
      <c r="C65" s="61">
        <v>910.1</v>
      </c>
      <c r="D65" s="20" t="s">
        <v>96</v>
      </c>
      <c r="E65" s="60">
        <f t="shared" si="2"/>
        <v>91.920099999999948</v>
      </c>
    </row>
    <row r="66" spans="1:5" x14ac:dyDescent="0.35">
      <c r="A66" s="20" t="s">
        <v>280</v>
      </c>
      <c r="B66" s="61">
        <v>9.0999999999999943</v>
      </c>
      <c r="C66" s="61">
        <v>889.6</v>
      </c>
      <c r="D66" s="20" t="s">
        <v>96</v>
      </c>
      <c r="E66" s="60">
        <f t="shared" si="2"/>
        <v>80.953599999999952</v>
      </c>
    </row>
    <row r="67" spans="1:5" x14ac:dyDescent="0.35">
      <c r="A67" s="20" t="s">
        <v>280</v>
      </c>
      <c r="B67" s="61">
        <v>14.700000000000003</v>
      </c>
      <c r="C67" s="61">
        <v>927</v>
      </c>
      <c r="D67" s="20" t="s">
        <v>96</v>
      </c>
      <c r="E67" s="60">
        <f t="shared" si="2"/>
        <v>136.26900000000003</v>
      </c>
    </row>
    <row r="68" spans="1:5" x14ac:dyDescent="0.35">
      <c r="A68" s="20" t="s">
        <v>280</v>
      </c>
      <c r="B68" s="61">
        <v>3.0999999999999943</v>
      </c>
      <c r="C68" s="61">
        <v>939.8</v>
      </c>
      <c r="D68" s="20" t="s">
        <v>96</v>
      </c>
      <c r="E68" s="60">
        <f t="shared" si="2"/>
        <v>29.133799999999948</v>
      </c>
    </row>
    <row r="69" spans="1:5" x14ac:dyDescent="0.35">
      <c r="A69" s="20" t="s">
        <v>280</v>
      </c>
      <c r="B69" s="61">
        <v>15.5</v>
      </c>
      <c r="C69" s="61">
        <v>866.3</v>
      </c>
      <c r="D69" s="20" t="s">
        <v>96</v>
      </c>
      <c r="E69" s="60">
        <f t="shared" si="2"/>
        <v>134.2765</v>
      </c>
    </row>
    <row r="70" spans="1:5" x14ac:dyDescent="0.35">
      <c r="A70" s="20" t="s">
        <v>280</v>
      </c>
      <c r="B70" s="61">
        <v>15.900000000000006</v>
      </c>
      <c r="C70" s="61">
        <v>952</v>
      </c>
      <c r="D70" s="20" t="s">
        <v>96</v>
      </c>
      <c r="E70" s="60">
        <f t="shared" si="2"/>
        <v>151.36800000000005</v>
      </c>
    </row>
    <row r="71" spans="1:5" x14ac:dyDescent="0.35">
      <c r="A71" s="20" t="s">
        <v>280</v>
      </c>
      <c r="B71" s="61">
        <v>14.099999999999994</v>
      </c>
      <c r="C71" s="61">
        <v>920</v>
      </c>
      <c r="D71" s="20" t="s">
        <v>96</v>
      </c>
      <c r="E71" s="60">
        <f t="shared" si="2"/>
        <v>129.71999999999994</v>
      </c>
    </row>
    <row r="72" spans="1:5" x14ac:dyDescent="0.35">
      <c r="A72" s="20" t="s">
        <v>280</v>
      </c>
      <c r="B72" s="61">
        <v>12</v>
      </c>
      <c r="C72" s="61">
        <v>844</v>
      </c>
      <c r="D72" s="20" t="s">
        <v>96</v>
      </c>
      <c r="E72" s="60">
        <f t="shared" si="2"/>
        <v>101.28</v>
      </c>
    </row>
    <row r="73" spans="1:5" x14ac:dyDescent="0.35">
      <c r="A73" s="20" t="s">
        <v>280</v>
      </c>
      <c r="B73" s="61">
        <v>11.5</v>
      </c>
      <c r="C73" s="61">
        <v>935</v>
      </c>
      <c r="D73" s="20" t="s">
        <v>96</v>
      </c>
      <c r="E73" s="60">
        <f t="shared" si="2"/>
        <v>107.52500000000001</v>
      </c>
    </row>
    <row r="74" spans="1:5" x14ac:dyDescent="0.35">
      <c r="A74" s="20" t="s">
        <v>280</v>
      </c>
      <c r="B74" s="61">
        <v>10.599999999999994</v>
      </c>
      <c r="C74" s="61">
        <v>906</v>
      </c>
      <c r="D74" s="20" t="s">
        <v>96</v>
      </c>
      <c r="E74" s="60">
        <f t="shared" si="2"/>
        <v>96.035999999999945</v>
      </c>
    </row>
    <row r="75" spans="1:5" x14ac:dyDescent="0.35">
      <c r="A75" s="20" t="s">
        <v>280</v>
      </c>
      <c r="B75" s="61">
        <v>11.900000000000006</v>
      </c>
      <c r="C75" s="61">
        <v>921</v>
      </c>
      <c r="D75" s="20" t="s">
        <v>96</v>
      </c>
      <c r="E75" s="60">
        <f t="shared" si="2"/>
        <v>109.59900000000005</v>
      </c>
    </row>
    <row r="76" spans="1:5" x14ac:dyDescent="0.35">
      <c r="A76" s="20" t="s">
        <v>280</v>
      </c>
      <c r="B76" s="61">
        <v>17</v>
      </c>
      <c r="C76" s="61">
        <v>938</v>
      </c>
      <c r="D76" s="20" t="s">
        <v>96</v>
      </c>
      <c r="E76" s="60">
        <f t="shared" si="2"/>
        <v>159.46</v>
      </c>
    </row>
    <row r="77" spans="1:5" x14ac:dyDescent="0.35">
      <c r="A77" s="20" t="s">
        <v>280</v>
      </c>
      <c r="B77" s="61">
        <v>6.5</v>
      </c>
      <c r="C77" s="61">
        <v>931</v>
      </c>
      <c r="D77" s="20" t="s">
        <v>96</v>
      </c>
      <c r="E77" s="60">
        <f t="shared" si="2"/>
        <v>60.515000000000001</v>
      </c>
    </row>
    <row r="78" spans="1:5" x14ac:dyDescent="0.35">
      <c r="A78" s="20" t="s">
        <v>280</v>
      </c>
      <c r="B78" s="61">
        <v>12.5</v>
      </c>
      <c r="C78" s="61">
        <v>941</v>
      </c>
      <c r="D78" s="20" t="s">
        <v>96</v>
      </c>
      <c r="E78" s="60">
        <f t="shared" si="2"/>
        <v>117.625</v>
      </c>
    </row>
    <row r="79" spans="1:5" x14ac:dyDescent="0.35">
      <c r="A79" s="20" t="s">
        <v>280</v>
      </c>
      <c r="B79" s="61">
        <v>6.9000000000000057</v>
      </c>
      <c r="C79" s="61">
        <v>900</v>
      </c>
      <c r="D79" s="20" t="s">
        <v>96</v>
      </c>
      <c r="E79" s="60">
        <f t="shared" si="2"/>
        <v>62.100000000000051</v>
      </c>
    </row>
    <row r="80" spans="1:5" x14ac:dyDescent="0.35">
      <c r="A80" s="20" t="s">
        <v>280</v>
      </c>
      <c r="B80" s="61">
        <v>16.299999999999997</v>
      </c>
      <c r="C80" s="61">
        <v>869</v>
      </c>
      <c r="D80" s="20" t="s">
        <v>96</v>
      </c>
      <c r="E80" s="60">
        <f t="shared" si="2"/>
        <v>141.64699999999996</v>
      </c>
    </row>
    <row r="81" spans="1:5" x14ac:dyDescent="0.35">
      <c r="A81" s="20" t="s">
        <v>280</v>
      </c>
      <c r="B81" s="61">
        <v>23.900000000000006</v>
      </c>
      <c r="C81" s="61">
        <v>888</v>
      </c>
      <c r="D81" s="20" t="s">
        <v>96</v>
      </c>
      <c r="E81" s="60">
        <f t="shared" si="2"/>
        <v>212.23200000000006</v>
      </c>
    </row>
    <row r="83" spans="1:5" x14ac:dyDescent="0.35">
      <c r="A83" s="24" t="s">
        <v>281</v>
      </c>
      <c r="E83" s="6">
        <f>SUMPRODUCT((D11:D81="Agency auto")*(E11:E81&gt;=300))</f>
        <v>17</v>
      </c>
    </row>
    <row r="84" spans="1:5" x14ac:dyDescent="0.35">
      <c r="A84" s="58" t="s">
        <v>282</v>
      </c>
      <c r="E84" s="62">
        <v>17</v>
      </c>
    </row>
    <row r="86" spans="1:5" x14ac:dyDescent="0.35">
      <c r="A86" s="24" t="s">
        <v>283</v>
      </c>
      <c r="B86" t="s">
        <v>284</v>
      </c>
      <c r="C86">
        <v>100</v>
      </c>
      <c r="D86">
        <v>200</v>
      </c>
      <c r="E86">
        <v>300</v>
      </c>
    </row>
    <row r="87" spans="1:5" x14ac:dyDescent="0.35">
      <c r="B87" s="60">
        <v>8.5714285714285712</v>
      </c>
      <c r="C87" s="60">
        <f t="shared" ref="C87:C118" si="3">IF(100*100/$B87&gt;3500,NA(),100*100/$B87)</f>
        <v>1166.6666666666667</v>
      </c>
      <c r="D87" s="60">
        <f t="shared" ref="D87:D118" si="4">IF(200*100/$B87&gt;3500,NA(),200*100/$B87)</f>
        <v>2333.3333333333335</v>
      </c>
      <c r="E87" s="60">
        <f t="shared" ref="E87:E118" si="5">IF(300*100/$B87&gt;3500,NA(),300*100/$B87)</f>
        <v>3500</v>
      </c>
    </row>
    <row r="88" spans="1:5" x14ac:dyDescent="0.35">
      <c r="B88" s="60">
        <v>8.849878934624698</v>
      </c>
      <c r="C88" s="60">
        <f t="shared" si="3"/>
        <v>1129.9589603283173</v>
      </c>
      <c r="D88" s="60">
        <f t="shared" si="4"/>
        <v>2259.9179206566346</v>
      </c>
      <c r="E88" s="60">
        <f t="shared" si="5"/>
        <v>3389.8768809849521</v>
      </c>
    </row>
    <row r="89" spans="1:5" x14ac:dyDescent="0.35">
      <c r="B89" s="60">
        <v>9.128329297820823</v>
      </c>
      <c r="C89" s="60">
        <f t="shared" si="3"/>
        <v>1095.4907161803715</v>
      </c>
      <c r="D89" s="60">
        <f t="shared" si="4"/>
        <v>2190.9814323607429</v>
      </c>
      <c r="E89" s="60">
        <f t="shared" si="5"/>
        <v>3286.4721485411142</v>
      </c>
    </row>
    <row r="90" spans="1:5" x14ac:dyDescent="0.35">
      <c r="B90" s="60">
        <v>9.4067796610169481</v>
      </c>
      <c r="C90" s="60">
        <f t="shared" si="3"/>
        <v>1063.0630630630633</v>
      </c>
      <c r="D90" s="60">
        <f t="shared" si="4"/>
        <v>2126.1261261261266</v>
      </c>
      <c r="E90" s="60">
        <f t="shared" si="5"/>
        <v>3189.1891891891896</v>
      </c>
    </row>
    <row r="91" spans="1:5" x14ac:dyDescent="0.35">
      <c r="B91" s="60">
        <v>9.6852300242130749</v>
      </c>
      <c r="C91" s="60">
        <f t="shared" si="3"/>
        <v>1032.5</v>
      </c>
      <c r="D91" s="60">
        <f t="shared" si="4"/>
        <v>2065</v>
      </c>
      <c r="E91" s="60">
        <f t="shared" si="5"/>
        <v>3097.5</v>
      </c>
    </row>
    <row r="92" spans="1:5" x14ac:dyDescent="0.35">
      <c r="B92" s="60">
        <v>9.9636803874092017</v>
      </c>
      <c r="C92" s="60">
        <f t="shared" si="3"/>
        <v>1003.6452004860266</v>
      </c>
      <c r="D92" s="60">
        <f t="shared" si="4"/>
        <v>2007.2904009720532</v>
      </c>
      <c r="E92" s="60">
        <f t="shared" si="5"/>
        <v>3010.9356014580799</v>
      </c>
    </row>
    <row r="93" spans="1:5" x14ac:dyDescent="0.35">
      <c r="B93" s="60">
        <v>10.242130750605327</v>
      </c>
      <c r="C93" s="60">
        <f t="shared" si="3"/>
        <v>976.35933806146568</v>
      </c>
      <c r="D93" s="60">
        <f t="shared" si="4"/>
        <v>1952.7186761229314</v>
      </c>
      <c r="E93" s="60">
        <f t="shared" si="5"/>
        <v>2929.078014184397</v>
      </c>
    </row>
    <row r="94" spans="1:5" x14ac:dyDescent="0.35">
      <c r="B94" s="60">
        <v>10.520581113801452</v>
      </c>
      <c r="C94" s="60">
        <f t="shared" si="3"/>
        <v>950.517836593786</v>
      </c>
      <c r="D94" s="60">
        <f t="shared" si="4"/>
        <v>1901.035673187572</v>
      </c>
      <c r="E94" s="60">
        <f t="shared" si="5"/>
        <v>2851.5535097813581</v>
      </c>
    </row>
    <row r="95" spans="1:5" x14ac:dyDescent="0.35">
      <c r="B95" s="60">
        <v>10.799031476997579</v>
      </c>
      <c r="C95" s="60">
        <f t="shared" si="3"/>
        <v>926.00896860986552</v>
      </c>
      <c r="D95" s="60">
        <f t="shared" si="4"/>
        <v>1852.017937219731</v>
      </c>
      <c r="E95" s="60">
        <f t="shared" si="5"/>
        <v>2778.0269058295962</v>
      </c>
    </row>
    <row r="96" spans="1:5" x14ac:dyDescent="0.35">
      <c r="B96" s="60">
        <v>11.077481840193705</v>
      </c>
      <c r="C96" s="60">
        <f t="shared" si="3"/>
        <v>902.73224043715845</v>
      </c>
      <c r="D96" s="60">
        <f t="shared" si="4"/>
        <v>1805.4644808743169</v>
      </c>
      <c r="E96" s="60">
        <f t="shared" si="5"/>
        <v>2708.1967213114754</v>
      </c>
    </row>
    <row r="97" spans="2:5" x14ac:dyDescent="0.35">
      <c r="B97" s="60">
        <v>11.35593220338983</v>
      </c>
      <c r="C97" s="60">
        <f t="shared" si="3"/>
        <v>880.59701492537317</v>
      </c>
      <c r="D97" s="60">
        <f t="shared" si="4"/>
        <v>1761.1940298507463</v>
      </c>
      <c r="E97" s="60">
        <f t="shared" si="5"/>
        <v>2641.7910447761196</v>
      </c>
    </row>
    <row r="98" spans="2:5" x14ac:dyDescent="0.35">
      <c r="B98" s="60">
        <v>11.634382566585955</v>
      </c>
      <c r="C98" s="60">
        <f t="shared" si="3"/>
        <v>859.52133194588976</v>
      </c>
      <c r="D98" s="60">
        <f t="shared" si="4"/>
        <v>1719.0426638917795</v>
      </c>
      <c r="E98" s="60">
        <f t="shared" si="5"/>
        <v>2578.5639958376692</v>
      </c>
    </row>
    <row r="99" spans="2:5" x14ac:dyDescent="0.35">
      <c r="B99" s="60">
        <v>11.912832929782082</v>
      </c>
      <c r="C99" s="60">
        <f t="shared" si="3"/>
        <v>839.43089430894304</v>
      </c>
      <c r="D99" s="60">
        <f t="shared" si="4"/>
        <v>1678.8617886178861</v>
      </c>
      <c r="E99" s="60">
        <f t="shared" si="5"/>
        <v>2518.2926829268295</v>
      </c>
    </row>
    <row r="100" spans="2:5" x14ac:dyDescent="0.35">
      <c r="B100" s="60">
        <v>12.191283292978209</v>
      </c>
      <c r="C100" s="60">
        <f t="shared" si="3"/>
        <v>820.25819265143991</v>
      </c>
      <c r="D100" s="60">
        <f t="shared" si="4"/>
        <v>1640.5163853028798</v>
      </c>
      <c r="E100" s="60">
        <f t="shared" si="5"/>
        <v>2460.7745779543197</v>
      </c>
    </row>
    <row r="101" spans="2:5" x14ac:dyDescent="0.35">
      <c r="B101" s="60">
        <v>12.469733656174334</v>
      </c>
      <c r="C101" s="60">
        <f t="shared" si="3"/>
        <v>801.94174757281553</v>
      </c>
      <c r="D101" s="60">
        <f t="shared" si="4"/>
        <v>1603.8834951456311</v>
      </c>
      <c r="E101" s="60">
        <f t="shared" si="5"/>
        <v>2405.8252427184466</v>
      </c>
    </row>
    <row r="102" spans="2:5" x14ac:dyDescent="0.35">
      <c r="B102" s="60">
        <v>12.748184019370459</v>
      </c>
      <c r="C102" s="60">
        <f t="shared" si="3"/>
        <v>784.42545109211778</v>
      </c>
      <c r="D102" s="60">
        <f t="shared" si="4"/>
        <v>1568.8509021842356</v>
      </c>
      <c r="E102" s="60">
        <f t="shared" si="5"/>
        <v>2353.2763532763533</v>
      </c>
    </row>
    <row r="103" spans="2:5" x14ac:dyDescent="0.35">
      <c r="B103" s="60">
        <v>13.026634382566586</v>
      </c>
      <c r="C103" s="60">
        <f t="shared" si="3"/>
        <v>767.65799256505579</v>
      </c>
      <c r="D103" s="60">
        <f t="shared" si="4"/>
        <v>1535.3159851301116</v>
      </c>
      <c r="E103" s="60">
        <f t="shared" si="5"/>
        <v>2302.9739776951674</v>
      </c>
    </row>
    <row r="104" spans="2:5" x14ac:dyDescent="0.35">
      <c r="B104" s="60">
        <v>13.305084745762713</v>
      </c>
      <c r="C104" s="60">
        <f t="shared" si="3"/>
        <v>751.59235668789802</v>
      </c>
      <c r="D104" s="60">
        <f t="shared" si="4"/>
        <v>1503.184713375796</v>
      </c>
      <c r="E104" s="60">
        <f t="shared" si="5"/>
        <v>2254.7770700636943</v>
      </c>
    </row>
    <row r="105" spans="2:5" x14ac:dyDescent="0.35">
      <c r="B105" s="60">
        <v>13.583535108958838</v>
      </c>
      <c r="C105" s="60">
        <f t="shared" si="3"/>
        <v>736.18538324420672</v>
      </c>
      <c r="D105" s="60">
        <f t="shared" si="4"/>
        <v>1472.3707664884134</v>
      </c>
      <c r="E105" s="60">
        <f t="shared" si="5"/>
        <v>2208.5561497326203</v>
      </c>
    </row>
    <row r="106" spans="2:5" x14ac:dyDescent="0.35">
      <c r="B106" s="60">
        <v>13.861985472154963</v>
      </c>
      <c r="C106" s="60">
        <f t="shared" si="3"/>
        <v>721.39737991266384</v>
      </c>
      <c r="D106" s="60">
        <f t="shared" si="4"/>
        <v>1442.7947598253277</v>
      </c>
      <c r="E106" s="60">
        <f t="shared" si="5"/>
        <v>2164.1921397379915</v>
      </c>
    </row>
    <row r="107" spans="2:5" x14ac:dyDescent="0.35">
      <c r="B107" s="60">
        <v>14.14043583535109</v>
      </c>
      <c r="C107" s="60">
        <f t="shared" si="3"/>
        <v>707.19178082191775</v>
      </c>
      <c r="D107" s="60">
        <f t="shared" si="4"/>
        <v>1414.3835616438355</v>
      </c>
      <c r="E107" s="60">
        <f t="shared" si="5"/>
        <v>2121.5753424657532</v>
      </c>
    </row>
    <row r="108" spans="2:5" x14ac:dyDescent="0.35">
      <c r="B108" s="60">
        <v>14.418886198547217</v>
      </c>
      <c r="C108" s="60">
        <f t="shared" si="3"/>
        <v>693.53484466834584</v>
      </c>
      <c r="D108" s="60">
        <f t="shared" si="4"/>
        <v>1387.0696893366917</v>
      </c>
      <c r="E108" s="60">
        <f t="shared" si="5"/>
        <v>2080.6045340050377</v>
      </c>
    </row>
    <row r="109" spans="2:5" x14ac:dyDescent="0.35">
      <c r="B109" s="60">
        <v>14.697336561743342</v>
      </c>
      <c r="C109" s="60">
        <f t="shared" si="3"/>
        <v>680.39538714991761</v>
      </c>
      <c r="D109" s="60">
        <f t="shared" si="4"/>
        <v>1360.7907742998352</v>
      </c>
      <c r="E109" s="60">
        <f t="shared" si="5"/>
        <v>2041.1861614497529</v>
      </c>
    </row>
    <row r="110" spans="2:5" x14ac:dyDescent="0.35">
      <c r="B110" s="60">
        <v>14.975786924939467</v>
      </c>
      <c r="C110" s="60">
        <f t="shared" si="3"/>
        <v>667.74454324979797</v>
      </c>
      <c r="D110" s="60">
        <f t="shared" si="4"/>
        <v>1335.4890864995959</v>
      </c>
      <c r="E110" s="60">
        <f t="shared" si="5"/>
        <v>2003.2336297493937</v>
      </c>
    </row>
    <row r="111" spans="2:5" x14ac:dyDescent="0.35">
      <c r="B111" s="60">
        <v>15.254237288135593</v>
      </c>
      <c r="C111" s="60">
        <f t="shared" si="3"/>
        <v>655.55555555555554</v>
      </c>
      <c r="D111" s="60">
        <f t="shared" si="4"/>
        <v>1311.1111111111111</v>
      </c>
      <c r="E111" s="60">
        <f t="shared" si="5"/>
        <v>1966.6666666666667</v>
      </c>
    </row>
    <row r="112" spans="2:5" x14ac:dyDescent="0.35">
      <c r="B112" s="60">
        <v>15.53268765133172</v>
      </c>
      <c r="C112" s="60">
        <f t="shared" si="3"/>
        <v>643.80358534684331</v>
      </c>
      <c r="D112" s="60">
        <f t="shared" si="4"/>
        <v>1287.6071706936866</v>
      </c>
      <c r="E112" s="60">
        <f t="shared" si="5"/>
        <v>1931.4107560405298</v>
      </c>
    </row>
    <row r="113" spans="2:5" x14ac:dyDescent="0.35">
      <c r="B113" s="60">
        <v>15.811138014527845</v>
      </c>
      <c r="C113" s="60">
        <f t="shared" si="3"/>
        <v>632.46554364471672</v>
      </c>
      <c r="D113" s="60">
        <f t="shared" si="4"/>
        <v>1264.9310872894334</v>
      </c>
      <c r="E113" s="60">
        <f t="shared" si="5"/>
        <v>1897.3966309341502</v>
      </c>
    </row>
    <row r="114" spans="2:5" x14ac:dyDescent="0.35">
      <c r="B114" s="60">
        <v>16.08958837772397</v>
      </c>
      <c r="C114" s="60">
        <f t="shared" si="3"/>
        <v>621.51993980436418</v>
      </c>
      <c r="D114" s="60">
        <f t="shared" si="4"/>
        <v>1243.0398796087284</v>
      </c>
      <c r="E114" s="60">
        <f t="shared" si="5"/>
        <v>1864.5598194130926</v>
      </c>
    </row>
    <row r="115" spans="2:5" x14ac:dyDescent="0.35">
      <c r="B115" s="60">
        <v>16.368038740920099</v>
      </c>
      <c r="C115" s="60">
        <f t="shared" si="3"/>
        <v>610.9467455621301</v>
      </c>
      <c r="D115" s="60">
        <f t="shared" si="4"/>
        <v>1221.8934911242602</v>
      </c>
      <c r="E115" s="60">
        <f t="shared" si="5"/>
        <v>1832.8402366863902</v>
      </c>
    </row>
    <row r="116" spans="2:5" x14ac:dyDescent="0.35">
      <c r="B116" s="60">
        <v>16.646489104116224</v>
      </c>
      <c r="C116" s="60">
        <f t="shared" si="3"/>
        <v>600.72727272727263</v>
      </c>
      <c r="D116" s="60">
        <f t="shared" si="4"/>
        <v>1201.4545454545453</v>
      </c>
      <c r="E116" s="60">
        <f t="shared" si="5"/>
        <v>1802.181818181818</v>
      </c>
    </row>
    <row r="117" spans="2:5" x14ac:dyDescent="0.35">
      <c r="B117" s="60">
        <v>16.924939467312349</v>
      </c>
      <c r="C117" s="60">
        <f t="shared" si="3"/>
        <v>590.84406294706719</v>
      </c>
      <c r="D117" s="60">
        <f t="shared" si="4"/>
        <v>1181.6881258941344</v>
      </c>
      <c r="E117" s="60">
        <f t="shared" si="5"/>
        <v>1772.5321888412018</v>
      </c>
    </row>
    <row r="118" spans="2:5" x14ac:dyDescent="0.35">
      <c r="B118" s="60">
        <v>17.203389830508478</v>
      </c>
      <c r="C118" s="60">
        <f t="shared" si="3"/>
        <v>581.28078817733979</v>
      </c>
      <c r="D118" s="60">
        <f t="shared" si="4"/>
        <v>1162.5615763546796</v>
      </c>
      <c r="E118" s="60">
        <f t="shared" si="5"/>
        <v>1743.8423645320195</v>
      </c>
    </row>
    <row r="119" spans="2:5" x14ac:dyDescent="0.35">
      <c r="B119" s="60">
        <v>17.481840193704599</v>
      </c>
      <c r="C119" s="60">
        <f t="shared" ref="C119:C146" si="6">IF(100*100/$B119&gt;3500,NA(),100*100/$B119)</f>
        <v>572.02216066482003</v>
      </c>
      <c r="D119" s="60">
        <f t="shared" ref="D119:D146" si="7">IF(200*100/$B119&gt;3500,NA(),200*100/$B119)</f>
        <v>1144.0443213296401</v>
      </c>
      <c r="E119" s="60">
        <f t="shared" ref="E119:E146" si="8">IF(300*100/$B119&gt;3500,NA(),300*100/$B119)</f>
        <v>1716.06648199446</v>
      </c>
    </row>
    <row r="120" spans="2:5" x14ac:dyDescent="0.35">
      <c r="B120" s="60">
        <v>17.760290556900728</v>
      </c>
      <c r="C120" s="60">
        <f t="shared" si="6"/>
        <v>563.05385139740963</v>
      </c>
      <c r="D120" s="60">
        <f t="shared" si="7"/>
        <v>1126.1077027948193</v>
      </c>
      <c r="E120" s="60">
        <f t="shared" si="8"/>
        <v>1689.161554192229</v>
      </c>
    </row>
    <row r="121" spans="2:5" x14ac:dyDescent="0.35">
      <c r="B121" s="60">
        <v>18.038740920096856</v>
      </c>
      <c r="C121" s="60">
        <f t="shared" si="6"/>
        <v>554.36241610738239</v>
      </c>
      <c r="D121" s="60">
        <f t="shared" si="7"/>
        <v>1108.7248322147648</v>
      </c>
      <c r="E121" s="60">
        <f t="shared" si="8"/>
        <v>1663.0872483221474</v>
      </c>
    </row>
    <row r="122" spans="2:5" x14ac:dyDescent="0.35">
      <c r="B122" s="60">
        <v>18.317191283292978</v>
      </c>
      <c r="C122" s="60">
        <f t="shared" si="6"/>
        <v>545.9352280237938</v>
      </c>
      <c r="D122" s="60">
        <f t="shared" si="7"/>
        <v>1091.8704560475876</v>
      </c>
      <c r="E122" s="60">
        <f t="shared" si="8"/>
        <v>1637.8056840713814</v>
      </c>
    </row>
    <row r="123" spans="2:5" x14ac:dyDescent="0.35">
      <c r="B123" s="60">
        <v>18.595641646489106</v>
      </c>
      <c r="C123" s="60">
        <f t="shared" si="6"/>
        <v>537.76041666666663</v>
      </c>
      <c r="D123" s="60">
        <f t="shared" si="7"/>
        <v>1075.5208333333333</v>
      </c>
      <c r="E123" s="60">
        <f t="shared" si="8"/>
        <v>1613.2812499999998</v>
      </c>
    </row>
    <row r="124" spans="2:5" x14ac:dyDescent="0.35">
      <c r="B124" s="60">
        <v>18.874092009685228</v>
      </c>
      <c r="C124" s="60">
        <f t="shared" si="6"/>
        <v>529.82681205901224</v>
      </c>
      <c r="D124" s="60">
        <f t="shared" si="7"/>
        <v>1059.6536241180245</v>
      </c>
      <c r="E124" s="60">
        <f t="shared" si="8"/>
        <v>1589.4804361770368</v>
      </c>
    </row>
    <row r="125" spans="2:5" x14ac:dyDescent="0.35">
      <c r="B125" s="60">
        <v>19.152542372881356</v>
      </c>
      <c r="C125" s="60">
        <f t="shared" si="6"/>
        <v>522.12389380530976</v>
      </c>
      <c r="D125" s="60">
        <f t="shared" si="7"/>
        <v>1044.2477876106195</v>
      </c>
      <c r="E125" s="60">
        <f t="shared" si="8"/>
        <v>1566.3716814159291</v>
      </c>
    </row>
    <row r="126" spans="2:5" x14ac:dyDescent="0.35">
      <c r="B126" s="60">
        <v>19.430992736077485</v>
      </c>
      <c r="C126" s="60">
        <f t="shared" si="6"/>
        <v>514.64174454828651</v>
      </c>
      <c r="D126" s="60">
        <f t="shared" si="7"/>
        <v>1029.283489096573</v>
      </c>
      <c r="E126" s="60">
        <f t="shared" si="8"/>
        <v>1543.9252336448596</v>
      </c>
    </row>
    <row r="127" spans="2:5" x14ac:dyDescent="0.35">
      <c r="B127" s="60">
        <v>19.709443099273606</v>
      </c>
      <c r="C127" s="60">
        <f t="shared" si="6"/>
        <v>507.37100737100741</v>
      </c>
      <c r="D127" s="60">
        <f t="shared" si="7"/>
        <v>1014.7420147420148</v>
      </c>
      <c r="E127" s="60">
        <f t="shared" si="8"/>
        <v>1522.1130221130222</v>
      </c>
    </row>
    <row r="128" spans="2:5" x14ac:dyDescent="0.35">
      <c r="B128" s="60">
        <v>19.987893462469735</v>
      </c>
      <c r="C128" s="60">
        <f t="shared" si="6"/>
        <v>500.30284675953965</v>
      </c>
      <c r="D128" s="60">
        <f t="shared" si="7"/>
        <v>1000.6056935190793</v>
      </c>
      <c r="E128" s="60">
        <f t="shared" si="8"/>
        <v>1500.9085402786188</v>
      </c>
    </row>
    <row r="129" spans="2:5" x14ac:dyDescent="0.35">
      <c r="B129" s="60">
        <v>20.266343825665864</v>
      </c>
      <c r="C129" s="60">
        <f t="shared" si="6"/>
        <v>493.4289127837514</v>
      </c>
      <c r="D129" s="60">
        <f t="shared" si="7"/>
        <v>986.8578255675028</v>
      </c>
      <c r="E129" s="60">
        <f t="shared" si="8"/>
        <v>1480.2867383512541</v>
      </c>
    </row>
    <row r="130" spans="2:5" x14ac:dyDescent="0.35">
      <c r="B130" s="60">
        <v>20.544794188861985</v>
      </c>
      <c r="C130" s="60">
        <f t="shared" si="6"/>
        <v>486.74130819092517</v>
      </c>
      <c r="D130" s="60">
        <f t="shared" si="7"/>
        <v>973.48261638185033</v>
      </c>
      <c r="E130" s="60">
        <f t="shared" si="8"/>
        <v>1460.2239245727756</v>
      </c>
    </row>
    <row r="131" spans="2:5" x14ac:dyDescent="0.35">
      <c r="B131" s="60">
        <v>20.823244552058114</v>
      </c>
      <c r="C131" s="60">
        <f t="shared" si="6"/>
        <v>480.23255813953483</v>
      </c>
      <c r="D131" s="60">
        <f t="shared" si="7"/>
        <v>960.46511627906966</v>
      </c>
      <c r="E131" s="60">
        <f t="shared" si="8"/>
        <v>1440.6976744186045</v>
      </c>
    </row>
    <row r="132" spans="2:5" x14ac:dyDescent="0.35">
      <c r="B132" s="60">
        <v>21.101694915254235</v>
      </c>
      <c r="C132" s="60">
        <f t="shared" si="6"/>
        <v>473.89558232931734</v>
      </c>
      <c r="D132" s="60">
        <f t="shared" si="7"/>
        <v>947.79116465863467</v>
      </c>
      <c r="E132" s="60">
        <f t="shared" si="8"/>
        <v>1421.6867469879519</v>
      </c>
    </row>
    <row r="133" spans="2:5" x14ac:dyDescent="0.35">
      <c r="B133" s="60">
        <v>21.380145278450364</v>
      </c>
      <c r="C133" s="60">
        <f t="shared" si="6"/>
        <v>467.72366930917326</v>
      </c>
      <c r="D133" s="60">
        <f t="shared" si="7"/>
        <v>935.44733861834652</v>
      </c>
      <c r="E133" s="60">
        <f t="shared" si="8"/>
        <v>1403.1710079275197</v>
      </c>
    </row>
    <row r="134" spans="2:5" x14ac:dyDescent="0.35">
      <c r="B134" s="60">
        <v>21.658595641646492</v>
      </c>
      <c r="C134" s="60">
        <f t="shared" si="6"/>
        <v>461.71045276690882</v>
      </c>
      <c r="D134" s="60">
        <f t="shared" si="7"/>
        <v>923.42090553381763</v>
      </c>
      <c r="E134" s="60">
        <f t="shared" si="8"/>
        <v>1385.1313583007266</v>
      </c>
    </row>
    <row r="135" spans="2:5" x14ac:dyDescent="0.35">
      <c r="B135" s="60">
        <v>21.937046004842614</v>
      </c>
      <c r="C135" s="60">
        <f t="shared" si="6"/>
        <v>455.84988962472409</v>
      </c>
      <c r="D135" s="60">
        <f t="shared" si="7"/>
        <v>911.69977924944817</v>
      </c>
      <c r="E135" s="60">
        <f t="shared" si="8"/>
        <v>1367.5496688741723</v>
      </c>
    </row>
    <row r="136" spans="2:5" x14ac:dyDescent="0.35">
      <c r="B136" s="60">
        <v>22.215496368038743</v>
      </c>
      <c r="C136" s="60">
        <f t="shared" si="6"/>
        <v>450.13623978201633</v>
      </c>
      <c r="D136" s="60">
        <f t="shared" si="7"/>
        <v>900.27247956403266</v>
      </c>
      <c r="E136" s="60">
        <f t="shared" si="8"/>
        <v>1350.4087193460489</v>
      </c>
    </row>
    <row r="137" spans="2:5" x14ac:dyDescent="0.35">
      <c r="B137" s="60">
        <v>22.493946731234871</v>
      </c>
      <c r="C137" s="60">
        <f t="shared" si="6"/>
        <v>444.56404736275556</v>
      </c>
      <c r="D137" s="60">
        <f t="shared" si="7"/>
        <v>889.12809472551112</v>
      </c>
      <c r="E137" s="60">
        <f t="shared" si="8"/>
        <v>1333.6921420882668</v>
      </c>
    </row>
    <row r="138" spans="2:5" x14ac:dyDescent="0.35">
      <c r="B138" s="60">
        <v>22.772397094430993</v>
      </c>
      <c r="C138" s="60">
        <f t="shared" si="6"/>
        <v>439.12812333864963</v>
      </c>
      <c r="D138" s="60">
        <f t="shared" si="7"/>
        <v>878.25624667729926</v>
      </c>
      <c r="E138" s="60">
        <f t="shared" si="8"/>
        <v>1317.3843700159489</v>
      </c>
    </row>
    <row r="139" spans="2:5" x14ac:dyDescent="0.35">
      <c r="B139" s="60">
        <v>23.050847457627121</v>
      </c>
      <c r="C139" s="60">
        <f t="shared" si="6"/>
        <v>433.82352941176464</v>
      </c>
      <c r="D139" s="60">
        <f t="shared" si="7"/>
        <v>867.64705882352928</v>
      </c>
      <c r="E139" s="60">
        <f t="shared" si="8"/>
        <v>1301.4705882352939</v>
      </c>
    </row>
    <row r="140" spans="2:5" x14ac:dyDescent="0.35">
      <c r="B140" s="60">
        <v>23.329297820823246</v>
      </c>
      <c r="C140" s="60">
        <f t="shared" si="6"/>
        <v>428.64556305137518</v>
      </c>
      <c r="D140" s="60">
        <f t="shared" si="7"/>
        <v>857.29112610275035</v>
      </c>
      <c r="E140" s="60">
        <f t="shared" si="8"/>
        <v>1285.9366891541256</v>
      </c>
    </row>
    <row r="141" spans="2:5" x14ac:dyDescent="0.35">
      <c r="B141" s="60">
        <v>23.607748184019371</v>
      </c>
      <c r="C141" s="60">
        <f t="shared" si="6"/>
        <v>423.58974358974359</v>
      </c>
      <c r="D141" s="60">
        <f t="shared" si="7"/>
        <v>847.17948717948718</v>
      </c>
      <c r="E141" s="60">
        <f t="shared" si="8"/>
        <v>1270.7692307692307</v>
      </c>
    </row>
    <row r="142" spans="2:5" x14ac:dyDescent="0.35">
      <c r="B142" s="60">
        <v>23.8861985472155</v>
      </c>
      <c r="C142" s="60">
        <f t="shared" si="6"/>
        <v>418.65179929042063</v>
      </c>
      <c r="D142" s="60">
        <f t="shared" si="7"/>
        <v>837.30359858084125</v>
      </c>
      <c r="E142" s="60">
        <f t="shared" si="8"/>
        <v>1255.9553978712618</v>
      </c>
    </row>
    <row r="143" spans="2:5" x14ac:dyDescent="0.35">
      <c r="B143" s="60">
        <v>24.164648910411621</v>
      </c>
      <c r="C143" s="60">
        <f t="shared" si="6"/>
        <v>413.82765531062125</v>
      </c>
      <c r="D143" s="60">
        <f t="shared" si="7"/>
        <v>827.65531062124251</v>
      </c>
      <c r="E143" s="60">
        <f t="shared" si="8"/>
        <v>1241.4829659318639</v>
      </c>
    </row>
    <row r="144" spans="2:5" x14ac:dyDescent="0.35">
      <c r="B144" s="60">
        <v>24.44309927360775</v>
      </c>
      <c r="C144" s="60">
        <f t="shared" si="6"/>
        <v>409.11342248637936</v>
      </c>
      <c r="D144" s="60">
        <f t="shared" si="7"/>
        <v>818.22684497275873</v>
      </c>
      <c r="E144" s="60">
        <f t="shared" si="8"/>
        <v>1227.3402674591382</v>
      </c>
    </row>
    <row r="145" spans="2:5" x14ac:dyDescent="0.35">
      <c r="B145" s="60">
        <v>24.721549636803879</v>
      </c>
      <c r="C145" s="60">
        <f t="shared" si="6"/>
        <v>404.50538687561209</v>
      </c>
      <c r="D145" s="60">
        <f t="shared" si="7"/>
        <v>809.01077375122418</v>
      </c>
      <c r="E145" s="60">
        <f t="shared" si="8"/>
        <v>1213.5161606268362</v>
      </c>
    </row>
    <row r="146" spans="2:5" x14ac:dyDescent="0.35">
      <c r="B146" s="60">
        <v>25</v>
      </c>
      <c r="C146" s="60">
        <f t="shared" si="6"/>
        <v>400</v>
      </c>
      <c r="D146" s="60">
        <f t="shared" si="7"/>
        <v>800</v>
      </c>
      <c r="E146" s="60">
        <f t="shared" si="8"/>
        <v>1200</v>
      </c>
    </row>
  </sheetData>
  <mergeCells count="8">
    <mergeCell ref="B7:E7"/>
    <mergeCell ref="B10:E10"/>
    <mergeCell ref="B1:E1"/>
    <mergeCell ref="B2:E2"/>
    <mergeCell ref="B3:E3"/>
    <mergeCell ref="B4:E4"/>
    <mergeCell ref="B5:E5"/>
    <mergeCell ref="B6:E6"/>
  </mergeCells>
  <printOptions horizontalCentered="1" verticalCentered="1"/>
  <pageMargins left="0.25" right="0.25" top="0.25" bottom="0.25" header="0.125" footer="0.125"/>
  <pageSetup scale="8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9C980-4CDB-44C6-A036-747D8C77FE4D}">
  <sheetPr>
    <pageSetUpPr fitToPage="1"/>
  </sheetPr>
  <dimension ref="A1:F19"/>
  <sheetViews>
    <sheetView showGridLines="0" workbookViewId="0"/>
  </sheetViews>
  <sheetFormatPr defaultRowHeight="14.5" x14ac:dyDescent="0.35"/>
  <cols>
    <col min="1" max="1" width="12.6328125" customWidth="1"/>
    <col min="2" max="5" width="10.6328125" customWidth="1"/>
  </cols>
  <sheetData>
    <row r="1" spans="1:6" ht="14.5" customHeight="1" x14ac:dyDescent="0.35">
      <c r="A1" s="16" t="s">
        <v>75</v>
      </c>
      <c r="B1" s="18" t="s">
        <v>76</v>
      </c>
      <c r="C1" s="18"/>
      <c r="D1" s="18"/>
      <c r="E1" s="18"/>
      <c r="F1" s="28"/>
    </row>
    <row r="2" spans="1:6" ht="14.5" customHeight="1" x14ac:dyDescent="0.35">
      <c r="A2" s="16" t="s">
        <v>77</v>
      </c>
      <c r="B2" s="18" t="s">
        <v>285</v>
      </c>
      <c r="C2" s="18"/>
      <c r="D2" s="18"/>
      <c r="E2" s="18"/>
      <c r="F2" s="28"/>
    </row>
    <row r="3" spans="1:6" x14ac:dyDescent="0.35">
      <c r="A3" s="16" t="s">
        <v>79</v>
      </c>
      <c r="B3" s="18" t="s">
        <v>280</v>
      </c>
      <c r="C3" s="17"/>
      <c r="D3" s="17"/>
      <c r="E3" s="17"/>
      <c r="F3" s="17"/>
    </row>
    <row r="4" spans="1:6" x14ac:dyDescent="0.35">
      <c r="A4" s="16" t="s">
        <v>81</v>
      </c>
      <c r="B4" s="18" t="s">
        <v>286</v>
      </c>
      <c r="C4" s="17"/>
      <c r="D4" s="17"/>
      <c r="E4" s="17"/>
      <c r="F4" s="17"/>
    </row>
    <row r="5" spans="1:6" x14ac:dyDescent="0.35">
      <c r="A5" s="16" t="s">
        <v>83</v>
      </c>
      <c r="B5" s="18" t="s">
        <v>24</v>
      </c>
      <c r="C5" s="17"/>
      <c r="D5" s="17"/>
      <c r="E5" s="17"/>
      <c r="F5" s="17"/>
    </row>
    <row r="6" spans="1:6" ht="48" customHeight="1" x14ac:dyDescent="0.35">
      <c r="A6" s="16" t="s">
        <v>84</v>
      </c>
      <c r="B6" s="18" t="s">
        <v>287</v>
      </c>
      <c r="C6" s="18"/>
      <c r="D6" s="18"/>
      <c r="E6" s="18"/>
      <c r="F6" s="28"/>
    </row>
    <row r="7" spans="1:6" ht="14.5" customHeight="1" x14ac:dyDescent="0.35">
      <c r="A7" s="16" t="s">
        <v>86</v>
      </c>
      <c r="B7" s="19" t="str">
        <f>B2&amp;IF(B3="",""," in "&amp;B3)</f>
        <v>Underwriting performance by segment</v>
      </c>
      <c r="C7" s="19"/>
      <c r="D7" s="19"/>
      <c r="E7" s="19"/>
      <c r="F7" s="28"/>
    </row>
    <row r="8" spans="1:6" x14ac:dyDescent="0.35">
      <c r="A8" s="16" t="s">
        <v>288</v>
      </c>
      <c r="B8" s="64" t="s">
        <v>107</v>
      </c>
      <c r="C8" s="64" t="s">
        <v>80</v>
      </c>
    </row>
    <row r="10" spans="1:6" x14ac:dyDescent="0.35">
      <c r="A10" s="59" t="s">
        <v>24</v>
      </c>
      <c r="B10" s="24" t="s">
        <v>289</v>
      </c>
      <c r="C10" s="24" t="s">
        <v>290</v>
      </c>
      <c r="D10" s="24" t="s">
        <v>13</v>
      </c>
      <c r="E10" s="6" t="str">
        <f>B8&amp;" in "&amp;C8</f>
        <v>Net premiums earned in $m</v>
      </c>
    </row>
    <row r="11" spans="1:6" x14ac:dyDescent="0.35">
      <c r="A11" s="20" t="s">
        <v>93</v>
      </c>
      <c r="B11" s="61">
        <v>19.600000000000001</v>
      </c>
      <c r="C11" s="61">
        <v>72.599999999999994</v>
      </c>
      <c r="D11" s="20" t="s">
        <v>24</v>
      </c>
      <c r="E11" s="35">
        <v>9108.6</v>
      </c>
    </row>
    <row r="12" spans="1:6" x14ac:dyDescent="0.35">
      <c r="A12" s="20" t="s">
        <v>94</v>
      </c>
      <c r="B12" s="61">
        <v>20.100000000000001</v>
      </c>
      <c r="C12" s="61">
        <v>75</v>
      </c>
      <c r="D12" s="20" t="s">
        <v>24</v>
      </c>
      <c r="E12" s="35">
        <v>8185.9</v>
      </c>
    </row>
    <row r="13" spans="1:6" x14ac:dyDescent="0.35">
      <c r="A13" s="20" t="s">
        <v>96</v>
      </c>
      <c r="B13" s="61">
        <v>21.7</v>
      </c>
      <c r="C13" s="61">
        <v>62.4</v>
      </c>
      <c r="D13" s="20" t="s">
        <v>24</v>
      </c>
      <c r="E13" s="35">
        <v>1995.9</v>
      </c>
    </row>
    <row r="14" spans="1:6" x14ac:dyDescent="0.35">
      <c r="A14" s="58" t="s">
        <v>17</v>
      </c>
    </row>
    <row r="15" spans="1:6" x14ac:dyDescent="0.35">
      <c r="A15" s="20" t="s">
        <v>93</v>
      </c>
      <c r="B15" s="61">
        <v>19.7</v>
      </c>
      <c r="C15" s="61">
        <v>75.3</v>
      </c>
      <c r="D15" s="20" t="s">
        <v>17</v>
      </c>
      <c r="E15" s="35">
        <v>9791.7000000000007</v>
      </c>
    </row>
    <row r="16" spans="1:6" x14ac:dyDescent="0.35">
      <c r="A16" s="20" t="s">
        <v>94</v>
      </c>
      <c r="B16" s="61">
        <v>18.8</v>
      </c>
      <c r="C16" s="61">
        <v>76.8</v>
      </c>
      <c r="D16" s="20" t="s">
        <v>17</v>
      </c>
      <c r="E16" s="35">
        <v>9396.5</v>
      </c>
    </row>
    <row r="17" spans="1:5" x14ac:dyDescent="0.35">
      <c r="A17" s="20" t="s">
        <v>96</v>
      </c>
      <c r="B17" s="61">
        <v>21.7</v>
      </c>
      <c r="C17" s="61">
        <v>71.900000000000006</v>
      </c>
      <c r="D17" s="20" t="s">
        <v>17</v>
      </c>
      <c r="E17" s="35">
        <v>2421.3000000000002</v>
      </c>
    </row>
    <row r="18" spans="1:5" x14ac:dyDescent="0.35">
      <c r="A18" s="58" t="s">
        <v>55</v>
      </c>
    </row>
    <row r="19" spans="1:5" x14ac:dyDescent="0.35">
      <c r="A19" s="20" t="s">
        <v>95</v>
      </c>
      <c r="B19" s="61">
        <v>33.020000000000003</v>
      </c>
      <c r="C19" s="61">
        <v>63.2</v>
      </c>
      <c r="D19" s="20" t="s">
        <v>55</v>
      </c>
      <c r="E19" s="35">
        <v>864.5</v>
      </c>
    </row>
  </sheetData>
  <mergeCells count="7">
    <mergeCell ref="B1:E1"/>
    <mergeCell ref="B2:E2"/>
    <mergeCell ref="B6:E6"/>
    <mergeCell ref="B7:E7"/>
    <mergeCell ref="B3:F3"/>
    <mergeCell ref="B4:F4"/>
    <mergeCell ref="B5:F5"/>
  </mergeCells>
  <printOptions horizontalCentered="1" verticalCentered="1"/>
  <pageMargins left="0.25" right="0.25" top="0.25" bottom="0.25" header="0.125" footer="0.125"/>
  <pageSetup scale="9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3903F-5763-42F0-A5CE-FCF9E5263984}">
  <sheetPr>
    <pageSetUpPr fitToPage="1"/>
  </sheetPr>
  <dimension ref="A1:H63"/>
  <sheetViews>
    <sheetView showGridLines="0" workbookViewId="0"/>
  </sheetViews>
  <sheetFormatPr defaultRowHeight="14.5" x14ac:dyDescent="0.35"/>
  <cols>
    <col min="1" max="1" width="17.6328125" customWidth="1"/>
    <col min="2" max="8" width="8.6328125" customWidth="1"/>
  </cols>
  <sheetData>
    <row r="1" spans="1:8" ht="14.5" customHeight="1" x14ac:dyDescent="0.35">
      <c r="A1" s="16" t="s">
        <v>75</v>
      </c>
      <c r="B1" s="18" t="s">
        <v>76</v>
      </c>
      <c r="C1" s="18"/>
      <c r="D1" s="18"/>
      <c r="E1" s="18"/>
      <c r="F1" s="18"/>
      <c r="G1" s="18"/>
      <c r="H1" s="18"/>
    </row>
    <row r="2" spans="1:8" x14ac:dyDescent="0.35">
      <c r="A2" s="16" t="s">
        <v>77</v>
      </c>
      <c r="B2" s="18" t="s">
        <v>291</v>
      </c>
      <c r="C2" s="17"/>
      <c r="D2" s="17"/>
      <c r="E2" s="17"/>
      <c r="F2" s="17"/>
      <c r="G2" s="17"/>
      <c r="H2" s="17"/>
    </row>
    <row r="3" spans="1:8" x14ac:dyDescent="0.35">
      <c r="A3" s="16" t="s">
        <v>79</v>
      </c>
      <c r="B3" s="18" t="s">
        <v>292</v>
      </c>
      <c r="C3" s="17"/>
      <c r="D3" s="17"/>
      <c r="E3" s="17"/>
      <c r="F3" s="17"/>
      <c r="G3" s="17"/>
      <c r="H3" s="17"/>
    </row>
    <row r="4" spans="1:8" x14ac:dyDescent="0.35">
      <c r="A4" s="16" t="s">
        <v>81</v>
      </c>
      <c r="B4" s="18" t="s">
        <v>293</v>
      </c>
      <c r="C4" s="17"/>
      <c r="D4" s="17"/>
      <c r="E4" s="17"/>
      <c r="F4" s="17"/>
      <c r="G4" s="17"/>
      <c r="H4" s="17"/>
    </row>
    <row r="5" spans="1:8" x14ac:dyDescent="0.35">
      <c r="A5" s="16" t="s">
        <v>83</v>
      </c>
      <c r="B5" s="18" t="s">
        <v>31</v>
      </c>
      <c r="C5" s="17"/>
      <c r="D5" s="17"/>
      <c r="E5" s="17"/>
      <c r="F5" s="17"/>
      <c r="G5" s="17"/>
      <c r="H5" s="17"/>
    </row>
    <row r="6" spans="1:8" ht="48" customHeight="1" x14ac:dyDescent="0.35">
      <c r="A6" s="16" t="s">
        <v>84</v>
      </c>
      <c r="B6" s="18" t="s">
        <v>294</v>
      </c>
      <c r="C6" s="18"/>
      <c r="D6" s="18"/>
      <c r="E6" s="18"/>
      <c r="F6" s="18"/>
      <c r="G6" s="18"/>
      <c r="H6" s="18"/>
    </row>
    <row r="7" spans="1:8" ht="14.5" customHeight="1" x14ac:dyDescent="0.35">
      <c r="A7" s="16" t="s">
        <v>86</v>
      </c>
      <c r="B7" s="19" t="str">
        <f>B2&amp;IF(B3="",""," in "&amp;B3)</f>
        <v>Return on equity in %</v>
      </c>
      <c r="C7" s="19"/>
      <c r="D7" s="19"/>
      <c r="E7" s="19"/>
      <c r="F7" s="19"/>
      <c r="G7" s="19"/>
      <c r="H7" s="19"/>
    </row>
    <row r="9" spans="1:8" x14ac:dyDescent="0.35">
      <c r="A9" t="s">
        <v>299</v>
      </c>
      <c r="B9" s="21" t="s">
        <v>295</v>
      </c>
      <c r="C9" s="21" t="s">
        <v>296</v>
      </c>
      <c r="D9" s="21" t="s">
        <v>297</v>
      </c>
      <c r="E9" s="21" t="s">
        <v>298</v>
      </c>
      <c r="F9" s="21" t="s">
        <v>157</v>
      </c>
      <c r="G9" s="21" t="s">
        <v>254</v>
      </c>
      <c r="H9" s="21" t="s">
        <v>108</v>
      </c>
    </row>
    <row r="10" spans="1:8" x14ac:dyDescent="0.35">
      <c r="A10" t="s">
        <v>13</v>
      </c>
      <c r="B10" s="58" t="s">
        <v>17</v>
      </c>
      <c r="C10" s="58" t="s">
        <v>17</v>
      </c>
      <c r="D10" s="58" t="s">
        <v>17</v>
      </c>
      <c r="E10" s="58" t="s">
        <v>17</v>
      </c>
      <c r="F10" s="58" t="s">
        <v>17</v>
      </c>
      <c r="G10" s="58" t="s">
        <v>17</v>
      </c>
      <c r="H10" s="58" t="s">
        <v>17</v>
      </c>
    </row>
    <row r="11" spans="1:8" x14ac:dyDescent="0.35">
      <c r="A11" t="s">
        <v>300</v>
      </c>
      <c r="B11" s="21" t="str">
        <f>B10</f>
        <v>AC</v>
      </c>
      <c r="C11" s="65" t="str">
        <f>IF(C10=B10,"",C10)</f>
        <v/>
      </c>
      <c r="D11" s="65" t="str">
        <f>IF(D10=C10,"",D10)</f>
        <v/>
      </c>
      <c r="E11" s="65" t="str">
        <f>IF(E10=D10,"",E10)</f>
        <v/>
      </c>
      <c r="F11" s="65" t="str">
        <f>IF(F10=E10,"",F10)</f>
        <v/>
      </c>
      <c r="G11" s="65" t="str">
        <f>IF(G10=F10,"",G10)</f>
        <v/>
      </c>
      <c r="H11" s="65" t="str">
        <f>IF(H10=G10,"",H10)</f>
        <v/>
      </c>
    </row>
    <row r="12" spans="1:8" x14ac:dyDescent="0.35">
      <c r="A12" t="s">
        <v>301</v>
      </c>
      <c r="B12" s="21" t="str">
        <f>B9</f>
        <v>2019</v>
      </c>
      <c r="C12" s="65" t="str">
        <f>""</f>
        <v/>
      </c>
      <c r="D12" s="65" t="str">
        <f>""</f>
        <v/>
      </c>
      <c r="E12" s="65" t="str">
        <f>""</f>
        <v/>
      </c>
      <c r="F12" s="65" t="str">
        <f>""</f>
        <v/>
      </c>
      <c r="G12" s="65" t="str">
        <f>""</f>
        <v/>
      </c>
      <c r="H12" s="21" t="str">
        <f>H9</f>
        <v>2025</v>
      </c>
    </row>
    <row r="13" spans="1:8" x14ac:dyDescent="0.35">
      <c r="A13" t="s">
        <v>114</v>
      </c>
      <c r="B13" s="35">
        <v>3294</v>
      </c>
      <c r="C13" s="35">
        <v>4829</v>
      </c>
      <c r="D13" s="35">
        <v>2085</v>
      </c>
      <c r="E13" s="35">
        <v>2068</v>
      </c>
      <c r="F13" s="35">
        <v>2992</v>
      </c>
      <c r="G13" s="35">
        <v>7929</v>
      </c>
      <c r="H13" s="35">
        <v>10289</v>
      </c>
    </row>
    <row r="14" spans="1:8" x14ac:dyDescent="0.35">
      <c r="A14" t="s">
        <v>107</v>
      </c>
      <c r="B14" s="35">
        <v>36192</v>
      </c>
      <c r="C14" s="35">
        <v>39262</v>
      </c>
      <c r="D14" s="35">
        <v>44369</v>
      </c>
      <c r="E14" s="35">
        <v>49241</v>
      </c>
      <c r="F14" s="35">
        <v>58664</v>
      </c>
      <c r="G14" s="35">
        <v>70799</v>
      </c>
      <c r="H14" s="35">
        <v>81661</v>
      </c>
    </row>
    <row r="15" spans="1:8" x14ac:dyDescent="0.35">
      <c r="A15" t="s">
        <v>302</v>
      </c>
      <c r="B15" s="35">
        <v>13673</v>
      </c>
      <c r="C15" s="35">
        <v>17039</v>
      </c>
      <c r="D15" s="35">
        <v>18232</v>
      </c>
      <c r="E15" s="35">
        <v>15891</v>
      </c>
      <c r="F15" s="35">
        <v>20277</v>
      </c>
      <c r="G15" s="35">
        <v>25591</v>
      </c>
      <c r="H15" s="35">
        <v>30323</v>
      </c>
    </row>
    <row r="16" spans="1:8" x14ac:dyDescent="0.35">
      <c r="A16" t="s">
        <v>303</v>
      </c>
      <c r="B16" s="34">
        <f>B13/B14*100</f>
        <v>9.1014588859416445</v>
      </c>
      <c r="C16" s="34">
        <f>C13/C14*100</f>
        <v>12.299424379807448</v>
      </c>
      <c r="D16" s="34">
        <f>D13/D14*100</f>
        <v>4.6992269377267917</v>
      </c>
      <c r="E16" s="34">
        <f>E13/E14*100</f>
        <v>4.199752238987835</v>
      </c>
      <c r="F16" s="34">
        <f>F13/F14*100</f>
        <v>5.1002318287194868</v>
      </c>
      <c r="G16" s="34">
        <f>G13/G14*100</f>
        <v>11.19931072472775</v>
      </c>
      <c r="H16" s="34">
        <f>H13/H14*100</f>
        <v>12.599649771616805</v>
      </c>
    </row>
    <row r="17" spans="1:8" x14ac:dyDescent="0.35">
      <c r="A17" t="s">
        <v>304</v>
      </c>
      <c r="B17" s="34">
        <f>B14/B15</f>
        <v>2.6469684780223797</v>
      </c>
      <c r="C17" s="34">
        <f>C14/C15</f>
        <v>2.3042432067609599</v>
      </c>
      <c r="D17" s="34">
        <f>D14/D15</f>
        <v>2.4335783238262394</v>
      </c>
      <c r="E17" s="34">
        <f>E14/E15</f>
        <v>3.0986722043924235</v>
      </c>
      <c r="F17" s="34">
        <f>F14/F15</f>
        <v>2.8931301474577107</v>
      </c>
      <c r="G17" s="34">
        <f>G14/G15</f>
        <v>2.766558555742253</v>
      </c>
      <c r="H17" s="34">
        <f>H14/H15</f>
        <v>2.6930382877683607</v>
      </c>
    </row>
    <row r="18" spans="1:8" x14ac:dyDescent="0.35">
      <c r="A18" t="s">
        <v>291</v>
      </c>
      <c r="B18" s="34">
        <f>B13/B15*100</f>
        <v>24.091274775104221</v>
      </c>
      <c r="C18" s="34">
        <f>C13/C15*100</f>
        <v>28.340865074241446</v>
      </c>
      <c r="D18" s="34">
        <f>D13/D15*100</f>
        <v>11.435936814392278</v>
      </c>
      <c r="E18" s="34">
        <f>E13/E15*100</f>
        <v>13.013655528286453</v>
      </c>
      <c r="F18" s="34">
        <f>F13/F15*100</f>
        <v>14.755634462691718</v>
      </c>
      <c r="G18" s="34">
        <f>G13/G15*100</f>
        <v>30.983548903911533</v>
      </c>
      <c r="H18" s="34">
        <f>H13/H15*100</f>
        <v>33.931339247435936</v>
      </c>
    </row>
    <row r="20" spans="1:8" x14ac:dyDescent="0.35">
      <c r="A20" t="s">
        <v>305</v>
      </c>
      <c r="B20" s="26">
        <f>MAX(_xlfn.AGGREGATE(4,6,B18:H18,B16:H16),-_xlfn.AGGREGATE(5,6,B18:H18,B16:H16),0.000000001)</f>
        <v>33.931339247435936</v>
      </c>
    </row>
    <row r="21" spans="1:8" x14ac:dyDescent="0.35">
      <c r="A21" t="s">
        <v>306</v>
      </c>
      <c r="B21" s="26">
        <f>MAX(_xlfn.AGGREGATE(4,6,B17:H17),-_xlfn.AGGREGATE(5,6,B17:H17),0.000000001)</f>
        <v>3.0986722043924235</v>
      </c>
    </row>
    <row r="22" spans="1:8" x14ac:dyDescent="0.35">
      <c r="A22" t="s">
        <v>307</v>
      </c>
      <c r="B22" s="26">
        <f>MAX(_xlfn.AGGREGATE(4,6,B13:H13,B14:H14,B15:H15),-_xlfn.AGGREGATE(5,6,B13:H13,B14:H14,B15:H15),0.000000001)</f>
        <v>81661</v>
      </c>
    </row>
    <row r="23" spans="1:8" hidden="1" x14ac:dyDescent="0.35"/>
    <row r="24" spans="1:8" hidden="1" x14ac:dyDescent="0.35"/>
    <row r="25" spans="1:8" hidden="1" x14ac:dyDescent="0.35"/>
    <row r="26" spans="1:8" hidden="1" x14ac:dyDescent="0.35"/>
    <row r="27" spans="1:8" hidden="1" x14ac:dyDescent="0.35"/>
    <row r="28" spans="1:8" hidden="1" x14ac:dyDescent="0.35"/>
    <row r="29" spans="1:8" hidden="1" x14ac:dyDescent="0.35"/>
    <row r="30" spans="1:8" hidden="1" x14ac:dyDescent="0.35"/>
    <row r="31" spans="1:8" hidden="1" x14ac:dyDescent="0.35"/>
    <row r="32" spans="1:8" hidden="1" x14ac:dyDescent="0.35"/>
    <row r="33" spans="1:8" hidden="1" x14ac:dyDescent="0.35"/>
    <row r="34" spans="1:8" hidden="1" x14ac:dyDescent="0.35"/>
    <row r="35" spans="1:8" hidden="1" x14ac:dyDescent="0.35">
      <c r="A35" t="s">
        <v>314</v>
      </c>
      <c r="B35">
        <f>IF(ISNA(B13),NA(),IF(ISBLANK(B13),NA(),B13/$B$22))</f>
        <v>4.0337492805623244E-2</v>
      </c>
      <c r="C35">
        <f>IF(ISNA(C13),NA(),IF(ISBLANK(C13),NA(),C13/$B$22))</f>
        <v>5.9134715470053022E-2</v>
      </c>
      <c r="D35">
        <f>IF(ISNA(D13),NA(),IF(ISBLANK(D13),NA(),D13/$B$22))</f>
        <v>2.5532383879697775E-2</v>
      </c>
      <c r="E35">
        <f>IF(ISNA(E13),NA(),IF(ISBLANK(E13),NA(),E13/$B$22))</f>
        <v>2.5324206169407674E-2</v>
      </c>
      <c r="F35">
        <f>IF(ISNA(F13),NA(),IF(ISBLANK(F13),NA(),F13/$B$22))</f>
        <v>3.6639277011057909E-2</v>
      </c>
      <c r="G35">
        <f>IF(ISNA(G13),NA(),IF(ISBLANK(G13),NA(),G13/$B$22))</f>
        <v>9.7096533228836282E-2</v>
      </c>
      <c r="H35">
        <f>IF(ISNA(H13),NA(),IF(ISBLANK(H13),NA(),H13/$B$22))</f>
        <v>0.12599649771616805</v>
      </c>
    </row>
    <row r="36" spans="1:8" hidden="1" x14ac:dyDescent="0.35">
      <c r="A36" t="s">
        <v>316</v>
      </c>
      <c r="B36">
        <f>IF(ISNA(B14),NA(),IF(ISBLANK(B14),NA(),B14/$B$22))</f>
        <v>0.44319809945996252</v>
      </c>
      <c r="C36">
        <f>IF(ISNA(C14),NA(),IF(ISBLANK(C14),NA(),C14/$B$22))</f>
        <v>0.48079254478882211</v>
      </c>
      <c r="D36">
        <f>IF(ISNA(D14),NA(),IF(ISBLANK(D14),NA(),D14/$B$22))</f>
        <v>0.5433315781095015</v>
      </c>
      <c r="E36">
        <f>IF(ISNA(E14),NA(),IF(ISBLANK(E14),NA(),E14/$B$22))</f>
        <v>0.60299286072911185</v>
      </c>
      <c r="F36">
        <f>IF(ISNA(F14),NA(),IF(ISBLANK(F14),NA(),F14/$B$22))</f>
        <v>0.71838454096814885</v>
      </c>
      <c r="G36">
        <f>IF(ISNA(G14),NA(),IF(ISBLANK(G14),NA(),G14/$B$22))</f>
        <v>0.86698668887228914</v>
      </c>
      <c r="H36">
        <f>IF(ISNA(H14),NA(),IF(ISBLANK(H14),NA(),H14/$B$22))</f>
        <v>1</v>
      </c>
    </row>
    <row r="37" spans="1:8" hidden="1" x14ac:dyDescent="0.35">
      <c r="A37" t="s">
        <v>318</v>
      </c>
      <c r="B37">
        <f>IF(ISNA(B15),NA(),IF(ISBLANK(B15),NA(),B15/$B$22))</f>
        <v>0.16743610781156243</v>
      </c>
      <c r="C37">
        <f>IF(ISNA(C15),NA(),IF(ISBLANK(C15),NA(),C15/$B$22))</f>
        <v>0.20865529444900258</v>
      </c>
      <c r="D37">
        <f>IF(ISNA(D15),NA(),IF(ISBLANK(D15),NA(),D15/$B$22))</f>
        <v>0.22326447141230207</v>
      </c>
      <c r="E37">
        <f>IF(ISNA(E15),NA(),IF(ISBLANK(E15),NA(),E15/$B$22))</f>
        <v>0.19459717613058866</v>
      </c>
      <c r="F37">
        <f>IF(ISNA(F15),NA(),IF(ISBLANK(F15),NA(),F15/$B$22))</f>
        <v>0.24830702538543492</v>
      </c>
      <c r="G37">
        <f>IF(ISNA(G15),NA(),IF(ISBLANK(G15),NA(),G15/$B$22))</f>
        <v>0.31338092847258792</v>
      </c>
      <c r="H37">
        <f>IF(ISNA(H15),NA(),IF(ISBLANK(H15),NA(),H15/$B$22))</f>
        <v>0.37132780641922092</v>
      </c>
    </row>
    <row r="38" spans="1:8" hidden="1" x14ac:dyDescent="0.35">
      <c r="A38" t="s">
        <v>310</v>
      </c>
      <c r="B38">
        <f>IF(ISNA(B16),NA(),IF(ISBLANK(B16),NA(),B16/$B$20))</f>
        <v>0.26823164330684079</v>
      </c>
      <c r="C38">
        <f>IF(ISNA(C16),NA(),IF(ISBLANK(C16),NA(),C16/$B$20))</f>
        <v>0.36247977983176333</v>
      </c>
      <c r="D38">
        <f>IF(ISNA(D16),NA(),IF(ISBLANK(D16),NA(),D16/$B$20))</f>
        <v>0.13849223290182672</v>
      </c>
      <c r="E38">
        <f>IF(ISNA(E16),NA(),IF(ISBLANK(E16),NA(),E16/$B$20))</f>
        <v>0.12377207419849172</v>
      </c>
      <c r="F38">
        <f>IF(ISNA(F16),NA(),IF(ISBLANK(F16),NA(),F16/$B$20))</f>
        <v>0.15031036032875986</v>
      </c>
      <c r="G38">
        <f>IF(ISNA(G16),NA(),IF(ISBLANK(G16),NA(),G16/$B$20))</f>
        <v>0.33005802226253245</v>
      </c>
      <c r="H38">
        <f>IF(ISNA(H16),NA(),IF(ISBLANK(H16),NA(),H16/$B$20))</f>
        <v>0.37132780641922097</v>
      </c>
    </row>
    <row r="39" spans="1:8" hidden="1" x14ac:dyDescent="0.35">
      <c r="A39" t="s">
        <v>312</v>
      </c>
      <c r="B39">
        <f>IF(ISNA(B17),NA(),IF(ISBLANK(B17),NA(),B17/$B$21))</f>
        <v>0.85422668272889735</v>
      </c>
      <c r="C39">
        <f>IF(ISNA(C17),NA(),IF(ISBLANK(C17),NA(),C17/$B$21))</f>
        <v>0.74362276961553209</v>
      </c>
      <c r="D39">
        <f>IF(ISNA(D17),NA(),IF(ISBLANK(D17),NA(),D17/$B$21))</f>
        <v>0.7853616527674655</v>
      </c>
      <c r="E39">
        <f>IF(ISNA(E17),NA(),IF(ISBLANK(E17),NA(),E17/$B$21))</f>
        <v>1</v>
      </c>
      <c r="F39">
        <f>IF(ISNA(F17),NA(),IF(ISBLANK(F17),NA(),F17/$B$21))</f>
        <v>0.93366769913792325</v>
      </c>
      <c r="G39">
        <f>IF(ISNA(G17),NA(),IF(ISBLANK(G17),NA(),G17/$B$21))</f>
        <v>0.89282065777096609</v>
      </c>
      <c r="H39">
        <f>IF(ISNA(H17),NA(),IF(ISBLANK(H17),NA(),H17/$B$21))</f>
        <v>0.8690942797856871</v>
      </c>
    </row>
    <row r="40" spans="1:8" hidden="1" x14ac:dyDescent="0.35">
      <c r="A40" t="s">
        <v>308</v>
      </c>
      <c r="B40">
        <f>IF(ISNA(B18),NA(),IF(ISBLANK(B18),NA(),B18/$B$20))</f>
        <v>0.71000070464135034</v>
      </c>
      <c r="C40">
        <f>IF(ISNA(C18),NA(),IF(ISBLANK(C18),NA(),C18/$B$20))</f>
        <v>0.83524157026554913</v>
      </c>
      <c r="D40">
        <f>IF(ISNA(D18),NA(),IF(ISBLANK(D18),NA(),D18/$B$20))</f>
        <v>0.33703169600818067</v>
      </c>
      <c r="E40">
        <f>IF(ISNA(E18),NA(),IF(ISBLANK(E18),NA(),E18/$B$20))</f>
        <v>0.38352908599886298</v>
      </c>
      <c r="F40">
        <f>IF(ISNA(F18),NA(),IF(ISBLANK(F18),NA(),F18/$B$20))</f>
        <v>0.43486743494236663</v>
      </c>
      <c r="G40">
        <f>IF(ISNA(G18),NA(),IF(ISBLANK(G18),NA(),G18/$B$20))</f>
        <v>0.91312484538177618</v>
      </c>
      <c r="H40">
        <f>IF(ISNA(H18),NA(),IF(ISBLANK(H18),NA(),H18/$B$20))</f>
        <v>1</v>
      </c>
    </row>
    <row r="41" spans="1:8" hidden="1" x14ac:dyDescent="0.35"/>
    <row r="42" spans="1:8" hidden="1" x14ac:dyDescent="0.35"/>
    <row r="43" spans="1:8" hidden="1" x14ac:dyDescent="0.35"/>
    <row r="44" spans="1:8" hidden="1" x14ac:dyDescent="0.35"/>
    <row r="45" spans="1:8" hidden="1" x14ac:dyDescent="0.35"/>
    <row r="46" spans="1:8" hidden="1" x14ac:dyDescent="0.35"/>
    <row r="47" spans="1:8" hidden="1" x14ac:dyDescent="0.35"/>
    <row r="48" spans="1:8" hidden="1" x14ac:dyDescent="0.35"/>
    <row r="49" spans="1:8" hidden="1" x14ac:dyDescent="0.35"/>
    <row r="50" spans="1:8" hidden="1" x14ac:dyDescent="0.35"/>
    <row r="51" spans="1:8" hidden="1" x14ac:dyDescent="0.35"/>
    <row r="52" spans="1:8" hidden="1" x14ac:dyDescent="0.35"/>
    <row r="53" spans="1:8" hidden="1" x14ac:dyDescent="0.35"/>
    <row r="54" spans="1:8" hidden="1" x14ac:dyDescent="0.35"/>
    <row r="55" spans="1:8" hidden="1" x14ac:dyDescent="0.35"/>
    <row r="56" spans="1:8" hidden="1" x14ac:dyDescent="0.35"/>
    <row r="57" spans="1:8" hidden="1" x14ac:dyDescent="0.35">
      <c r="A57" t="s">
        <v>315</v>
      </c>
      <c r="B57" t="str">
        <f>IF(ISNA(B13),"",IF(ISBLANK(B13),"",TEXT(B13,"0.0")))</f>
        <v>3294.0</v>
      </c>
      <c r="C57" t="str">
        <f>IF(ISNA(C13),"",IF(ISBLANK(C13),"",TEXT(C13,"0.0")))</f>
        <v>4829.0</v>
      </c>
      <c r="D57" t="str">
        <f>IF(ISNA(D13),"",IF(ISBLANK(D13),"",TEXT(D13,"0.0")))</f>
        <v>2085.0</v>
      </c>
      <c r="E57" t="str">
        <f>IF(ISNA(E13),"",IF(ISBLANK(E13),"",TEXT(E13,"0.0")))</f>
        <v>2068.0</v>
      </c>
      <c r="F57" t="str">
        <f>IF(ISNA(F13),"",IF(ISBLANK(F13),"",TEXT(F13,"0.0")))</f>
        <v>2992.0</v>
      </c>
      <c r="G57" t="str">
        <f>IF(ISNA(G13),"",IF(ISBLANK(G13),"",TEXT(G13,"0.0")))</f>
        <v>7929.0</v>
      </c>
      <c r="H57" t="str">
        <f>IF(ISNA(H13),"",IF(ISBLANK(H13),"",TEXT(H13,"0.0")))</f>
        <v>10289.0</v>
      </c>
    </row>
    <row r="58" spans="1:8" hidden="1" x14ac:dyDescent="0.35">
      <c r="A58" t="s">
        <v>317</v>
      </c>
      <c r="B58" t="str">
        <f>IF(ISNA(B14),"",IF(ISBLANK(B14),"",TEXT(B14,"0.0")))</f>
        <v>36192.0</v>
      </c>
      <c r="C58" t="str">
        <f>IF(ISNA(C14),"",IF(ISBLANK(C14),"",TEXT(C14,"0.0")))</f>
        <v>39262.0</v>
      </c>
      <c r="D58" t="str">
        <f>IF(ISNA(D14),"",IF(ISBLANK(D14),"",TEXT(D14,"0.0")))</f>
        <v>44369.0</v>
      </c>
      <c r="E58" t="str">
        <f>IF(ISNA(E14),"",IF(ISBLANK(E14),"",TEXT(E14,"0.0")))</f>
        <v>49241.0</v>
      </c>
      <c r="F58" t="str">
        <f>IF(ISNA(F14),"",IF(ISBLANK(F14),"",TEXT(F14,"0.0")))</f>
        <v>58664.0</v>
      </c>
      <c r="G58" t="str">
        <f>IF(ISNA(G14),"",IF(ISBLANK(G14),"",TEXT(G14,"0.0")))</f>
        <v>70799.0</v>
      </c>
      <c r="H58" t="str">
        <f>IF(ISNA(H14),"",IF(ISBLANK(H14),"",TEXT(H14,"0.0")))</f>
        <v>81661.0</v>
      </c>
    </row>
    <row r="59" spans="1:8" hidden="1" x14ac:dyDescent="0.35">
      <c r="A59" t="s">
        <v>319</v>
      </c>
      <c r="B59" t="str">
        <f>IF(ISNA(B15),"",IF(ISBLANK(B15),"",TEXT(B15,"0.0")))</f>
        <v>13673.0</v>
      </c>
      <c r="C59" t="str">
        <f>IF(ISNA(C15),"",IF(ISBLANK(C15),"",TEXT(C15,"0.0")))</f>
        <v>17039.0</v>
      </c>
      <c r="D59" t="str">
        <f>IF(ISNA(D15),"",IF(ISBLANK(D15),"",TEXT(D15,"0.0")))</f>
        <v>18232.0</v>
      </c>
      <c r="E59" t="str">
        <f>IF(ISNA(E15),"",IF(ISBLANK(E15),"",TEXT(E15,"0.0")))</f>
        <v>15891.0</v>
      </c>
      <c r="F59" t="str">
        <f>IF(ISNA(F15),"",IF(ISBLANK(F15),"",TEXT(F15,"0.0")))</f>
        <v>20277.0</v>
      </c>
      <c r="G59" t="str">
        <f>IF(ISNA(G15),"",IF(ISBLANK(G15),"",TEXT(G15,"0.0")))</f>
        <v>25591.0</v>
      </c>
      <c r="H59" t="str">
        <f>IF(ISNA(H15),"",IF(ISBLANK(H15),"",TEXT(H15,"0.0")))</f>
        <v>30323.0</v>
      </c>
    </row>
    <row r="60" spans="1:8" hidden="1" x14ac:dyDescent="0.35">
      <c r="A60" t="s">
        <v>311</v>
      </c>
      <c r="B60" t="str">
        <f>IF(ISNA(B16),"",IF(ISBLANK(B16),"",TEXT(B16,"0.0")))</f>
        <v>9.1</v>
      </c>
      <c r="C60" t="str">
        <f>IF(ISNA(C16),"",IF(ISBLANK(C16),"",TEXT(C16,"0.0")))</f>
        <v>12.3</v>
      </c>
      <c r="D60" t="str">
        <f>IF(ISNA(D16),"",IF(ISBLANK(D16),"",TEXT(D16,"0.0")))</f>
        <v>4.7</v>
      </c>
      <c r="E60" t="str">
        <f>IF(ISNA(E16),"",IF(ISBLANK(E16),"",TEXT(E16,"0.0")))</f>
        <v>4.2</v>
      </c>
      <c r="F60" t="str">
        <f>IF(ISNA(F16),"",IF(ISBLANK(F16),"",TEXT(F16,"0.0")))</f>
        <v>5.1</v>
      </c>
      <c r="G60" t="str">
        <f>IF(ISNA(G16),"",IF(ISBLANK(G16),"",TEXT(G16,"0.0")))</f>
        <v>11.2</v>
      </c>
      <c r="H60" t="str">
        <f>IF(ISNA(H16),"",IF(ISBLANK(H16),"",TEXT(H16,"0.0")))</f>
        <v>12.6</v>
      </c>
    </row>
    <row r="61" spans="1:8" hidden="1" x14ac:dyDescent="0.35">
      <c r="A61" t="s">
        <v>313</v>
      </c>
      <c r="B61" t="str">
        <f>IF(ISNA(B17),"",IF(ISBLANK(B17),"",TEXT(B17,"0.0")))</f>
        <v>2.6</v>
      </c>
      <c r="C61" t="str">
        <f>IF(ISNA(C17),"",IF(ISBLANK(C17),"",TEXT(C17,"0.0")))</f>
        <v>2.3</v>
      </c>
      <c r="D61" t="str">
        <f>IF(ISNA(D17),"",IF(ISBLANK(D17),"",TEXT(D17,"0.0")))</f>
        <v>2.4</v>
      </c>
      <c r="E61" t="str">
        <f>IF(ISNA(E17),"",IF(ISBLANK(E17),"",TEXT(E17,"0.0")))</f>
        <v>3.1</v>
      </c>
      <c r="F61" t="str">
        <f>IF(ISNA(F17),"",IF(ISBLANK(F17),"",TEXT(F17,"0.0")))</f>
        <v>2.9</v>
      </c>
      <c r="G61" t="str">
        <f>IF(ISNA(G17),"",IF(ISBLANK(G17),"",TEXT(G17,"0.0")))</f>
        <v>2.8</v>
      </c>
      <c r="H61" t="str">
        <f>IF(ISNA(H17),"",IF(ISBLANK(H17),"",TEXT(H17,"0.0")))</f>
        <v>2.7</v>
      </c>
    </row>
    <row r="62" spans="1:8" hidden="1" x14ac:dyDescent="0.35">
      <c r="A62" t="s">
        <v>309</v>
      </c>
      <c r="B62" t="str">
        <f>IF(ISNA(B18),"",IF(ISBLANK(B18),"",TEXT(B18,"0.0")))</f>
        <v>24.1</v>
      </c>
      <c r="C62" t="str">
        <f>IF(ISNA(C18),"",IF(ISBLANK(C18),"",TEXT(C18,"0.0")))</f>
        <v>28.3</v>
      </c>
      <c r="D62" t="str">
        <f>IF(ISNA(D18),"",IF(ISBLANK(D18),"",TEXT(D18,"0.0")))</f>
        <v>11.4</v>
      </c>
      <c r="E62" t="str">
        <f>IF(ISNA(E18),"",IF(ISBLANK(E18),"",TEXT(E18,"0.0")))</f>
        <v>13.0</v>
      </c>
      <c r="F62" t="str">
        <f>IF(ISNA(F18),"",IF(ISBLANK(F18),"",TEXT(F18,"0.0")))</f>
        <v>14.8</v>
      </c>
      <c r="G62" t="str">
        <f>IF(ISNA(G18),"",IF(ISBLANK(G18),"",TEXT(G18,"0.0")))</f>
        <v>31.0</v>
      </c>
      <c r="H62" t="str">
        <f>IF(ISNA(H18),"",IF(ISBLANK(H18),"",TEXT(H18,"0.0")))</f>
        <v>33.9</v>
      </c>
    </row>
    <row r="63" spans="1:8" hidden="1" x14ac:dyDescent="0.35"/>
  </sheetData>
  <mergeCells count="7">
    <mergeCell ref="B7:H7"/>
    <mergeCell ref="B1:H1"/>
    <mergeCell ref="B2:H2"/>
    <mergeCell ref="B3:H3"/>
    <mergeCell ref="B4:H4"/>
    <mergeCell ref="B5:H5"/>
    <mergeCell ref="B6:H6"/>
  </mergeCells>
  <printOptions horizontalCentered="1" verticalCentered="1"/>
  <pageMargins left="0.25" right="0.25" top="0.25" bottom="0.25" header="0.125" footer="0.125"/>
  <pageSetup scale="31" orientation="landscape"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FB88E-72CA-4F34-B92D-04A09B72CC3A}">
  <sheetPr>
    <pageSetUpPr fitToPage="1"/>
  </sheetPr>
  <dimension ref="A1:AU32"/>
  <sheetViews>
    <sheetView showGridLines="0" workbookViewId="0"/>
  </sheetViews>
  <sheetFormatPr defaultRowHeight="14.5" x14ac:dyDescent="0.35"/>
  <cols>
    <col min="1" max="1" width="22.6328125" customWidth="1"/>
    <col min="2" max="2" width="5.6328125" customWidth="1"/>
    <col min="3" max="5" width="8.6328125" customWidth="1"/>
    <col min="6" max="6" width="9.1796875" customWidth="1"/>
    <col min="7" max="16" width="8.6328125" customWidth="1"/>
    <col min="17" max="24" width="7.6328125" customWidth="1"/>
    <col min="25" max="41" width="8.6328125" hidden="1" customWidth="1"/>
    <col min="42" max="46" width="7.6328125" hidden="1" customWidth="1"/>
    <col min="47" max="47" width="8.6328125" hidden="1" customWidth="1"/>
  </cols>
  <sheetData>
    <row r="1" spans="1:47" ht="15" customHeight="1" x14ac:dyDescent="0.35">
      <c r="A1" s="30" t="s">
        <v>75</v>
      </c>
      <c r="B1" s="18" t="s">
        <v>76</v>
      </c>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row>
    <row r="2" spans="1:47" ht="15" customHeight="1" x14ac:dyDescent="0.35">
      <c r="A2" s="30" t="s">
        <v>77</v>
      </c>
      <c r="B2" s="18" t="s">
        <v>320</v>
      </c>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row>
    <row r="3" spans="1:47" ht="15" customHeight="1" x14ac:dyDescent="0.35">
      <c r="A3" s="30" t="s">
        <v>79</v>
      </c>
      <c r="B3" s="18" t="s">
        <v>80</v>
      </c>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row>
    <row r="4" spans="1:47" ht="15" customHeight="1" x14ac:dyDescent="0.35">
      <c r="A4" s="30" t="s">
        <v>81</v>
      </c>
      <c r="B4" s="18" t="s">
        <v>321</v>
      </c>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row>
    <row r="5" spans="1:47" ht="15" customHeight="1" x14ac:dyDescent="0.35">
      <c r="A5" s="30" t="s">
        <v>83</v>
      </c>
      <c r="B5" s="18" t="s">
        <v>24</v>
      </c>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row>
    <row r="6" spans="1:47" ht="16.75" customHeight="1" x14ac:dyDescent="0.35">
      <c r="A6" s="30" t="s">
        <v>84</v>
      </c>
      <c r="B6" s="32" t="s">
        <v>322</v>
      </c>
      <c r="C6" s="32"/>
      <c r="D6" s="32"/>
      <c r="E6" s="32"/>
      <c r="F6" s="32"/>
      <c r="G6" s="32"/>
      <c r="H6" s="32"/>
      <c r="I6" s="32"/>
      <c r="J6" s="32"/>
      <c r="K6" s="32"/>
      <c r="L6" s="32"/>
      <c r="M6" s="32"/>
      <c r="N6" s="32"/>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row>
    <row r="7" spans="1:47" ht="15" customHeight="1" x14ac:dyDescent="0.35">
      <c r="A7" s="30" t="s">
        <v>86</v>
      </c>
      <c r="B7" s="31" t="str">
        <f>B2&amp;" in "&amp;B3</f>
        <v>Profit and loss statement in $m</v>
      </c>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row>
    <row r="8" spans="1:47" ht="15" customHeight="1" x14ac:dyDescent="0.35"/>
    <row r="9" spans="1:47" ht="15" customHeight="1" x14ac:dyDescent="0.35">
      <c r="A9" s="30" t="s">
        <v>118</v>
      </c>
      <c r="B9" s="19" t="str">
        <f>"Δ"&amp;$B$5&amp;" "&amp;$B$3</f>
        <v>ΔPY $m</v>
      </c>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row>
    <row r="10" spans="1:47" ht="15" customHeight="1" x14ac:dyDescent="0.35">
      <c r="A10" s="30" t="s">
        <v>117</v>
      </c>
      <c r="B10" s="19" t="str">
        <f>"Δ"&amp;$B$5&amp;"%"</f>
        <v>ΔPY%</v>
      </c>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row>
    <row r="11" spans="1:47" ht="15" customHeight="1" x14ac:dyDescent="0.35"/>
    <row r="12" spans="1:47" ht="28" customHeight="1" x14ac:dyDescent="0.35">
      <c r="A12" s="33" t="s">
        <v>209</v>
      </c>
      <c r="B12" s="33" t="s">
        <v>323</v>
      </c>
      <c r="C12" s="33" t="s">
        <v>24</v>
      </c>
      <c r="D12" s="33" t="s">
        <v>17</v>
      </c>
      <c r="E12" s="33" t="s">
        <v>119</v>
      </c>
      <c r="F12" s="33" t="s">
        <v>120</v>
      </c>
      <c r="G12" s="33" t="s">
        <v>324</v>
      </c>
      <c r="H12" s="33" t="s">
        <v>325</v>
      </c>
      <c r="I12" s="33" t="s">
        <v>326</v>
      </c>
      <c r="J12" s="33" t="s">
        <v>327</v>
      </c>
      <c r="K12" s="33" t="s">
        <v>328</v>
      </c>
      <c r="L12" s="33" t="s">
        <v>329</v>
      </c>
      <c r="M12" s="33" t="s">
        <v>330</v>
      </c>
      <c r="N12" s="33" t="s">
        <v>331</v>
      </c>
      <c r="O12" s="33" t="s">
        <v>332</v>
      </c>
      <c r="P12" s="33" t="s">
        <v>333</v>
      </c>
      <c r="Q12" s="33" t="s">
        <v>334</v>
      </c>
      <c r="R12" s="33" t="s">
        <v>335</v>
      </c>
      <c r="S12" s="33" t="s">
        <v>336</v>
      </c>
      <c r="T12" s="33" t="s">
        <v>337</v>
      </c>
      <c r="U12" s="33" t="s">
        <v>338</v>
      </c>
      <c r="V12" s="33" t="s">
        <v>339</v>
      </c>
      <c r="W12" s="33" t="s">
        <v>340</v>
      </c>
      <c r="X12" s="33" t="s">
        <v>341</v>
      </c>
      <c r="Y12" s="33" t="s">
        <v>129</v>
      </c>
      <c r="Z12" s="33" t="s">
        <v>342</v>
      </c>
      <c r="AA12" s="33" t="s">
        <v>343</v>
      </c>
      <c r="AB12" s="33" t="s">
        <v>344</v>
      </c>
      <c r="AC12" s="33" t="s">
        <v>345</v>
      </c>
      <c r="AD12" s="33" t="s">
        <v>346</v>
      </c>
      <c r="AE12" s="33" t="s">
        <v>347</v>
      </c>
      <c r="AF12" s="33" t="s">
        <v>348</v>
      </c>
      <c r="AG12" s="33" t="s">
        <v>349</v>
      </c>
      <c r="AH12" s="33" t="s">
        <v>350</v>
      </c>
      <c r="AI12" s="33" t="s">
        <v>351</v>
      </c>
      <c r="AJ12" s="33" t="s">
        <v>134</v>
      </c>
      <c r="AK12" s="33" t="s">
        <v>135</v>
      </c>
      <c r="AL12" s="33" t="s">
        <v>352</v>
      </c>
      <c r="AM12" s="33" t="s">
        <v>353</v>
      </c>
      <c r="AN12" s="33" t="s">
        <v>354</v>
      </c>
      <c r="AO12" s="33" t="s">
        <v>355</v>
      </c>
      <c r="AP12" s="33" t="s">
        <v>356</v>
      </c>
      <c r="AQ12" s="33" t="s">
        <v>357</v>
      </c>
      <c r="AR12" s="33" t="s">
        <v>358</v>
      </c>
      <c r="AS12" s="33" t="s">
        <v>359</v>
      </c>
      <c r="AT12" s="33" t="s">
        <v>360</v>
      </c>
      <c r="AU12" s="33" t="s">
        <v>361</v>
      </c>
    </row>
    <row r="13" spans="1:47" x14ac:dyDescent="0.35">
      <c r="A13" s="20" t="s">
        <v>362</v>
      </c>
      <c r="B13" s="43">
        <v>1</v>
      </c>
      <c r="C13" s="51">
        <v>49241</v>
      </c>
      <c r="D13" s="51">
        <v>58665</v>
      </c>
      <c r="E13" s="57">
        <f>D13-C13</f>
        <v>9424</v>
      </c>
      <c r="F13" s="38">
        <f>IF(C13&lt;=0,NA(),(D13-C13)/C13*100)</f>
        <v>19.138522775735666</v>
      </c>
      <c r="G13" s="54">
        <f>0+B13*C13</f>
        <v>49241</v>
      </c>
      <c r="H13" s="54">
        <f>0</f>
        <v>0</v>
      </c>
      <c r="I13" s="54">
        <f>MIN(H13,G13)</f>
        <v>0</v>
      </c>
      <c r="J13" s="54">
        <f>IF(B13&gt;0,ABS(G13-H13),0)</f>
        <v>49241</v>
      </c>
      <c r="K13" s="54">
        <f>IF(B13&lt;0,ABS(G13-H13),0)</f>
        <v>0</v>
      </c>
      <c r="L13" s="54">
        <f>0+B13*D13</f>
        <v>58665</v>
      </c>
      <c r="M13" s="54">
        <f>0</f>
        <v>0</v>
      </c>
      <c r="N13" s="54">
        <f>MIN(M13,L13)</f>
        <v>0</v>
      </c>
      <c r="O13" s="54">
        <f>IF(B13&gt;0,ABS(L13-M13),0)</f>
        <v>58665</v>
      </c>
      <c r="P13" s="54">
        <f>IF(B13&lt;0,ABS(L13-M13),0)</f>
        <v>0</v>
      </c>
      <c r="Q13" s="57">
        <f>IF(AND($E13&gt;0,$B13&gt;0),$E13,NA())</f>
        <v>9424</v>
      </c>
      <c r="R13" s="57" t="e">
        <f>IF(AND($E13&gt;0,$B13&lt;0),$E13,NA())</f>
        <v>#N/A</v>
      </c>
      <c r="S13" s="57" t="e">
        <f>IF(AND($E13&lt;0,$B13&lt;0),$E13,NA())</f>
        <v>#N/A</v>
      </c>
      <c r="T13" s="57" t="e">
        <f>IF(AND($E13&lt;0,$B13&gt;0),$E13,NA())</f>
        <v>#N/A</v>
      </c>
      <c r="U13" s="38">
        <f>IF(AND($F13&gt;0,$B13&gt;0),$F13,NA())</f>
        <v>19.138522775735666</v>
      </c>
      <c r="V13" s="38" t="e">
        <f>IF(AND($F13&gt;0,$B13&lt;0),$F13,NA())</f>
        <v>#N/A</v>
      </c>
      <c r="W13" s="38" t="e">
        <f>IF(AND($F13&lt;0,$B13&lt;0),$F13,NA())</f>
        <v>#N/A</v>
      </c>
      <c r="X13" s="38" t="e">
        <f>IF(AND($F13&lt;0,$B13&gt;0),$F13,NA())</f>
        <v>#N/A</v>
      </c>
      <c r="Y13" s="39">
        <f>MAX(_xlfn.AGGREGATE(4,6,I13:I32,J13:J32,K13:K32,N13:N32,O13:O32,P13:P32,E13:E32,Q13:Q32,R13:R32,S13:S32,T13:T32),-_xlfn.AGGREGATE(5,6,I13:I32,J13:J32,K13:K32,N13:N32,O13:O32,P13:P32,E13:E32,Q13:Q32,R13:R32,S13:S32,T13:T32),0.000000001)</f>
        <v>62109</v>
      </c>
      <c r="Z13" s="39">
        <f>I13/$Y$13</f>
        <v>0</v>
      </c>
      <c r="AA13" s="39">
        <f>J13/$Y$13</f>
        <v>0.7928158559951054</v>
      </c>
      <c r="AB13" s="16" t="str">
        <f>IF(ISNA(J13),"",TEXT(J13,"#,##0"))</f>
        <v>49,241</v>
      </c>
      <c r="AC13" s="39">
        <f>K13/$Y$13</f>
        <v>0</v>
      </c>
      <c r="AD13" s="16" t="str">
        <f>IF(ISNA(K13),"",TEXT(K13,"#,##0"))</f>
        <v>0</v>
      </c>
      <c r="AE13" s="39">
        <f>N13/$Y$13</f>
        <v>0</v>
      </c>
      <c r="AF13" s="39">
        <f>O13/$Y$13</f>
        <v>0.94454909916437235</v>
      </c>
      <c r="AG13" s="16" t="str">
        <f>IF(ISNA(O13),"",TEXT(O13,"#,##0"))</f>
        <v>58,665</v>
      </c>
      <c r="AH13" s="39">
        <f>P13/$Y$13</f>
        <v>0</v>
      </c>
      <c r="AI13" s="16" t="str">
        <f>IF(ISNA(P13),"",TEXT(P13,"#,##0"))</f>
        <v>0</v>
      </c>
      <c r="AJ13" s="39">
        <f>E13/$Y$13</f>
        <v>0.15173324316926692</v>
      </c>
      <c r="AK13" s="16" t="str">
        <f>IF(ISNA(E13),"",TEXT(E13,"+0;-0"))</f>
        <v>+9424</v>
      </c>
      <c r="AL13" s="39">
        <f>Q13/$Y$13</f>
        <v>0.15173324316926692</v>
      </c>
      <c r="AM13" s="39" t="e">
        <f>R13/$Y$13</f>
        <v>#N/A</v>
      </c>
      <c r="AN13" s="39" t="e">
        <f>S13/$Y$13</f>
        <v>#N/A</v>
      </c>
      <c r="AO13" s="39" t="e">
        <f>T13/$Y$13</f>
        <v>#N/A</v>
      </c>
      <c r="AP13" s="16">
        <f>IF(ISNA(F13),NA(),MEDIAN(-31.5,F13,238.5))</f>
        <v>19.138522775735666</v>
      </c>
      <c r="AQ13" s="16">
        <f>IF(ISNA(U13),NA(),MEDIAN(-31.5,U13,238.5))</f>
        <v>19.138522775735666</v>
      </c>
      <c r="AR13" s="16" t="e">
        <f>IF(ISNA(V13),NA(),MEDIAN(-31.5,V13,238.5))</f>
        <v>#N/A</v>
      </c>
      <c r="AS13" s="16" t="e">
        <f>IF(ISNA(W13),NA(),MEDIAN(-31.5,W13,238.5))</f>
        <v>#N/A</v>
      </c>
      <c r="AT13" s="16" t="e">
        <f>IF(ISNA(X13),NA(),MEDIAN(-31.5,X13,238.5))</f>
        <v>#N/A</v>
      </c>
      <c r="AU13" s="16" t="str">
        <f>IF(ISNA(F13),"",IF(F13&gt;265,TEXT(F13,"+0;-0")&amp;REPT(_xlfn.UNICHAR(9658),MIN(3,MAX(1,INT(F13/265)))),IF(F13&lt;-35,REPT(_xlfn.UNICHAR(9668),MIN(3,MAX(1,INT(-F13/35))))&amp;TEXT(F13,"+0;-0"),TEXT(F13,"+0;-0"))))</f>
        <v>+19</v>
      </c>
    </row>
    <row r="14" spans="1:47" x14ac:dyDescent="0.35">
      <c r="A14" s="20" t="s">
        <v>363</v>
      </c>
      <c r="B14" s="43">
        <v>1</v>
      </c>
      <c r="C14" s="51">
        <v>1236</v>
      </c>
      <c r="D14" s="51">
        <v>1866</v>
      </c>
      <c r="E14" s="57">
        <f>D14-C14</f>
        <v>630</v>
      </c>
      <c r="F14" s="38">
        <f>IF(C14&lt;=0,NA(),(D14-C14)/C14*100)</f>
        <v>50.970873786407765</v>
      </c>
      <c r="G14" s="54">
        <f>G13+B14*C14</f>
        <v>50477</v>
      </c>
      <c r="H14" s="54">
        <f>G13</f>
        <v>49241</v>
      </c>
      <c r="I14" s="54">
        <f>MIN(H14,G14)</f>
        <v>49241</v>
      </c>
      <c r="J14" s="54">
        <f>IF(B14&gt;0,ABS(G14-H14),0)</f>
        <v>1236</v>
      </c>
      <c r="K14" s="54">
        <f>IF(B14&lt;0,ABS(G14-H14),0)</f>
        <v>0</v>
      </c>
      <c r="L14" s="54">
        <f>L13+B14*D14</f>
        <v>60531</v>
      </c>
      <c r="M14" s="54">
        <f>L13</f>
        <v>58665</v>
      </c>
      <c r="N14" s="54">
        <f>MIN(M14,L14)</f>
        <v>58665</v>
      </c>
      <c r="O14" s="54">
        <f>IF(B14&gt;0,ABS(L14-M14),0)</f>
        <v>1866</v>
      </c>
      <c r="P14" s="54">
        <f>IF(B14&lt;0,ABS(L14-M14),0)</f>
        <v>0</v>
      </c>
      <c r="Q14" s="57">
        <f>IF(AND($E14&gt;0,$B14&gt;0),$E14,NA())</f>
        <v>630</v>
      </c>
      <c r="R14" s="57" t="e">
        <f>IF(AND($E14&gt;0,$B14&lt;0),$E14,NA())</f>
        <v>#N/A</v>
      </c>
      <c r="S14" s="57" t="e">
        <f>IF(AND($E14&lt;0,$B14&lt;0),$E14,NA())</f>
        <v>#N/A</v>
      </c>
      <c r="T14" s="57" t="e">
        <f>IF(AND($E14&lt;0,$B14&gt;0),$E14,NA())</f>
        <v>#N/A</v>
      </c>
      <c r="U14" s="38">
        <f>IF(AND($F14&gt;0,$B14&gt;0),$F14,NA())</f>
        <v>50.970873786407765</v>
      </c>
      <c r="V14" s="38" t="e">
        <f>IF(AND($F14&gt;0,$B14&lt;0),$F14,NA())</f>
        <v>#N/A</v>
      </c>
      <c r="W14" s="38" t="e">
        <f>IF(AND($F14&lt;0,$B14&lt;0),$F14,NA())</f>
        <v>#N/A</v>
      </c>
      <c r="X14" s="38" t="e">
        <f>IF(AND($F14&lt;0,$B14&gt;0),$F14,NA())</f>
        <v>#N/A</v>
      </c>
      <c r="Y14" s="39"/>
      <c r="Z14" s="39">
        <f>I14/$Y$13</f>
        <v>0.7928158559951054</v>
      </c>
      <c r="AA14" s="39">
        <f>J14/$Y$13</f>
        <v>1.9900497512437811E-2</v>
      </c>
      <c r="AB14" s="16" t="str">
        <f>IF(ISNA(J14),"",TEXT(J14,"#,##0"))</f>
        <v>1,236</v>
      </c>
      <c r="AC14" s="39">
        <f>K14/$Y$13</f>
        <v>0</v>
      </c>
      <c r="AD14" s="16" t="str">
        <f>IF(ISNA(K14),"",TEXT(K14,"#,##0"))</f>
        <v>0</v>
      </c>
      <c r="AE14" s="39">
        <f>N14/$Y$13</f>
        <v>0.94454909916437235</v>
      </c>
      <c r="AF14" s="39">
        <f>O14/$Y$13</f>
        <v>3.0043954982369704E-2</v>
      </c>
      <c r="AG14" s="16" t="str">
        <f>IF(ISNA(O14),"",TEXT(O14,"#,##0"))</f>
        <v>1,866</v>
      </c>
      <c r="AH14" s="39">
        <f>P14/$Y$13</f>
        <v>0</v>
      </c>
      <c r="AI14" s="16" t="str">
        <f>IF(ISNA(P14),"",TEXT(P14,"#,##0"))</f>
        <v>0</v>
      </c>
      <c r="AJ14" s="39">
        <f>E14/$Y$13</f>
        <v>1.0143457469931894E-2</v>
      </c>
      <c r="AK14" s="16" t="str">
        <f>IF(ISNA(E14),"",TEXT(E14,"+0;-0"))</f>
        <v>+630</v>
      </c>
      <c r="AL14" s="39">
        <f>Q14/$Y$13</f>
        <v>1.0143457469931894E-2</v>
      </c>
      <c r="AM14" s="39" t="e">
        <f>R14/$Y$13</f>
        <v>#N/A</v>
      </c>
      <c r="AN14" s="39" t="e">
        <f>S14/$Y$13</f>
        <v>#N/A</v>
      </c>
      <c r="AO14" s="39" t="e">
        <f>T14/$Y$13</f>
        <v>#N/A</v>
      </c>
      <c r="AP14" s="16">
        <f>IF(ISNA(F14),NA(),MEDIAN(-31.5,F14,238.5))</f>
        <v>50.970873786407765</v>
      </c>
      <c r="AQ14" s="16">
        <f>IF(ISNA(U14),NA(),MEDIAN(-31.5,U14,238.5))</f>
        <v>50.970873786407765</v>
      </c>
      <c r="AR14" s="16" t="e">
        <f>IF(ISNA(V14),NA(),MEDIAN(-31.5,V14,238.5))</f>
        <v>#N/A</v>
      </c>
      <c r="AS14" s="16" t="e">
        <f>IF(ISNA(W14),NA(),MEDIAN(-31.5,W14,238.5))</f>
        <v>#N/A</v>
      </c>
      <c r="AT14" s="16" t="e">
        <f>IF(ISNA(X14),NA(),MEDIAN(-31.5,X14,238.5))</f>
        <v>#N/A</v>
      </c>
      <c r="AU14" s="16" t="str">
        <f>IF(ISNA(F14),"",IF(F14&gt;265,TEXT(F14,"+0;-0")&amp;REPT(_xlfn.UNICHAR(9658),MIN(3,MAX(1,INT(F14/265)))),IF(F14&lt;-35,REPT(_xlfn.UNICHAR(9668),MIN(3,MAX(1,INT(-F14/35))))&amp;TEXT(F14,"+0;-0"),TEXT(F14,"+0;-0"))))</f>
        <v>+51</v>
      </c>
    </row>
    <row r="15" spans="1:47" x14ac:dyDescent="0.35">
      <c r="A15" s="20" t="s">
        <v>364</v>
      </c>
      <c r="B15" s="43">
        <v>1</v>
      </c>
      <c r="C15" s="51">
        <v>-866</v>
      </c>
      <c r="D15" s="51">
        <v>1578</v>
      </c>
      <c r="E15" s="57">
        <f>D15-C15</f>
        <v>2444</v>
      </c>
      <c r="F15" s="38" t="e">
        <f>IF(C15&lt;=0,NA(),(D15-C15)/C15*100)</f>
        <v>#N/A</v>
      </c>
      <c r="G15" s="54">
        <f>G14+B15*C15</f>
        <v>49611</v>
      </c>
      <c r="H15" s="54">
        <f>G14</f>
        <v>50477</v>
      </c>
      <c r="I15" s="54">
        <f>MIN(H15,G15)</f>
        <v>49611</v>
      </c>
      <c r="J15" s="54">
        <f>IF(B15&gt;0,ABS(G15-H15),0)</f>
        <v>866</v>
      </c>
      <c r="K15" s="54">
        <f>IF(B15&lt;0,ABS(G15-H15),0)</f>
        <v>0</v>
      </c>
      <c r="L15" s="54">
        <f>L14+B15*D15</f>
        <v>62109</v>
      </c>
      <c r="M15" s="54">
        <f>L14</f>
        <v>60531</v>
      </c>
      <c r="N15" s="54">
        <f>MIN(M15,L15)</f>
        <v>60531</v>
      </c>
      <c r="O15" s="54">
        <f>IF(B15&gt;0,ABS(L15-M15),0)</f>
        <v>1578</v>
      </c>
      <c r="P15" s="54">
        <f>IF(B15&lt;0,ABS(L15-M15),0)</f>
        <v>0</v>
      </c>
      <c r="Q15" s="57">
        <f>IF(AND($E15&gt;0,$B15&gt;0),$E15,NA())</f>
        <v>2444</v>
      </c>
      <c r="R15" s="57" t="e">
        <f>IF(AND($E15&gt;0,$B15&lt;0),$E15,NA())</f>
        <v>#N/A</v>
      </c>
      <c r="S15" s="57" t="e">
        <f>IF(AND($E15&lt;0,$B15&lt;0),$E15,NA())</f>
        <v>#N/A</v>
      </c>
      <c r="T15" s="57" t="e">
        <f>IF(AND($E15&lt;0,$B15&gt;0),$E15,NA())</f>
        <v>#N/A</v>
      </c>
      <c r="U15" s="38" t="e">
        <f>IF(AND($F15&gt;0,$B15&gt;0),$F15,NA())</f>
        <v>#N/A</v>
      </c>
      <c r="V15" s="38" t="e">
        <f>IF(AND($F15&gt;0,$B15&lt;0),$F15,NA())</f>
        <v>#N/A</v>
      </c>
      <c r="W15" s="38" t="e">
        <f>IF(AND($F15&lt;0,$B15&lt;0),$F15,NA())</f>
        <v>#N/A</v>
      </c>
      <c r="X15" s="38" t="e">
        <f>IF(AND($F15&lt;0,$B15&gt;0),$F15,NA())</f>
        <v>#N/A</v>
      </c>
      <c r="Y15" s="39"/>
      <c r="Z15" s="39">
        <f>I15/$Y$13</f>
        <v>0.7987731246679225</v>
      </c>
      <c r="AA15" s="39">
        <f>J15/$Y$13</f>
        <v>1.3943228839620667E-2</v>
      </c>
      <c r="AB15" s="16" t="str">
        <f>IF(ISNA(J15),"",TEXT(J15,"#,##0"))</f>
        <v>866</v>
      </c>
      <c r="AC15" s="39">
        <f>K15/$Y$13</f>
        <v>0</v>
      </c>
      <c r="AD15" s="16" t="str">
        <f>IF(ISNA(K15),"",TEXT(K15,"#,##0"))</f>
        <v>0</v>
      </c>
      <c r="AE15" s="39">
        <f>N15/$Y$13</f>
        <v>0.97459305414674202</v>
      </c>
      <c r="AF15" s="39">
        <f>O15/$Y$13</f>
        <v>2.5406945853257982E-2</v>
      </c>
      <c r="AG15" s="16" t="str">
        <f>IF(ISNA(O15),"",TEXT(O15,"#,##0"))</f>
        <v>1,578</v>
      </c>
      <c r="AH15" s="39">
        <f>P15/$Y$13</f>
        <v>0</v>
      </c>
      <c r="AI15" s="16" t="str">
        <f>IF(ISNA(P15),"",TEXT(P15,"#,##0"))</f>
        <v>0</v>
      </c>
      <c r="AJ15" s="39">
        <f>E15/$Y$13</f>
        <v>3.9350174692878652E-2</v>
      </c>
      <c r="AK15" s="16" t="str">
        <f>IF(ISNA(E15),"",TEXT(E15,"+0;-0"))</f>
        <v>+2444</v>
      </c>
      <c r="AL15" s="39">
        <f>Q15/$Y$13</f>
        <v>3.9350174692878652E-2</v>
      </c>
      <c r="AM15" s="39" t="e">
        <f>R15/$Y$13</f>
        <v>#N/A</v>
      </c>
      <c r="AN15" s="39" t="e">
        <f>S15/$Y$13</f>
        <v>#N/A</v>
      </c>
      <c r="AO15" s="39" t="e">
        <f>T15/$Y$13</f>
        <v>#N/A</v>
      </c>
      <c r="AP15" s="16" t="e">
        <f>IF(ISNA(F15),NA(),MEDIAN(-31.5,F15,238.5))</f>
        <v>#N/A</v>
      </c>
      <c r="AQ15" s="16" t="e">
        <f>IF(ISNA(U15),NA(),MEDIAN(-31.5,U15,238.5))</f>
        <v>#N/A</v>
      </c>
      <c r="AR15" s="16" t="e">
        <f>IF(ISNA(V15),NA(),MEDIAN(-31.5,V15,238.5))</f>
        <v>#N/A</v>
      </c>
      <c r="AS15" s="16" t="e">
        <f>IF(ISNA(W15),NA(),MEDIAN(-31.5,W15,238.5))</f>
        <v>#N/A</v>
      </c>
      <c r="AT15" s="16" t="e">
        <f>IF(ISNA(X15),NA(),MEDIAN(-31.5,X15,238.5))</f>
        <v>#N/A</v>
      </c>
      <c r="AU15" s="16" t="str">
        <f>IF(ISNA(F15),"",IF(F15&gt;265,TEXT(F15,"+0;-0")&amp;REPT(_xlfn.UNICHAR(9658),MIN(3,MAX(1,INT(F15/265)))),IF(F15&lt;-35,REPT(_xlfn.UNICHAR(9668),MIN(3,MAX(1,INT(-F15/35))))&amp;TEXT(F15,"+0;-0"),TEXT(F15,"+0;-0"))))</f>
        <v/>
      </c>
    </row>
    <row r="16" spans="1:47" x14ac:dyDescent="0.35">
      <c r="A16" s="20" t="s">
        <v>365</v>
      </c>
      <c r="B16" s="43">
        <v>1</v>
      </c>
      <c r="C16" s="55">
        <f>G15</f>
        <v>49611</v>
      </c>
      <c r="D16" s="55">
        <f>L15</f>
        <v>62109</v>
      </c>
      <c r="E16" s="57">
        <f>D16-C16</f>
        <v>12498</v>
      </c>
      <c r="F16" s="38">
        <f>IF(C16&lt;=0,NA(),(D16-C16)/C16*100)</f>
        <v>25.19199371107214</v>
      </c>
      <c r="G16" s="54">
        <f>G15</f>
        <v>49611</v>
      </c>
      <c r="H16" s="54">
        <f>0</f>
        <v>0</v>
      </c>
      <c r="I16" s="54">
        <f>MIN(H16,G16)</f>
        <v>0</v>
      </c>
      <c r="J16" s="54">
        <f>IF(B16&gt;0,ABS(G16-H16),0)</f>
        <v>49611</v>
      </c>
      <c r="K16" s="54">
        <f>IF(B16&lt;0,ABS(G16-H16),0)</f>
        <v>0</v>
      </c>
      <c r="L16" s="54">
        <f>L15</f>
        <v>62109</v>
      </c>
      <c r="M16" s="54">
        <f>0</f>
        <v>0</v>
      </c>
      <c r="N16" s="54">
        <f>MIN(M16,L16)</f>
        <v>0</v>
      </c>
      <c r="O16" s="54">
        <f>IF(B16&gt;0,ABS(L16-M16),0)</f>
        <v>62109</v>
      </c>
      <c r="P16" s="54">
        <f>IF(B16&lt;0,ABS(L16-M16),0)</f>
        <v>0</v>
      </c>
      <c r="Q16" s="57">
        <f>IF(AND($E16&gt;0,$B16&gt;0),$E16,NA())</f>
        <v>12498</v>
      </c>
      <c r="R16" s="57" t="e">
        <f>IF(AND($E16&gt;0,$B16&lt;0),$E16,NA())</f>
        <v>#N/A</v>
      </c>
      <c r="S16" s="57" t="e">
        <f>IF(AND($E16&lt;0,$B16&lt;0),$E16,NA())</f>
        <v>#N/A</v>
      </c>
      <c r="T16" s="57" t="e">
        <f>IF(AND($E16&lt;0,$B16&gt;0),$E16,NA())</f>
        <v>#N/A</v>
      </c>
      <c r="U16" s="38">
        <f>IF(AND($F16&gt;0,$B16&gt;0),$F16,NA())</f>
        <v>25.19199371107214</v>
      </c>
      <c r="V16" s="38" t="e">
        <f>IF(AND($F16&gt;0,$B16&lt;0),$F16,NA())</f>
        <v>#N/A</v>
      </c>
      <c r="W16" s="38" t="e">
        <f>IF(AND($F16&lt;0,$B16&lt;0),$F16,NA())</f>
        <v>#N/A</v>
      </c>
      <c r="X16" s="38" t="e">
        <f>IF(AND($F16&lt;0,$B16&gt;0),$F16,NA())</f>
        <v>#N/A</v>
      </c>
      <c r="Y16" s="39"/>
      <c r="Z16" s="39">
        <f>I16/$Y$13</f>
        <v>0</v>
      </c>
      <c r="AA16" s="39">
        <f>J16/$Y$13</f>
        <v>0.7987731246679225</v>
      </c>
      <c r="AB16" s="16" t="str">
        <f>IF(ISNA(J16),"",TEXT(J16,"#,##0"))</f>
        <v>49,611</v>
      </c>
      <c r="AC16" s="39">
        <f>K16/$Y$13</f>
        <v>0</v>
      </c>
      <c r="AD16" s="16" t="str">
        <f>IF(ISNA(K16),"",TEXT(K16,"#,##0"))</f>
        <v>0</v>
      </c>
      <c r="AE16" s="39">
        <f>N16/$Y$13</f>
        <v>0</v>
      </c>
      <c r="AF16" s="39">
        <f>O16/$Y$13</f>
        <v>1</v>
      </c>
      <c r="AG16" s="16" t="str">
        <f>IF(ISNA(O16),"",TEXT(O16,"#,##0"))</f>
        <v>62,109</v>
      </c>
      <c r="AH16" s="39">
        <f>P16/$Y$13</f>
        <v>0</v>
      </c>
      <c r="AI16" s="16" t="str">
        <f>IF(ISNA(P16),"",TEXT(P16,"#,##0"))</f>
        <v>0</v>
      </c>
      <c r="AJ16" s="39">
        <f>E16/$Y$13</f>
        <v>0.20122687533207748</v>
      </c>
      <c r="AK16" s="16" t="str">
        <f>IF(ISNA(E16),"",TEXT(E16,"+0;-0"))</f>
        <v>+12498</v>
      </c>
      <c r="AL16" s="39">
        <f>Q16/$Y$13</f>
        <v>0.20122687533207748</v>
      </c>
      <c r="AM16" s="39" t="e">
        <f>R16/$Y$13</f>
        <v>#N/A</v>
      </c>
      <c r="AN16" s="39" t="e">
        <f>S16/$Y$13</f>
        <v>#N/A</v>
      </c>
      <c r="AO16" s="39" t="e">
        <f>T16/$Y$13</f>
        <v>#N/A</v>
      </c>
      <c r="AP16" s="16">
        <f>IF(ISNA(F16),NA(),MEDIAN(-31.5,F16,238.5))</f>
        <v>25.19199371107214</v>
      </c>
      <c r="AQ16" s="16">
        <f>IF(ISNA(U16),NA(),MEDIAN(-31.5,U16,238.5))</f>
        <v>25.19199371107214</v>
      </c>
      <c r="AR16" s="16" t="e">
        <f>IF(ISNA(V16),NA(),MEDIAN(-31.5,V16,238.5))</f>
        <v>#N/A</v>
      </c>
      <c r="AS16" s="16" t="e">
        <f>IF(ISNA(W16),NA(),MEDIAN(-31.5,W16,238.5))</f>
        <v>#N/A</v>
      </c>
      <c r="AT16" s="16" t="e">
        <f>IF(ISNA(X16),NA(),MEDIAN(-31.5,X16,238.5))</f>
        <v>#N/A</v>
      </c>
      <c r="AU16" s="16" t="str">
        <f>IF(ISNA(F16),"",IF(F16&gt;265,TEXT(F16,"+0;-0")&amp;REPT(_xlfn.UNICHAR(9658),MIN(3,MAX(1,INT(F16/265)))),IF(F16&lt;-35,REPT(_xlfn.UNICHAR(9668),MIN(3,MAX(1,INT(-F16/35))))&amp;TEXT(F16,"+0;-0"),TEXT(F16,"+0;-0"))))</f>
        <v>+25</v>
      </c>
    </row>
    <row r="17" spans="1:47" x14ac:dyDescent="0.35">
      <c r="A17" s="20" t="s">
        <v>112</v>
      </c>
      <c r="B17" s="43">
        <v>-1</v>
      </c>
      <c r="C17" s="51">
        <v>38123</v>
      </c>
      <c r="D17" s="51">
        <v>45655</v>
      </c>
      <c r="E17" s="57">
        <f>D17-C17</f>
        <v>7532</v>
      </c>
      <c r="F17" s="38">
        <f>IF(C17&lt;=0,NA(),(D17-C17)/C17*100)</f>
        <v>19.757102011908824</v>
      </c>
      <c r="G17" s="54">
        <f>G16+B17*C17</f>
        <v>11488</v>
      </c>
      <c r="H17" s="54">
        <f>G16</f>
        <v>49611</v>
      </c>
      <c r="I17" s="54">
        <f>MIN(H17,G17)</f>
        <v>11488</v>
      </c>
      <c r="J17" s="54">
        <f>IF(B17&gt;0,ABS(G17-H17),0)</f>
        <v>0</v>
      </c>
      <c r="K17" s="54">
        <f>IF(B17&lt;0,ABS(G17-H17),0)</f>
        <v>38123</v>
      </c>
      <c r="L17" s="54">
        <f>L16+B17*D17</f>
        <v>16454</v>
      </c>
      <c r="M17" s="54">
        <f>L16</f>
        <v>62109</v>
      </c>
      <c r="N17" s="54">
        <f>MIN(M17,L17)</f>
        <v>16454</v>
      </c>
      <c r="O17" s="54">
        <f>IF(B17&gt;0,ABS(L17-M17),0)</f>
        <v>0</v>
      </c>
      <c r="P17" s="54">
        <f>IF(B17&lt;0,ABS(L17-M17),0)</f>
        <v>45655</v>
      </c>
      <c r="Q17" s="57" t="e">
        <f>IF(AND($E17&gt;0,$B17&gt;0),$E17,NA())</f>
        <v>#N/A</v>
      </c>
      <c r="R17" s="57">
        <f>IF(AND($E17&gt;0,$B17&lt;0),$E17,NA())</f>
        <v>7532</v>
      </c>
      <c r="S17" s="57" t="e">
        <f>IF(AND($E17&lt;0,$B17&lt;0),$E17,NA())</f>
        <v>#N/A</v>
      </c>
      <c r="T17" s="57" t="e">
        <f>IF(AND($E17&lt;0,$B17&gt;0),$E17,NA())</f>
        <v>#N/A</v>
      </c>
      <c r="U17" s="38" t="e">
        <f>IF(AND($F17&gt;0,$B17&gt;0),$F17,NA())</f>
        <v>#N/A</v>
      </c>
      <c r="V17" s="38">
        <f>IF(AND($F17&gt;0,$B17&lt;0),$F17,NA())</f>
        <v>19.757102011908824</v>
      </c>
      <c r="W17" s="38" t="e">
        <f>IF(AND($F17&lt;0,$B17&lt;0),$F17,NA())</f>
        <v>#N/A</v>
      </c>
      <c r="X17" s="38" t="e">
        <f>IF(AND($F17&lt;0,$B17&gt;0),$F17,NA())</f>
        <v>#N/A</v>
      </c>
      <c r="Y17" s="39"/>
      <c r="Z17" s="39">
        <f>I17/$Y$13</f>
        <v>0.18496514192790095</v>
      </c>
      <c r="AA17" s="39">
        <f>J17/$Y$13</f>
        <v>0</v>
      </c>
      <c r="AB17" s="16" t="str">
        <f>IF(ISNA(J17),"",TEXT(J17,"#,##0"))</f>
        <v>0</v>
      </c>
      <c r="AC17" s="39">
        <f>K17/$Y$13</f>
        <v>0.61380798274002157</v>
      </c>
      <c r="AD17" s="16" t="str">
        <f>IF(ISNA(K17),"",TEXT(K17,"#,##0"))</f>
        <v>38,123</v>
      </c>
      <c r="AE17" s="39">
        <f>N17/$Y$13</f>
        <v>0.26492134795279265</v>
      </c>
      <c r="AF17" s="39">
        <f>O17/$Y$13</f>
        <v>0</v>
      </c>
      <c r="AG17" s="16" t="str">
        <f>IF(ISNA(O17),"",TEXT(O17,"#,##0"))</f>
        <v>0</v>
      </c>
      <c r="AH17" s="39">
        <f>P17/$Y$13</f>
        <v>0.73507865204720735</v>
      </c>
      <c r="AI17" s="16" t="str">
        <f>IF(ISNA(P17),"",TEXT(P17,"#,##0"))</f>
        <v>45,655</v>
      </c>
      <c r="AJ17" s="39">
        <f>E17/$Y$13</f>
        <v>0.12127066930718576</v>
      </c>
      <c r="AK17" s="16" t="str">
        <f>IF(ISNA(E17),"",TEXT(E17,"+0;-0"))</f>
        <v>+7532</v>
      </c>
      <c r="AL17" s="39" t="e">
        <f>Q17/$Y$13</f>
        <v>#N/A</v>
      </c>
      <c r="AM17" s="39">
        <f>R17/$Y$13</f>
        <v>0.12127066930718576</v>
      </c>
      <c r="AN17" s="39" t="e">
        <f>S17/$Y$13</f>
        <v>#N/A</v>
      </c>
      <c r="AO17" s="39" t="e">
        <f>T17/$Y$13</f>
        <v>#N/A</v>
      </c>
      <c r="AP17" s="16">
        <f>IF(ISNA(F17),NA(),MEDIAN(-31.5,F17,238.5))</f>
        <v>19.757102011908824</v>
      </c>
      <c r="AQ17" s="16" t="e">
        <f>IF(ISNA(U17),NA(),MEDIAN(-31.5,U17,238.5))</f>
        <v>#N/A</v>
      </c>
      <c r="AR17" s="16">
        <f>IF(ISNA(V17),NA(),MEDIAN(-31.5,V17,238.5))</f>
        <v>19.757102011908824</v>
      </c>
      <c r="AS17" s="16" t="e">
        <f>IF(ISNA(W17),NA(),MEDIAN(-31.5,W17,238.5))</f>
        <v>#N/A</v>
      </c>
      <c r="AT17" s="16" t="e">
        <f>IF(ISNA(X17),NA(),MEDIAN(-31.5,X17,238.5))</f>
        <v>#N/A</v>
      </c>
      <c r="AU17" s="16" t="str">
        <f>IF(ISNA(F17),"",IF(F17&gt;265,TEXT(F17,"+0;-0")&amp;REPT(_xlfn.UNICHAR(9658),MIN(3,MAX(1,INT(F17/265)))),IF(F17&lt;-35,REPT(_xlfn.UNICHAR(9668),MIN(3,MAX(1,INT(-F17/35))))&amp;TEXT(F17,"+0;-0"),TEXT(F17,"+0;-0"))))</f>
        <v>+20</v>
      </c>
    </row>
    <row r="18" spans="1:47" x14ac:dyDescent="0.35">
      <c r="A18" s="20" t="s">
        <v>366</v>
      </c>
      <c r="B18" s="43">
        <v>-1</v>
      </c>
      <c r="C18" s="51">
        <v>3917</v>
      </c>
      <c r="D18" s="51">
        <v>4665</v>
      </c>
      <c r="E18" s="57">
        <f>D18-C18</f>
        <v>748</v>
      </c>
      <c r="F18" s="38">
        <f>IF(C18&lt;=0,NA(),(D18-C18)/C18*100)</f>
        <v>19.096247127904007</v>
      </c>
      <c r="G18" s="54">
        <f>G17+B18*C18</f>
        <v>7571</v>
      </c>
      <c r="H18" s="54">
        <f>G17</f>
        <v>11488</v>
      </c>
      <c r="I18" s="54">
        <f>MIN(H18,G18)</f>
        <v>7571</v>
      </c>
      <c r="J18" s="54">
        <f>IF(B18&gt;0,ABS(G18-H18),0)</f>
        <v>0</v>
      </c>
      <c r="K18" s="54">
        <f>IF(B18&lt;0,ABS(G18-H18),0)</f>
        <v>3917</v>
      </c>
      <c r="L18" s="54">
        <f>L17+B18*D18</f>
        <v>11789</v>
      </c>
      <c r="M18" s="54">
        <f>L17</f>
        <v>16454</v>
      </c>
      <c r="N18" s="54">
        <f>MIN(M18,L18)</f>
        <v>11789</v>
      </c>
      <c r="O18" s="54">
        <f>IF(B18&gt;0,ABS(L18-M18),0)</f>
        <v>0</v>
      </c>
      <c r="P18" s="54">
        <f>IF(B18&lt;0,ABS(L18-M18),0)</f>
        <v>4665</v>
      </c>
      <c r="Q18" s="57" t="e">
        <f>IF(AND($E18&gt;0,$B18&gt;0),$E18,NA())</f>
        <v>#N/A</v>
      </c>
      <c r="R18" s="57">
        <f>IF(AND($E18&gt;0,$B18&lt;0),$E18,NA())</f>
        <v>748</v>
      </c>
      <c r="S18" s="57" t="e">
        <f>IF(AND($E18&lt;0,$B18&lt;0),$E18,NA())</f>
        <v>#N/A</v>
      </c>
      <c r="T18" s="57" t="e">
        <f>IF(AND($E18&lt;0,$B18&gt;0),$E18,NA())</f>
        <v>#N/A</v>
      </c>
      <c r="U18" s="38" t="e">
        <f>IF(AND($F18&gt;0,$B18&gt;0),$F18,NA())</f>
        <v>#N/A</v>
      </c>
      <c r="V18" s="38">
        <f>IF(AND($F18&gt;0,$B18&lt;0),$F18,NA())</f>
        <v>19.096247127904007</v>
      </c>
      <c r="W18" s="38" t="e">
        <f>IF(AND($F18&lt;0,$B18&lt;0),$F18,NA())</f>
        <v>#N/A</v>
      </c>
      <c r="X18" s="38" t="e">
        <f>IF(AND($F18&lt;0,$B18&gt;0),$F18,NA())</f>
        <v>#N/A</v>
      </c>
      <c r="Y18" s="39"/>
      <c r="Z18" s="39">
        <f>I18/$Y$13</f>
        <v>0.12189859762675297</v>
      </c>
      <c r="AA18" s="39">
        <f>J18/$Y$13</f>
        <v>0</v>
      </c>
      <c r="AB18" s="16" t="str">
        <f>IF(ISNA(J18),"",TEXT(J18,"#,##0"))</f>
        <v>0</v>
      </c>
      <c r="AC18" s="39">
        <f>K18/$Y$13</f>
        <v>6.3066544301147984E-2</v>
      </c>
      <c r="AD18" s="16" t="str">
        <f>IF(ISNA(K18),"",TEXT(K18,"#,##0"))</f>
        <v>3,917</v>
      </c>
      <c r="AE18" s="39">
        <f>N18/$Y$13</f>
        <v>0.18981146049686839</v>
      </c>
      <c r="AF18" s="39">
        <f>O18/$Y$13</f>
        <v>0</v>
      </c>
      <c r="AG18" s="16" t="str">
        <f>IF(ISNA(O18),"",TEXT(O18,"#,##0"))</f>
        <v>0</v>
      </c>
      <c r="AH18" s="39">
        <f>P18/$Y$13</f>
        <v>7.5109887455924257E-2</v>
      </c>
      <c r="AI18" s="16" t="str">
        <f>IF(ISNA(P18),"",TEXT(P18,"#,##0"))</f>
        <v>4,665</v>
      </c>
      <c r="AJ18" s="39">
        <f>E18/$Y$13</f>
        <v>1.204334315477628E-2</v>
      </c>
      <c r="AK18" s="16" t="str">
        <f>IF(ISNA(E18),"",TEXT(E18,"+0;-0"))</f>
        <v>+748</v>
      </c>
      <c r="AL18" s="39" t="e">
        <f>Q18/$Y$13</f>
        <v>#N/A</v>
      </c>
      <c r="AM18" s="39">
        <f>R18/$Y$13</f>
        <v>1.204334315477628E-2</v>
      </c>
      <c r="AN18" s="39" t="e">
        <f>S18/$Y$13</f>
        <v>#N/A</v>
      </c>
      <c r="AO18" s="39" t="e">
        <f>T18/$Y$13</f>
        <v>#N/A</v>
      </c>
      <c r="AP18" s="16">
        <f>IF(ISNA(F18),NA(),MEDIAN(-31.5,F18,238.5))</f>
        <v>19.096247127904007</v>
      </c>
      <c r="AQ18" s="16" t="e">
        <f>IF(ISNA(U18),NA(),MEDIAN(-31.5,U18,238.5))</f>
        <v>#N/A</v>
      </c>
      <c r="AR18" s="16">
        <f>IF(ISNA(V18),NA(),MEDIAN(-31.5,V18,238.5))</f>
        <v>19.096247127904007</v>
      </c>
      <c r="AS18" s="16" t="e">
        <f>IF(ISNA(W18),NA(),MEDIAN(-31.5,W18,238.5))</f>
        <v>#N/A</v>
      </c>
      <c r="AT18" s="16" t="e">
        <f>IF(ISNA(X18),NA(),MEDIAN(-31.5,X18,238.5))</f>
        <v>#N/A</v>
      </c>
      <c r="AU18" s="16" t="str">
        <f>IF(ISNA(F18),"",IF(F18&gt;265,TEXT(F18,"+0;-0")&amp;REPT(_xlfn.UNICHAR(9658),MIN(3,MAX(1,INT(F18/265)))),IF(F18&lt;-35,REPT(_xlfn.UNICHAR(9668),MIN(3,MAX(1,INT(-F18/35))))&amp;TEXT(F18,"+0;-0"),TEXT(F18,"+0;-0"))))</f>
        <v>+19</v>
      </c>
    </row>
    <row r="19" spans="1:47" x14ac:dyDescent="0.35">
      <c r="A19" s="20" t="s">
        <v>367</v>
      </c>
      <c r="B19" s="43">
        <v>-1</v>
      </c>
      <c r="C19" s="51">
        <v>6649</v>
      </c>
      <c r="D19" s="51">
        <v>6885</v>
      </c>
      <c r="E19" s="57">
        <f>D19-C19</f>
        <v>236</v>
      </c>
      <c r="F19" s="38">
        <f>IF(C19&lt;=0,NA(),(D19-C19)/C19*100)</f>
        <v>3.5494059257031134</v>
      </c>
      <c r="G19" s="54">
        <f>G18+B19*C19</f>
        <v>922</v>
      </c>
      <c r="H19" s="54">
        <f>G18</f>
        <v>7571</v>
      </c>
      <c r="I19" s="54">
        <f>MIN(H19,G19)</f>
        <v>922</v>
      </c>
      <c r="J19" s="54">
        <f>IF(B19&gt;0,ABS(G19-H19),0)</f>
        <v>0</v>
      </c>
      <c r="K19" s="54">
        <f>IF(B19&lt;0,ABS(G19-H19),0)</f>
        <v>6649</v>
      </c>
      <c r="L19" s="54">
        <f>L18+B19*D19</f>
        <v>4904</v>
      </c>
      <c r="M19" s="54">
        <f>L18</f>
        <v>11789</v>
      </c>
      <c r="N19" s="54">
        <f>MIN(M19,L19)</f>
        <v>4904</v>
      </c>
      <c r="O19" s="54">
        <f>IF(B19&gt;0,ABS(L19-M19),0)</f>
        <v>0</v>
      </c>
      <c r="P19" s="54">
        <f>IF(B19&lt;0,ABS(L19-M19),0)</f>
        <v>6885</v>
      </c>
      <c r="Q19" s="57" t="e">
        <f>IF(AND($E19&gt;0,$B19&gt;0),$E19,NA())</f>
        <v>#N/A</v>
      </c>
      <c r="R19" s="57">
        <f>IF(AND($E19&gt;0,$B19&lt;0),$E19,NA())</f>
        <v>236</v>
      </c>
      <c r="S19" s="57" t="e">
        <f>IF(AND($E19&lt;0,$B19&lt;0),$E19,NA())</f>
        <v>#N/A</v>
      </c>
      <c r="T19" s="57" t="e">
        <f>IF(AND($E19&lt;0,$B19&gt;0),$E19,NA())</f>
        <v>#N/A</v>
      </c>
      <c r="U19" s="38" t="e">
        <f>IF(AND($F19&gt;0,$B19&gt;0),$F19,NA())</f>
        <v>#N/A</v>
      </c>
      <c r="V19" s="38">
        <f>IF(AND($F19&gt;0,$B19&lt;0),$F19,NA())</f>
        <v>3.5494059257031134</v>
      </c>
      <c r="W19" s="38" t="e">
        <f>IF(AND($F19&lt;0,$B19&lt;0),$F19,NA())</f>
        <v>#N/A</v>
      </c>
      <c r="X19" s="38" t="e">
        <f>IF(AND($F19&lt;0,$B19&gt;0),$F19,NA())</f>
        <v>#N/A</v>
      </c>
      <c r="Y19" s="39"/>
      <c r="Z19" s="39">
        <f>I19/$Y$13</f>
        <v>1.4844869503614614E-2</v>
      </c>
      <c r="AA19" s="39">
        <f>J19/$Y$13</f>
        <v>0</v>
      </c>
      <c r="AB19" s="16" t="str">
        <f>IF(ISNA(J19),"",TEXT(J19,"#,##0"))</f>
        <v>0</v>
      </c>
      <c r="AC19" s="39">
        <f>K19/$Y$13</f>
        <v>0.10705372812313835</v>
      </c>
      <c r="AD19" s="16" t="str">
        <f>IF(ISNA(K19),"",TEXT(K19,"#,##0"))</f>
        <v>6,649</v>
      </c>
      <c r="AE19" s="39">
        <f>N19/$Y$13</f>
        <v>7.8957961004041288E-2</v>
      </c>
      <c r="AF19" s="39">
        <f>O19/$Y$13</f>
        <v>0</v>
      </c>
      <c r="AG19" s="16" t="str">
        <f>IF(ISNA(O19),"",TEXT(O19,"#,##0"))</f>
        <v>0</v>
      </c>
      <c r="AH19" s="39">
        <f>P19/$Y$13</f>
        <v>0.11085349949282712</v>
      </c>
      <c r="AI19" s="16" t="str">
        <f>IF(ISNA(P19),"",TEXT(P19,"#,##0"))</f>
        <v>6,885</v>
      </c>
      <c r="AJ19" s="39">
        <f>E19/$Y$13</f>
        <v>3.799771369688773E-3</v>
      </c>
      <c r="AK19" s="16" t="str">
        <f>IF(ISNA(E19),"",TEXT(E19,"+0;-0"))</f>
        <v>+236</v>
      </c>
      <c r="AL19" s="39" t="e">
        <f>Q19/$Y$13</f>
        <v>#N/A</v>
      </c>
      <c r="AM19" s="39">
        <f>R19/$Y$13</f>
        <v>3.799771369688773E-3</v>
      </c>
      <c r="AN19" s="39" t="e">
        <f>S19/$Y$13</f>
        <v>#N/A</v>
      </c>
      <c r="AO19" s="39" t="e">
        <f>T19/$Y$13</f>
        <v>#N/A</v>
      </c>
      <c r="AP19" s="16">
        <f>IF(ISNA(F19),NA(),MEDIAN(-31.5,F19,238.5))</f>
        <v>3.5494059257031134</v>
      </c>
      <c r="AQ19" s="16" t="e">
        <f>IF(ISNA(U19),NA(),MEDIAN(-31.5,U19,238.5))</f>
        <v>#N/A</v>
      </c>
      <c r="AR19" s="16">
        <f>IF(ISNA(V19),NA(),MEDIAN(-31.5,V19,238.5))</f>
        <v>3.5494059257031134</v>
      </c>
      <c r="AS19" s="16" t="e">
        <f>IF(ISNA(W19),NA(),MEDIAN(-31.5,W19,238.5))</f>
        <v>#N/A</v>
      </c>
      <c r="AT19" s="16" t="e">
        <f>IF(ISNA(X19),NA(),MEDIAN(-31.5,X19,238.5))</f>
        <v>#N/A</v>
      </c>
      <c r="AU19" s="16" t="str">
        <f>IF(ISNA(F19),"",IF(F19&gt;265,TEXT(F19,"+0;-0")&amp;REPT(_xlfn.UNICHAR(9658),MIN(3,MAX(1,INT(F19/265)))),IF(F19&lt;-35,REPT(_xlfn.UNICHAR(9668),MIN(3,MAX(1,INT(-F19/35))))&amp;TEXT(F19,"+0;-0"),TEXT(F19,"+0;-0"))))</f>
        <v>+4</v>
      </c>
    </row>
    <row r="20" spans="1:47" x14ac:dyDescent="0.35">
      <c r="A20" s="20" t="s">
        <v>368</v>
      </c>
      <c r="B20" s="43">
        <v>1</v>
      </c>
      <c r="C20" s="55">
        <f>G19</f>
        <v>922</v>
      </c>
      <c r="D20" s="55">
        <f>L19</f>
        <v>4904</v>
      </c>
      <c r="E20" s="57">
        <f>D20-C20</f>
        <v>3982</v>
      </c>
      <c r="F20" s="38">
        <f>IF(C20&lt;=0,NA(),(D20-C20)/C20*100)</f>
        <v>431.88720173535791</v>
      </c>
      <c r="G20" s="54">
        <f>G19</f>
        <v>922</v>
      </c>
      <c r="H20" s="54">
        <f>0</f>
        <v>0</v>
      </c>
      <c r="I20" s="54">
        <f>MIN(H20,G20)</f>
        <v>0</v>
      </c>
      <c r="J20" s="54">
        <f>IF(B20&gt;0,ABS(G20-H20),0)</f>
        <v>922</v>
      </c>
      <c r="K20" s="54">
        <f>IF(B20&lt;0,ABS(G20-H20),0)</f>
        <v>0</v>
      </c>
      <c r="L20" s="54">
        <f>L19</f>
        <v>4904</v>
      </c>
      <c r="M20" s="54">
        <f>0</f>
        <v>0</v>
      </c>
      <c r="N20" s="54">
        <f>MIN(M20,L20)</f>
        <v>0</v>
      </c>
      <c r="O20" s="54">
        <f>IF(B20&gt;0,ABS(L20-M20),0)</f>
        <v>4904</v>
      </c>
      <c r="P20" s="54">
        <f>IF(B20&lt;0,ABS(L20-M20),0)</f>
        <v>0</v>
      </c>
      <c r="Q20" s="57">
        <f>IF(AND($E20&gt;0,$B20&gt;0),$E20,NA())</f>
        <v>3982</v>
      </c>
      <c r="R20" s="57" t="e">
        <f>IF(AND($E20&gt;0,$B20&lt;0),$E20,NA())</f>
        <v>#N/A</v>
      </c>
      <c r="S20" s="57" t="e">
        <f>IF(AND($E20&lt;0,$B20&lt;0),$E20,NA())</f>
        <v>#N/A</v>
      </c>
      <c r="T20" s="57" t="e">
        <f>IF(AND($E20&lt;0,$B20&gt;0),$E20,NA())</f>
        <v>#N/A</v>
      </c>
      <c r="U20" s="38">
        <f>IF(AND($F20&gt;0,$B20&gt;0),$F20,NA())</f>
        <v>431.88720173535791</v>
      </c>
      <c r="V20" s="38" t="e">
        <f>IF(AND($F20&gt;0,$B20&lt;0),$F20,NA())</f>
        <v>#N/A</v>
      </c>
      <c r="W20" s="38" t="e">
        <f>IF(AND($F20&lt;0,$B20&lt;0),$F20,NA())</f>
        <v>#N/A</v>
      </c>
      <c r="X20" s="38" t="e">
        <f>IF(AND($F20&lt;0,$B20&gt;0),$F20,NA())</f>
        <v>#N/A</v>
      </c>
      <c r="Y20" s="39"/>
      <c r="Z20" s="39">
        <f>I20/$Y$13</f>
        <v>0</v>
      </c>
      <c r="AA20" s="39">
        <f>J20/$Y$13</f>
        <v>1.4844869503614614E-2</v>
      </c>
      <c r="AB20" s="16" t="str">
        <f>IF(ISNA(J20),"",TEXT(J20,"#,##0"))</f>
        <v>922</v>
      </c>
      <c r="AC20" s="39">
        <f>K20/$Y$13</f>
        <v>0</v>
      </c>
      <c r="AD20" s="16" t="str">
        <f>IF(ISNA(K20),"",TEXT(K20,"#,##0"))</f>
        <v>0</v>
      </c>
      <c r="AE20" s="39">
        <f>N20/$Y$13</f>
        <v>0</v>
      </c>
      <c r="AF20" s="39">
        <f>O20/$Y$13</f>
        <v>7.8957961004041288E-2</v>
      </c>
      <c r="AG20" s="16" t="str">
        <f>IF(ISNA(O20),"",TEXT(O20,"#,##0"))</f>
        <v>4,904</v>
      </c>
      <c r="AH20" s="39">
        <f>P20/$Y$13</f>
        <v>0</v>
      </c>
      <c r="AI20" s="16" t="str">
        <f>IF(ISNA(P20),"",TEXT(P20,"#,##0"))</f>
        <v>0</v>
      </c>
      <c r="AJ20" s="39">
        <f>E20/$Y$13</f>
        <v>6.4113091500426669E-2</v>
      </c>
      <c r="AK20" s="16" t="str">
        <f>IF(ISNA(E20),"",TEXT(E20,"+0;-0"))</f>
        <v>+3982</v>
      </c>
      <c r="AL20" s="39">
        <f>Q20/$Y$13</f>
        <v>6.4113091500426669E-2</v>
      </c>
      <c r="AM20" s="39" t="e">
        <f>R20/$Y$13</f>
        <v>#N/A</v>
      </c>
      <c r="AN20" s="39" t="e">
        <f>S20/$Y$13</f>
        <v>#N/A</v>
      </c>
      <c r="AO20" s="39" t="e">
        <f>T20/$Y$13</f>
        <v>#N/A</v>
      </c>
      <c r="AP20" s="16">
        <f>IF(ISNA(F20),NA(),MEDIAN(-31.5,F20,238.5))</f>
        <v>238.5</v>
      </c>
      <c r="AQ20" s="16">
        <f>IF(ISNA(U20),NA(),MEDIAN(-31.5,U20,238.5))</f>
        <v>238.5</v>
      </c>
      <c r="AR20" s="16" t="e">
        <f>IF(ISNA(V20),NA(),MEDIAN(-31.5,V20,238.5))</f>
        <v>#N/A</v>
      </c>
      <c r="AS20" s="16" t="e">
        <f>IF(ISNA(W20),NA(),MEDIAN(-31.5,W20,238.5))</f>
        <v>#N/A</v>
      </c>
      <c r="AT20" s="16" t="e">
        <f>IF(ISNA(X20),NA(),MEDIAN(-31.5,X20,238.5))</f>
        <v>#N/A</v>
      </c>
      <c r="AU20" s="16" t="str">
        <f>IF(ISNA(F20),"",IF(F20&gt;265,TEXT(F20,"+0;-0")&amp;REPT(_xlfn.UNICHAR(9658),MIN(3,MAX(1,INT(F20/265)))),IF(F20&lt;-35,REPT(_xlfn.UNICHAR(9668),MIN(3,MAX(1,INT(-F20/35))))&amp;TEXT(F20,"+0;-0"),TEXT(F20,"+0;-0"))))</f>
        <v>+432►</v>
      </c>
    </row>
    <row r="21" spans="1:47" x14ac:dyDescent="0.35">
      <c r="A21" s="20" t="s">
        <v>369</v>
      </c>
      <c r="B21" s="43">
        <v>-1</v>
      </c>
      <c r="C21" s="51">
        <v>200</v>
      </c>
      <c r="D21" s="51">
        <v>1001</v>
      </c>
      <c r="E21" s="57">
        <f>D21-C21</f>
        <v>801</v>
      </c>
      <c r="F21" s="38">
        <f>IF(C21&lt;=0,NA(),(D21-C21)/C21*100)</f>
        <v>400.5</v>
      </c>
      <c r="G21" s="54">
        <f>G20+B21*C21</f>
        <v>722</v>
      </c>
      <c r="H21" s="54">
        <f>G20</f>
        <v>922</v>
      </c>
      <c r="I21" s="54">
        <f>MIN(H21,G21)</f>
        <v>722</v>
      </c>
      <c r="J21" s="54">
        <f>IF(B21&gt;0,ABS(G21-H21),0)</f>
        <v>0</v>
      </c>
      <c r="K21" s="54">
        <f>IF(B21&lt;0,ABS(G21-H21),0)</f>
        <v>200</v>
      </c>
      <c r="L21" s="54">
        <f>L20+B21*D21</f>
        <v>3903</v>
      </c>
      <c r="M21" s="54">
        <f>L20</f>
        <v>4904</v>
      </c>
      <c r="N21" s="54">
        <f>MIN(M21,L21)</f>
        <v>3903</v>
      </c>
      <c r="O21" s="54">
        <f>IF(B21&gt;0,ABS(L21-M21),0)</f>
        <v>0</v>
      </c>
      <c r="P21" s="54">
        <f>IF(B21&lt;0,ABS(L21-M21),0)</f>
        <v>1001</v>
      </c>
      <c r="Q21" s="57" t="e">
        <f>IF(AND($E21&gt;0,$B21&gt;0),$E21,NA())</f>
        <v>#N/A</v>
      </c>
      <c r="R21" s="57">
        <f>IF(AND($E21&gt;0,$B21&lt;0),$E21,NA())</f>
        <v>801</v>
      </c>
      <c r="S21" s="57" t="e">
        <f>IF(AND($E21&lt;0,$B21&lt;0),$E21,NA())</f>
        <v>#N/A</v>
      </c>
      <c r="T21" s="57" t="e">
        <f>IF(AND($E21&lt;0,$B21&gt;0),$E21,NA())</f>
        <v>#N/A</v>
      </c>
      <c r="U21" s="38" t="e">
        <f>IF(AND($F21&gt;0,$B21&gt;0),$F21,NA())</f>
        <v>#N/A</v>
      </c>
      <c r="V21" s="38">
        <f>IF(AND($F21&gt;0,$B21&lt;0),$F21,NA())</f>
        <v>400.5</v>
      </c>
      <c r="W21" s="38" t="e">
        <f>IF(AND($F21&lt;0,$B21&lt;0),$F21,NA())</f>
        <v>#N/A</v>
      </c>
      <c r="X21" s="38" t="e">
        <f>IF(AND($F21&lt;0,$B21&gt;0),$F21,NA())</f>
        <v>#N/A</v>
      </c>
      <c r="Y21" s="39"/>
      <c r="Z21" s="39">
        <f>I21/$Y$13</f>
        <v>1.1624724275064805E-2</v>
      </c>
      <c r="AA21" s="39">
        <f>J21/$Y$13</f>
        <v>0</v>
      </c>
      <c r="AB21" s="16" t="str">
        <f>IF(ISNA(J21),"",TEXT(J21,"#,##0"))</f>
        <v>0</v>
      </c>
      <c r="AC21" s="39">
        <f>K21/$Y$13</f>
        <v>3.2201452285498078E-3</v>
      </c>
      <c r="AD21" s="16" t="str">
        <f>IF(ISNA(K21),"",TEXT(K21,"#,##0"))</f>
        <v>200</v>
      </c>
      <c r="AE21" s="39">
        <f>N21/$Y$13</f>
        <v>6.2841134135149496E-2</v>
      </c>
      <c r="AF21" s="39">
        <f>O21/$Y$13</f>
        <v>0</v>
      </c>
      <c r="AG21" s="16" t="str">
        <f>IF(ISNA(O21),"",TEXT(O21,"#,##0"))</f>
        <v>0</v>
      </c>
      <c r="AH21" s="39">
        <f>P21/$Y$13</f>
        <v>1.6116826868891786E-2</v>
      </c>
      <c r="AI21" s="16" t="str">
        <f>IF(ISNA(P21),"",TEXT(P21,"#,##0"))</f>
        <v>1,001</v>
      </c>
      <c r="AJ21" s="39">
        <f>E21/$Y$13</f>
        <v>1.2896681640341979E-2</v>
      </c>
      <c r="AK21" s="16" t="str">
        <f>IF(ISNA(E21),"",TEXT(E21,"+0;-0"))</f>
        <v>+801</v>
      </c>
      <c r="AL21" s="39" t="e">
        <f>Q21/$Y$13</f>
        <v>#N/A</v>
      </c>
      <c r="AM21" s="39">
        <f>R21/$Y$13</f>
        <v>1.2896681640341979E-2</v>
      </c>
      <c r="AN21" s="39" t="e">
        <f>S21/$Y$13</f>
        <v>#N/A</v>
      </c>
      <c r="AO21" s="39" t="e">
        <f>T21/$Y$13</f>
        <v>#N/A</v>
      </c>
      <c r="AP21" s="16">
        <f>IF(ISNA(F21),NA(),MEDIAN(-31.5,F21,238.5))</f>
        <v>238.5</v>
      </c>
      <c r="AQ21" s="16" t="e">
        <f>IF(ISNA(U21),NA(),MEDIAN(-31.5,U21,238.5))</f>
        <v>#N/A</v>
      </c>
      <c r="AR21" s="16">
        <f>IF(ISNA(V21),NA(),MEDIAN(-31.5,V21,238.5))</f>
        <v>238.5</v>
      </c>
      <c r="AS21" s="16" t="e">
        <f>IF(ISNA(W21),NA(),MEDIAN(-31.5,W21,238.5))</f>
        <v>#N/A</v>
      </c>
      <c r="AT21" s="16" t="e">
        <f>IF(ISNA(X21),NA(),MEDIAN(-31.5,X21,238.5))</f>
        <v>#N/A</v>
      </c>
      <c r="AU21" s="16" t="str">
        <f>IF(ISNA(F21),"",IF(F21&gt;265,TEXT(F21,"+0;-0")&amp;REPT(_xlfn.UNICHAR(9658),MIN(3,MAX(1,INT(F21/265)))),IF(F21&lt;-35,REPT(_xlfn.UNICHAR(9668),MIN(3,MAX(1,INT(-F21/35))))&amp;TEXT(F21,"+0;-0"),TEXT(F21,"+0;-0"))))</f>
        <v>+401►</v>
      </c>
    </row>
    <row r="22" spans="1:47" x14ac:dyDescent="0.35">
      <c r="A22" s="20" t="s">
        <v>370</v>
      </c>
      <c r="B22" s="43">
        <v>1</v>
      </c>
      <c r="C22" s="55">
        <f>G21</f>
        <v>722</v>
      </c>
      <c r="D22" s="55">
        <f>L21</f>
        <v>3903</v>
      </c>
      <c r="E22" s="57">
        <f>D22-C22</f>
        <v>3181</v>
      </c>
      <c r="F22" s="38">
        <f>IF(C22&lt;=0,NA(),(D22-C22)/C22*100)</f>
        <v>440.5817174515235</v>
      </c>
      <c r="G22" s="54">
        <f>G21</f>
        <v>722</v>
      </c>
      <c r="H22" s="54">
        <f>0</f>
        <v>0</v>
      </c>
      <c r="I22" s="54">
        <f>MIN(H22,G22)</f>
        <v>0</v>
      </c>
      <c r="J22" s="54">
        <f>IF(B22&gt;0,ABS(G22-H22),0)</f>
        <v>722</v>
      </c>
      <c r="K22" s="54">
        <f>IF(B22&lt;0,ABS(G22-H22),0)</f>
        <v>0</v>
      </c>
      <c r="L22" s="54">
        <f>L21</f>
        <v>3903</v>
      </c>
      <c r="M22" s="54">
        <f>0</f>
        <v>0</v>
      </c>
      <c r="N22" s="54">
        <f>MIN(M22,L22)</f>
        <v>0</v>
      </c>
      <c r="O22" s="54">
        <f>IF(B22&gt;0,ABS(L22-M22),0)</f>
        <v>3903</v>
      </c>
      <c r="P22" s="54">
        <f>IF(B22&lt;0,ABS(L22-M22),0)</f>
        <v>0</v>
      </c>
      <c r="Q22" s="57">
        <f>IF(AND($E22&gt;0,$B22&gt;0),$E22,NA())</f>
        <v>3181</v>
      </c>
      <c r="R22" s="57" t="e">
        <f>IF(AND($E22&gt;0,$B22&lt;0),$E22,NA())</f>
        <v>#N/A</v>
      </c>
      <c r="S22" s="57" t="e">
        <f>IF(AND($E22&lt;0,$B22&lt;0),$E22,NA())</f>
        <v>#N/A</v>
      </c>
      <c r="T22" s="57" t="e">
        <f>IF(AND($E22&lt;0,$B22&gt;0),$E22,NA())</f>
        <v>#N/A</v>
      </c>
      <c r="U22" s="38">
        <f>IF(AND($F22&gt;0,$B22&gt;0),$F22,NA())</f>
        <v>440.5817174515235</v>
      </c>
      <c r="V22" s="38" t="e">
        <f>IF(AND($F22&gt;0,$B22&lt;0),$F22,NA())</f>
        <v>#N/A</v>
      </c>
      <c r="W22" s="38" t="e">
        <f>IF(AND($F22&lt;0,$B22&lt;0),$F22,NA())</f>
        <v>#N/A</v>
      </c>
      <c r="X22" s="38" t="e">
        <f>IF(AND($F22&lt;0,$B22&gt;0),$F22,NA())</f>
        <v>#N/A</v>
      </c>
      <c r="Y22" s="39"/>
      <c r="Z22" s="39">
        <f>I22/$Y$13</f>
        <v>0</v>
      </c>
      <c r="AA22" s="39">
        <f>J22/$Y$13</f>
        <v>1.1624724275064805E-2</v>
      </c>
      <c r="AB22" s="16" t="str">
        <f>IF(ISNA(J22),"",TEXT(J22,"#,##0"))</f>
        <v>722</v>
      </c>
      <c r="AC22" s="39">
        <f>K22/$Y$13</f>
        <v>0</v>
      </c>
      <c r="AD22" s="16" t="str">
        <f>IF(ISNA(K22),"",TEXT(K22,"#,##0"))</f>
        <v>0</v>
      </c>
      <c r="AE22" s="39">
        <f>N22/$Y$13</f>
        <v>0</v>
      </c>
      <c r="AF22" s="39">
        <f>O22/$Y$13</f>
        <v>6.2841134135149496E-2</v>
      </c>
      <c r="AG22" s="16" t="str">
        <f>IF(ISNA(O22),"",TEXT(O22,"#,##0"))</f>
        <v>3,903</v>
      </c>
      <c r="AH22" s="39">
        <f>P22/$Y$13</f>
        <v>0</v>
      </c>
      <c r="AI22" s="16" t="str">
        <f>IF(ISNA(P22),"",TEXT(P22,"#,##0"))</f>
        <v>0</v>
      </c>
      <c r="AJ22" s="39">
        <f>E22/$Y$13</f>
        <v>5.1216409860084688E-2</v>
      </c>
      <c r="AK22" s="16" t="str">
        <f>IF(ISNA(E22),"",TEXT(E22,"+0;-0"))</f>
        <v>+3181</v>
      </c>
      <c r="AL22" s="39">
        <f>Q22/$Y$13</f>
        <v>5.1216409860084688E-2</v>
      </c>
      <c r="AM22" s="39" t="e">
        <f>R22/$Y$13</f>
        <v>#N/A</v>
      </c>
      <c r="AN22" s="39" t="e">
        <f>S22/$Y$13</f>
        <v>#N/A</v>
      </c>
      <c r="AO22" s="39" t="e">
        <f>T22/$Y$13</f>
        <v>#N/A</v>
      </c>
      <c r="AP22" s="16">
        <f>IF(ISNA(F22),NA(),MEDIAN(-31.5,F22,238.5))</f>
        <v>238.5</v>
      </c>
      <c r="AQ22" s="16">
        <f>IF(ISNA(U22),NA(),MEDIAN(-31.5,U22,238.5))</f>
        <v>238.5</v>
      </c>
      <c r="AR22" s="16" t="e">
        <f>IF(ISNA(V22),NA(),MEDIAN(-31.5,V22,238.5))</f>
        <v>#N/A</v>
      </c>
      <c r="AS22" s="16" t="e">
        <f>IF(ISNA(W22),NA(),MEDIAN(-31.5,W22,238.5))</f>
        <v>#N/A</v>
      </c>
      <c r="AT22" s="16" t="e">
        <f>IF(ISNA(X22),NA(),MEDIAN(-31.5,X22,238.5))</f>
        <v>#N/A</v>
      </c>
      <c r="AU22" s="16" t="str">
        <f>IF(ISNA(F22),"",IF(F22&gt;265,TEXT(F22,"+0;-0")&amp;REPT(_xlfn.UNICHAR(9658),MIN(3,MAX(1,INT(F22/265)))),IF(F22&lt;-35,REPT(_xlfn.UNICHAR(9668),MIN(3,MAX(1,INT(-F22/35))))&amp;TEXT(F22,"+0;-0"),TEXT(F22,"+0;-0"))))</f>
        <v>+441►</v>
      </c>
    </row>
    <row r="23" spans="1:47" x14ac:dyDescent="0.35">
      <c r="A23" s="20"/>
      <c r="B23" s="43"/>
      <c r="C23" s="49"/>
      <c r="D23" s="49"/>
      <c r="E23" s="57"/>
      <c r="F23" s="38"/>
      <c r="G23" s="54"/>
      <c r="H23" s="54"/>
      <c r="I23" s="54"/>
      <c r="J23" s="54"/>
      <c r="K23" s="54"/>
      <c r="L23" s="54"/>
      <c r="M23" s="54"/>
      <c r="N23" s="54"/>
      <c r="O23" s="54"/>
      <c r="P23" s="54"/>
      <c r="Q23" s="57"/>
      <c r="R23" s="57"/>
      <c r="S23" s="57"/>
      <c r="T23" s="57"/>
      <c r="U23" s="38"/>
      <c r="V23" s="38"/>
      <c r="W23" s="38"/>
      <c r="X23" s="38"/>
      <c r="Y23" s="39"/>
      <c r="Z23" s="39"/>
      <c r="AA23" s="39"/>
      <c r="AB23" s="16"/>
      <c r="AC23" s="39"/>
      <c r="AD23" s="16"/>
      <c r="AE23" s="39"/>
      <c r="AF23" s="39"/>
      <c r="AG23" s="16"/>
      <c r="AH23" s="39"/>
      <c r="AI23" s="16"/>
      <c r="AJ23" s="39"/>
      <c r="AK23" s="16"/>
      <c r="AL23" s="39"/>
      <c r="AM23" s="39"/>
      <c r="AN23" s="39"/>
      <c r="AO23" s="39"/>
      <c r="AP23" s="16"/>
      <c r="AQ23" s="16"/>
      <c r="AR23" s="16"/>
      <c r="AS23" s="16"/>
      <c r="AT23" s="16"/>
      <c r="AU23" s="16"/>
    </row>
    <row r="24" spans="1:47" x14ac:dyDescent="0.35">
      <c r="A24" s="20"/>
      <c r="B24" s="43"/>
      <c r="C24" s="49"/>
      <c r="D24" s="49"/>
      <c r="E24" s="57"/>
      <c r="F24" s="38"/>
      <c r="G24" s="54"/>
      <c r="H24" s="54"/>
      <c r="I24" s="54"/>
      <c r="J24" s="54"/>
      <c r="K24" s="54"/>
      <c r="L24" s="54"/>
      <c r="M24" s="54"/>
      <c r="N24" s="54"/>
      <c r="O24" s="54"/>
      <c r="P24" s="54"/>
      <c r="Q24" s="57"/>
      <c r="R24" s="57"/>
      <c r="S24" s="57"/>
      <c r="T24" s="57"/>
      <c r="U24" s="38"/>
      <c r="V24" s="38"/>
      <c r="W24" s="38"/>
      <c r="X24" s="38"/>
      <c r="Y24" s="39"/>
      <c r="Z24" s="39"/>
      <c r="AA24" s="39"/>
      <c r="AB24" s="16"/>
      <c r="AC24" s="39"/>
      <c r="AD24" s="16"/>
      <c r="AE24" s="39"/>
      <c r="AF24" s="39"/>
      <c r="AG24" s="16"/>
      <c r="AH24" s="39"/>
      <c r="AI24" s="16"/>
      <c r="AJ24" s="39"/>
      <c r="AK24" s="16"/>
      <c r="AL24" s="39"/>
      <c r="AM24" s="39"/>
      <c r="AN24" s="39"/>
      <c r="AO24" s="39"/>
      <c r="AP24" s="16"/>
      <c r="AQ24" s="16"/>
      <c r="AR24" s="16"/>
      <c r="AS24" s="16"/>
      <c r="AT24" s="16"/>
      <c r="AU24" s="16"/>
    </row>
    <row r="25" spans="1:47" x14ac:dyDescent="0.35">
      <c r="A25" s="20"/>
      <c r="B25" s="43"/>
      <c r="C25" s="49"/>
      <c r="D25" s="49"/>
      <c r="E25" s="57"/>
      <c r="F25" s="38"/>
      <c r="G25" s="54"/>
      <c r="H25" s="54"/>
      <c r="I25" s="54"/>
      <c r="J25" s="54"/>
      <c r="K25" s="54"/>
      <c r="L25" s="54"/>
      <c r="M25" s="54"/>
      <c r="N25" s="54"/>
      <c r="O25" s="54"/>
      <c r="P25" s="54"/>
      <c r="Q25" s="57"/>
      <c r="R25" s="57"/>
      <c r="S25" s="57"/>
      <c r="T25" s="57"/>
      <c r="U25" s="38"/>
      <c r="V25" s="38"/>
      <c r="W25" s="38"/>
      <c r="X25" s="38"/>
      <c r="Y25" s="39"/>
      <c r="Z25" s="39"/>
      <c r="AA25" s="39"/>
      <c r="AB25" s="16"/>
      <c r="AC25" s="39"/>
      <c r="AD25" s="16"/>
      <c r="AE25" s="39"/>
      <c r="AF25" s="39"/>
      <c r="AG25" s="16"/>
      <c r="AH25" s="39"/>
      <c r="AI25" s="16"/>
      <c r="AJ25" s="39"/>
      <c r="AK25" s="16"/>
      <c r="AL25" s="39"/>
      <c r="AM25" s="39"/>
      <c r="AN25" s="39"/>
      <c r="AO25" s="39"/>
      <c r="AP25" s="16"/>
      <c r="AQ25" s="16"/>
      <c r="AR25" s="16"/>
      <c r="AS25" s="16"/>
      <c r="AT25" s="16"/>
      <c r="AU25" s="16"/>
    </row>
    <row r="26" spans="1:47" x14ac:dyDescent="0.35">
      <c r="A26" s="20"/>
      <c r="B26" s="43"/>
      <c r="C26" s="49"/>
      <c r="D26" s="49"/>
      <c r="E26" s="57"/>
      <c r="F26" s="38"/>
      <c r="G26" s="54"/>
      <c r="H26" s="54"/>
      <c r="I26" s="54"/>
      <c r="J26" s="54"/>
      <c r="K26" s="54"/>
      <c r="L26" s="54"/>
      <c r="M26" s="54"/>
      <c r="N26" s="54"/>
      <c r="O26" s="54"/>
      <c r="P26" s="54"/>
      <c r="Q26" s="57"/>
      <c r="R26" s="57"/>
      <c r="S26" s="57"/>
      <c r="T26" s="57"/>
      <c r="U26" s="38"/>
      <c r="V26" s="38"/>
      <c r="W26" s="38"/>
      <c r="X26" s="38"/>
      <c r="Y26" s="39"/>
      <c r="Z26" s="39"/>
      <c r="AA26" s="39"/>
      <c r="AB26" s="16"/>
      <c r="AC26" s="39"/>
      <c r="AD26" s="16"/>
      <c r="AE26" s="39"/>
      <c r="AF26" s="39"/>
      <c r="AG26" s="16"/>
      <c r="AH26" s="39"/>
      <c r="AI26" s="16"/>
      <c r="AJ26" s="39"/>
      <c r="AK26" s="16"/>
      <c r="AL26" s="39"/>
      <c r="AM26" s="39"/>
      <c r="AN26" s="39"/>
      <c r="AO26" s="39"/>
      <c r="AP26" s="16"/>
      <c r="AQ26" s="16"/>
      <c r="AR26" s="16"/>
      <c r="AS26" s="16"/>
      <c r="AT26" s="16"/>
      <c r="AU26" s="16"/>
    </row>
    <row r="27" spans="1:47" x14ac:dyDescent="0.35">
      <c r="A27" s="20"/>
      <c r="B27" s="43"/>
      <c r="C27" s="49"/>
      <c r="D27" s="49"/>
      <c r="E27" s="57"/>
      <c r="F27" s="38"/>
      <c r="G27" s="54"/>
      <c r="H27" s="54"/>
      <c r="I27" s="54"/>
      <c r="J27" s="54"/>
      <c r="K27" s="54"/>
      <c r="L27" s="54"/>
      <c r="M27" s="54"/>
      <c r="N27" s="54"/>
      <c r="O27" s="54"/>
      <c r="P27" s="54"/>
      <c r="Q27" s="57"/>
      <c r="R27" s="57"/>
      <c r="S27" s="57"/>
      <c r="T27" s="57"/>
      <c r="U27" s="38"/>
      <c r="V27" s="38"/>
      <c r="W27" s="38"/>
      <c r="X27" s="38"/>
      <c r="Y27" s="39"/>
      <c r="Z27" s="39"/>
      <c r="AA27" s="39"/>
      <c r="AB27" s="16"/>
      <c r="AC27" s="39"/>
      <c r="AD27" s="16"/>
      <c r="AE27" s="39"/>
      <c r="AF27" s="39"/>
      <c r="AG27" s="16"/>
      <c r="AH27" s="39"/>
      <c r="AI27" s="16"/>
      <c r="AJ27" s="39"/>
      <c r="AK27" s="16"/>
      <c r="AL27" s="39"/>
      <c r="AM27" s="39"/>
      <c r="AN27" s="39"/>
      <c r="AO27" s="39"/>
      <c r="AP27" s="16"/>
      <c r="AQ27" s="16"/>
      <c r="AR27" s="16"/>
      <c r="AS27" s="16"/>
      <c r="AT27" s="16"/>
      <c r="AU27" s="16"/>
    </row>
    <row r="28" spans="1:47" x14ac:dyDescent="0.35">
      <c r="A28" s="20"/>
      <c r="B28" s="43"/>
      <c r="C28" s="49"/>
      <c r="D28" s="49"/>
      <c r="E28" s="57"/>
      <c r="F28" s="38"/>
      <c r="G28" s="54"/>
      <c r="H28" s="54"/>
      <c r="I28" s="54"/>
      <c r="J28" s="54"/>
      <c r="K28" s="54"/>
      <c r="L28" s="54"/>
      <c r="M28" s="54"/>
      <c r="N28" s="54"/>
      <c r="O28" s="54"/>
      <c r="P28" s="54"/>
      <c r="Q28" s="57"/>
      <c r="R28" s="57"/>
      <c r="S28" s="57"/>
      <c r="T28" s="57"/>
      <c r="U28" s="38"/>
      <c r="V28" s="38"/>
      <c r="W28" s="38"/>
      <c r="X28" s="38"/>
      <c r="Y28" s="39"/>
      <c r="Z28" s="39"/>
      <c r="AA28" s="39"/>
      <c r="AB28" s="16"/>
      <c r="AC28" s="39"/>
      <c r="AD28" s="16"/>
      <c r="AE28" s="39"/>
      <c r="AF28" s="39"/>
      <c r="AG28" s="16"/>
      <c r="AH28" s="39"/>
      <c r="AI28" s="16"/>
      <c r="AJ28" s="39"/>
      <c r="AK28" s="16"/>
      <c r="AL28" s="39"/>
      <c r="AM28" s="39"/>
      <c r="AN28" s="39"/>
      <c r="AO28" s="39"/>
      <c r="AP28" s="16"/>
      <c r="AQ28" s="16"/>
      <c r="AR28" s="16"/>
      <c r="AS28" s="16"/>
      <c r="AT28" s="16"/>
      <c r="AU28" s="16"/>
    </row>
    <row r="29" spans="1:47" x14ac:dyDescent="0.35">
      <c r="A29" s="20"/>
      <c r="B29" s="43"/>
      <c r="C29" s="49"/>
      <c r="D29" s="49"/>
      <c r="E29" s="57"/>
      <c r="F29" s="38"/>
      <c r="G29" s="54"/>
      <c r="H29" s="54"/>
      <c r="I29" s="54"/>
      <c r="J29" s="54"/>
      <c r="K29" s="54"/>
      <c r="L29" s="54"/>
      <c r="M29" s="54"/>
      <c r="N29" s="54"/>
      <c r="O29" s="54"/>
      <c r="P29" s="54"/>
      <c r="Q29" s="57"/>
      <c r="R29" s="57"/>
      <c r="S29" s="57"/>
      <c r="T29" s="57"/>
      <c r="U29" s="38"/>
      <c r="V29" s="38"/>
      <c r="W29" s="38"/>
      <c r="X29" s="38"/>
      <c r="Y29" s="39"/>
      <c r="Z29" s="39"/>
      <c r="AA29" s="39"/>
      <c r="AB29" s="16"/>
      <c r="AC29" s="39"/>
      <c r="AD29" s="16"/>
      <c r="AE29" s="39"/>
      <c r="AF29" s="39"/>
      <c r="AG29" s="16"/>
      <c r="AH29" s="39"/>
      <c r="AI29" s="16"/>
      <c r="AJ29" s="39"/>
      <c r="AK29" s="16"/>
      <c r="AL29" s="39"/>
      <c r="AM29" s="39"/>
      <c r="AN29" s="39"/>
      <c r="AO29" s="39"/>
      <c r="AP29" s="16"/>
      <c r="AQ29" s="16"/>
      <c r="AR29" s="16"/>
      <c r="AS29" s="16"/>
      <c r="AT29" s="16"/>
      <c r="AU29" s="16"/>
    </row>
    <row r="30" spans="1:47" x14ac:dyDescent="0.35">
      <c r="A30" s="20"/>
      <c r="B30" s="43"/>
      <c r="C30" s="49"/>
      <c r="D30" s="49"/>
      <c r="E30" s="57"/>
      <c r="F30" s="38"/>
      <c r="G30" s="54"/>
      <c r="H30" s="54"/>
      <c r="I30" s="54"/>
      <c r="J30" s="54"/>
      <c r="K30" s="54"/>
      <c r="L30" s="54"/>
      <c r="M30" s="54"/>
      <c r="N30" s="54"/>
      <c r="O30" s="54"/>
      <c r="P30" s="54"/>
      <c r="Q30" s="57"/>
      <c r="R30" s="57"/>
      <c r="S30" s="57"/>
      <c r="T30" s="57"/>
      <c r="U30" s="38"/>
      <c r="V30" s="38"/>
      <c r="W30" s="38"/>
      <c r="X30" s="38"/>
      <c r="Y30" s="39"/>
      <c r="Z30" s="39"/>
      <c r="AA30" s="39"/>
      <c r="AB30" s="16"/>
      <c r="AC30" s="39"/>
      <c r="AD30" s="16"/>
      <c r="AE30" s="39"/>
      <c r="AF30" s="39"/>
      <c r="AG30" s="16"/>
      <c r="AH30" s="39"/>
      <c r="AI30" s="16"/>
      <c r="AJ30" s="39"/>
      <c r="AK30" s="16"/>
      <c r="AL30" s="39"/>
      <c r="AM30" s="39"/>
      <c r="AN30" s="39"/>
      <c r="AO30" s="39"/>
      <c r="AP30" s="16"/>
      <c r="AQ30" s="16"/>
      <c r="AR30" s="16"/>
      <c r="AS30" s="16"/>
      <c r="AT30" s="16"/>
      <c r="AU30" s="16"/>
    </row>
    <row r="31" spans="1:47" x14ac:dyDescent="0.35">
      <c r="A31" s="20"/>
      <c r="B31" s="43"/>
      <c r="C31" s="49"/>
      <c r="D31" s="49"/>
      <c r="E31" s="57"/>
      <c r="F31" s="38"/>
      <c r="G31" s="54"/>
      <c r="H31" s="54"/>
      <c r="I31" s="54"/>
      <c r="J31" s="54"/>
      <c r="K31" s="54"/>
      <c r="L31" s="54"/>
      <c r="M31" s="54"/>
      <c r="N31" s="54"/>
      <c r="O31" s="54"/>
      <c r="P31" s="54"/>
      <c r="Q31" s="57"/>
      <c r="R31" s="57"/>
      <c r="S31" s="57"/>
      <c r="T31" s="57"/>
      <c r="U31" s="38"/>
      <c r="V31" s="38"/>
      <c r="W31" s="38"/>
      <c r="X31" s="38"/>
      <c r="Y31" s="39"/>
      <c r="Z31" s="39"/>
      <c r="AA31" s="39"/>
      <c r="AB31" s="16"/>
      <c r="AC31" s="39"/>
      <c r="AD31" s="16"/>
      <c r="AE31" s="39"/>
      <c r="AF31" s="39"/>
      <c r="AG31" s="16"/>
      <c r="AH31" s="39"/>
      <c r="AI31" s="16"/>
      <c r="AJ31" s="39"/>
      <c r="AK31" s="16"/>
      <c r="AL31" s="39"/>
      <c r="AM31" s="39"/>
      <c r="AN31" s="39"/>
      <c r="AO31" s="39"/>
      <c r="AP31" s="16"/>
      <c r="AQ31" s="16"/>
      <c r="AR31" s="16"/>
      <c r="AS31" s="16"/>
      <c r="AT31" s="16"/>
      <c r="AU31" s="16"/>
    </row>
    <row r="32" spans="1:47" x14ac:dyDescent="0.35">
      <c r="A32" s="20"/>
      <c r="B32" s="43"/>
      <c r="C32" s="49"/>
      <c r="D32" s="49"/>
      <c r="E32" s="57"/>
      <c r="F32" s="38"/>
      <c r="G32" s="54"/>
      <c r="H32" s="54"/>
      <c r="I32" s="54"/>
      <c r="J32" s="54"/>
      <c r="K32" s="54"/>
      <c r="L32" s="54"/>
      <c r="M32" s="54"/>
      <c r="N32" s="54"/>
      <c r="O32" s="54"/>
      <c r="P32" s="54"/>
      <c r="Q32" s="57"/>
      <c r="R32" s="57"/>
      <c r="S32" s="57"/>
      <c r="T32" s="57"/>
      <c r="U32" s="38"/>
      <c r="V32" s="38"/>
      <c r="W32" s="38"/>
      <c r="X32" s="38"/>
      <c r="Y32" s="39"/>
      <c r="Z32" s="39"/>
      <c r="AA32" s="39"/>
      <c r="AB32" s="16"/>
      <c r="AC32" s="39"/>
      <c r="AD32" s="16"/>
      <c r="AE32" s="39"/>
      <c r="AF32" s="39"/>
      <c r="AG32" s="16"/>
      <c r="AH32" s="39"/>
      <c r="AI32" s="16"/>
      <c r="AJ32" s="39"/>
      <c r="AK32" s="16"/>
      <c r="AL32" s="39"/>
      <c r="AM32" s="39"/>
      <c r="AN32" s="39"/>
      <c r="AO32" s="39"/>
      <c r="AP32" s="16"/>
      <c r="AQ32" s="16"/>
      <c r="AR32" s="16"/>
      <c r="AS32" s="16"/>
      <c r="AT32" s="16"/>
      <c r="AU32" s="16"/>
    </row>
  </sheetData>
  <mergeCells count="9">
    <mergeCell ref="B7:AU7"/>
    <mergeCell ref="B9:AU9"/>
    <mergeCell ref="B10:AU10"/>
    <mergeCell ref="B1:AU1"/>
    <mergeCell ref="B2:AU2"/>
    <mergeCell ref="B3:AU3"/>
    <mergeCell ref="B4:AU4"/>
    <mergeCell ref="B5:AU5"/>
    <mergeCell ref="B6:AU6"/>
  </mergeCells>
  <printOptions horizontalCentered="1" verticalCentered="1"/>
  <pageMargins left="0.25" right="0.25" top="0.25" bottom="0.25" header="0.125" footer="0.125"/>
  <pageSetup scale="64" orientation="landscape"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25434-08CF-4583-B133-7ED524644F2B}">
  <sheetPr>
    <pageSetUpPr fitToPage="1"/>
  </sheetPr>
  <dimension ref="A1:BU106"/>
  <sheetViews>
    <sheetView showGridLines="0" workbookViewId="0"/>
  </sheetViews>
  <sheetFormatPr defaultRowHeight="14.5" x14ac:dyDescent="0.35"/>
  <cols>
    <col min="1" max="1" width="18.6328125" customWidth="1"/>
  </cols>
  <sheetData>
    <row r="1" spans="1:14" x14ac:dyDescent="0.35">
      <c r="A1" s="16" t="s">
        <v>75</v>
      </c>
      <c r="B1" s="18" t="s">
        <v>76</v>
      </c>
      <c r="C1" s="17"/>
      <c r="D1" s="17"/>
      <c r="E1" s="17"/>
      <c r="F1" s="17"/>
      <c r="G1" s="17"/>
      <c r="H1" s="17"/>
      <c r="I1" s="17"/>
      <c r="J1" s="17"/>
      <c r="K1" s="17"/>
      <c r="L1" s="17"/>
      <c r="M1" s="17"/>
      <c r="N1" s="17"/>
    </row>
    <row r="2" spans="1:14" x14ac:dyDescent="0.35">
      <c r="A2" s="16" t="s">
        <v>77</v>
      </c>
      <c r="B2" s="18" t="s">
        <v>78</v>
      </c>
      <c r="C2" s="17"/>
      <c r="D2" s="17"/>
      <c r="E2" s="17"/>
      <c r="F2" s="17"/>
      <c r="G2" s="17"/>
      <c r="H2" s="17"/>
      <c r="I2" s="17"/>
      <c r="J2" s="17"/>
      <c r="K2" s="17"/>
      <c r="L2" s="17"/>
      <c r="M2" s="17"/>
      <c r="N2" s="17"/>
    </row>
    <row r="3" spans="1:14" x14ac:dyDescent="0.35">
      <c r="A3" s="16" t="s">
        <v>79</v>
      </c>
      <c r="B3" s="18" t="s">
        <v>371</v>
      </c>
      <c r="C3" s="17"/>
      <c r="D3" s="17"/>
      <c r="E3" s="17"/>
      <c r="F3" s="17"/>
      <c r="G3" s="17"/>
      <c r="H3" s="17"/>
      <c r="I3" s="17"/>
      <c r="J3" s="17"/>
      <c r="K3" s="17"/>
      <c r="L3" s="17"/>
      <c r="M3" s="17"/>
      <c r="N3" s="17"/>
    </row>
    <row r="4" spans="1:14" x14ac:dyDescent="0.35">
      <c r="A4" s="16" t="s">
        <v>81</v>
      </c>
      <c r="B4" s="18" t="s">
        <v>372</v>
      </c>
      <c r="C4" s="17"/>
      <c r="D4" s="17"/>
      <c r="E4" s="17"/>
      <c r="F4" s="17"/>
      <c r="G4" s="17"/>
      <c r="H4" s="17"/>
      <c r="I4" s="17"/>
      <c r="J4" s="17"/>
      <c r="K4" s="17"/>
      <c r="L4" s="17"/>
      <c r="M4" s="17"/>
      <c r="N4" s="17"/>
    </row>
    <row r="5" spans="1:14" x14ac:dyDescent="0.35">
      <c r="A5" s="16" t="s">
        <v>83</v>
      </c>
      <c r="B5" s="18" t="s">
        <v>373</v>
      </c>
      <c r="C5" s="17"/>
      <c r="D5" s="17"/>
      <c r="E5" s="17"/>
      <c r="F5" s="17"/>
      <c r="G5" s="17"/>
      <c r="H5" s="17"/>
      <c r="I5" s="17"/>
      <c r="J5" s="17"/>
      <c r="K5" s="17"/>
      <c r="L5" s="17"/>
      <c r="M5" s="17"/>
      <c r="N5" s="17"/>
    </row>
    <row r="6" spans="1:14" ht="24" customHeight="1" x14ac:dyDescent="0.35">
      <c r="A6" s="16" t="s">
        <v>84</v>
      </c>
      <c r="B6" s="18" t="s">
        <v>374</v>
      </c>
      <c r="C6" s="17"/>
      <c r="D6" s="17"/>
      <c r="E6" s="17"/>
      <c r="F6" s="17"/>
      <c r="G6" s="17"/>
      <c r="H6" s="17"/>
      <c r="I6" s="17"/>
      <c r="J6" s="17"/>
      <c r="K6" s="17"/>
      <c r="L6" s="17"/>
      <c r="M6" s="17"/>
      <c r="N6" s="17"/>
    </row>
    <row r="7" spans="1:14" x14ac:dyDescent="0.35">
      <c r="A7" s="16" t="s">
        <v>86</v>
      </c>
      <c r="B7" s="19" t="str">
        <f>B2&amp;IF(B3="",""," in "&amp;B3)</f>
        <v>Net premiums written in $m, relative variance in % from the monthly average</v>
      </c>
      <c r="C7" s="17"/>
      <c r="D7" s="17"/>
      <c r="E7" s="17"/>
      <c r="F7" s="17"/>
      <c r="G7" s="17"/>
      <c r="H7" s="17"/>
      <c r="I7" s="17"/>
      <c r="J7" s="17"/>
      <c r="K7" s="17"/>
      <c r="L7" s="17"/>
      <c r="M7" s="17"/>
      <c r="N7" s="17"/>
    </row>
    <row r="9" spans="1:14" x14ac:dyDescent="0.35">
      <c r="A9" t="s">
        <v>375</v>
      </c>
      <c r="B9" s="21" t="s">
        <v>144</v>
      </c>
      <c r="C9" s="21" t="s">
        <v>145</v>
      </c>
      <c r="D9" s="21" t="s">
        <v>146</v>
      </c>
      <c r="E9" s="21" t="s">
        <v>147</v>
      </c>
      <c r="F9" s="21" t="s">
        <v>148</v>
      </c>
      <c r="G9" s="21" t="s">
        <v>149</v>
      </c>
      <c r="H9" s="21" t="s">
        <v>150</v>
      </c>
      <c r="I9" s="21" t="s">
        <v>151</v>
      </c>
      <c r="J9" s="21" t="s">
        <v>152</v>
      </c>
      <c r="K9" s="21" t="s">
        <v>153</v>
      </c>
      <c r="L9" s="21" t="s">
        <v>154</v>
      </c>
      <c r="M9" s="21" t="s">
        <v>155</v>
      </c>
    </row>
    <row r="10" spans="1:14" x14ac:dyDescent="0.35">
      <c r="A10" t="s">
        <v>13</v>
      </c>
      <c r="B10" s="58" t="s">
        <v>17</v>
      </c>
      <c r="C10" s="58" t="s">
        <v>17</v>
      </c>
      <c r="D10" s="58" t="s">
        <v>17</v>
      </c>
      <c r="E10" s="58" t="s">
        <v>17</v>
      </c>
      <c r="F10" s="58" t="s">
        <v>17</v>
      </c>
      <c r="G10" s="58" t="s">
        <v>17</v>
      </c>
      <c r="H10" s="58" t="s">
        <v>17</v>
      </c>
      <c r="I10" s="58" t="s">
        <v>17</v>
      </c>
      <c r="J10" s="58" t="s">
        <v>17</v>
      </c>
      <c r="K10" s="58" t="s">
        <v>17</v>
      </c>
      <c r="L10" s="58" t="s">
        <v>17</v>
      </c>
      <c r="M10" s="58" t="s">
        <v>17</v>
      </c>
    </row>
    <row r="11" spans="1:14" x14ac:dyDescent="0.35">
      <c r="A11">
        <v>2011</v>
      </c>
      <c r="B11" s="44">
        <v>1375</v>
      </c>
      <c r="C11" s="44">
        <v>1302.9000000000001</v>
      </c>
      <c r="D11" s="44">
        <v>1222.0999999999999</v>
      </c>
      <c r="E11" s="44">
        <v>1540.4</v>
      </c>
      <c r="F11" s="44">
        <v>1134.5999999999999</v>
      </c>
      <c r="G11" s="44">
        <v>1162</v>
      </c>
      <c r="H11" s="44">
        <v>1496.1</v>
      </c>
      <c r="I11" s="44">
        <v>1206.4000000000001</v>
      </c>
      <c r="J11" s="44">
        <v>1169</v>
      </c>
      <c r="K11" s="44">
        <v>1454.7</v>
      </c>
      <c r="L11" s="44">
        <v>1071.9000000000001</v>
      </c>
      <c r="M11" s="44">
        <v>1011.5</v>
      </c>
    </row>
    <row r="12" spans="1:14" x14ac:dyDescent="0.35">
      <c r="A12">
        <v>2012</v>
      </c>
      <c r="B12" s="44">
        <v>1458.3</v>
      </c>
      <c r="C12" s="44">
        <v>1379.2</v>
      </c>
      <c r="D12" s="44">
        <v>1325</v>
      </c>
      <c r="E12" s="44">
        <v>1672</v>
      </c>
      <c r="F12" s="44">
        <v>1217.4000000000001</v>
      </c>
      <c r="G12" s="44">
        <v>1239.7</v>
      </c>
      <c r="H12" s="44">
        <v>1648</v>
      </c>
      <c r="I12" s="44">
        <v>1285.5</v>
      </c>
      <c r="J12" s="44">
        <v>1308.3</v>
      </c>
      <c r="K12" s="44">
        <v>1571.9</v>
      </c>
      <c r="L12" s="44">
        <v>1129.9000000000001</v>
      </c>
      <c r="M12" s="44">
        <v>1137.5</v>
      </c>
    </row>
    <row r="13" spans="1:14" x14ac:dyDescent="0.35">
      <c r="A13">
        <v>2013</v>
      </c>
      <c r="B13" s="44">
        <v>1537.8</v>
      </c>
      <c r="C13" s="44">
        <v>1492.6</v>
      </c>
      <c r="D13" s="44">
        <v>1419</v>
      </c>
      <c r="E13" s="44">
        <v>1782</v>
      </c>
      <c r="F13" s="44">
        <v>1281.5999999999999</v>
      </c>
      <c r="G13" s="44">
        <v>1323.5</v>
      </c>
      <c r="H13" s="44">
        <v>1732.2</v>
      </c>
      <c r="I13" s="44">
        <v>1368.1</v>
      </c>
      <c r="J13" s="44">
        <v>1354.3</v>
      </c>
      <c r="K13" s="44">
        <v>1659.8</v>
      </c>
      <c r="L13" s="44">
        <v>1194.8</v>
      </c>
      <c r="M13" s="44">
        <v>1194</v>
      </c>
    </row>
    <row r="14" spans="1:14" x14ac:dyDescent="0.35">
      <c r="A14">
        <v>2014</v>
      </c>
      <c r="B14" s="44">
        <v>1578.4</v>
      </c>
      <c r="C14" s="44">
        <v>1538.7</v>
      </c>
      <c r="D14" s="44">
        <v>1563.9</v>
      </c>
      <c r="E14" s="44">
        <v>1877.2</v>
      </c>
      <c r="F14" s="44">
        <v>1372</v>
      </c>
      <c r="G14" s="44">
        <v>1378.5</v>
      </c>
      <c r="H14" s="44">
        <v>1809.7</v>
      </c>
      <c r="I14" s="44">
        <v>1499.4</v>
      </c>
      <c r="J14" s="44">
        <v>1423.2</v>
      </c>
      <c r="K14" s="44">
        <v>1745.8</v>
      </c>
      <c r="L14" s="44">
        <v>1298.9000000000001</v>
      </c>
      <c r="M14" s="44">
        <v>1568.9</v>
      </c>
    </row>
    <row r="15" spans="1:14" x14ac:dyDescent="0.35">
      <c r="A15">
        <v>2015</v>
      </c>
      <c r="B15" s="44">
        <v>1773.6</v>
      </c>
      <c r="C15" s="44">
        <v>1686.9</v>
      </c>
      <c r="D15" s="44">
        <v>1606.3</v>
      </c>
      <c r="E15" s="44">
        <v>2062.6999999999998</v>
      </c>
      <c r="F15" s="44">
        <v>1581.4</v>
      </c>
      <c r="G15" s="44">
        <v>1602</v>
      </c>
      <c r="H15" s="44">
        <v>2011.5</v>
      </c>
      <c r="I15" s="44">
        <v>1678.1</v>
      </c>
      <c r="J15" s="44">
        <v>1723</v>
      </c>
      <c r="K15" s="44">
        <v>1946</v>
      </c>
      <c r="L15" s="44">
        <v>1500.1</v>
      </c>
      <c r="M15" s="44">
        <v>1392.4</v>
      </c>
    </row>
    <row r="16" spans="1:14" x14ac:dyDescent="0.35">
      <c r="A16">
        <v>2016</v>
      </c>
      <c r="B16" s="44">
        <v>2025.8</v>
      </c>
      <c r="C16" s="44">
        <v>1933.5</v>
      </c>
      <c r="D16" s="44">
        <v>1859.1</v>
      </c>
      <c r="E16" s="44">
        <v>2325.6999999999998</v>
      </c>
      <c r="F16" s="44">
        <v>1748.3</v>
      </c>
      <c r="G16" s="44">
        <v>1860.6</v>
      </c>
      <c r="H16" s="44">
        <v>2276.4</v>
      </c>
      <c r="I16" s="44">
        <v>1910.7</v>
      </c>
      <c r="J16" s="44">
        <v>1861.9</v>
      </c>
      <c r="K16" s="44">
        <v>2259.1999999999998</v>
      </c>
      <c r="L16" s="44">
        <v>1683.3</v>
      </c>
      <c r="M16" s="44">
        <v>1609</v>
      </c>
    </row>
    <row r="17" spans="1:17" x14ac:dyDescent="0.35">
      <c r="A17">
        <v>2017</v>
      </c>
      <c r="B17" s="44">
        <v>2241.9</v>
      </c>
      <c r="C17" s="44">
        <v>2201.3000000000002</v>
      </c>
      <c r="D17" s="44">
        <v>2047.8</v>
      </c>
      <c r="E17" s="44">
        <v>2704</v>
      </c>
      <c r="F17" s="44">
        <v>2013.2</v>
      </c>
      <c r="G17" s="44">
        <v>2028.9</v>
      </c>
      <c r="H17" s="44">
        <v>2708.7</v>
      </c>
      <c r="I17" s="44">
        <v>2211.8000000000002</v>
      </c>
      <c r="J17" s="44">
        <v>2221.9</v>
      </c>
      <c r="K17" s="44">
        <v>2758.2</v>
      </c>
      <c r="L17" s="44">
        <v>2022.1</v>
      </c>
      <c r="M17" s="44">
        <v>1972.3</v>
      </c>
    </row>
    <row r="18" spans="1:17" x14ac:dyDescent="0.35">
      <c r="A18">
        <v>2018</v>
      </c>
      <c r="B18" s="44">
        <v>2729.2</v>
      </c>
      <c r="C18" s="44">
        <v>2700.9</v>
      </c>
      <c r="D18" s="44">
        <v>2538.6999999999998</v>
      </c>
      <c r="E18" s="44">
        <v>3226.9</v>
      </c>
      <c r="F18" s="44">
        <v>2412.8000000000002</v>
      </c>
      <c r="G18" s="44">
        <v>2455.6</v>
      </c>
      <c r="H18" s="44">
        <v>3285.8</v>
      </c>
      <c r="I18" s="44">
        <v>2591.3000000000002</v>
      </c>
      <c r="J18" s="44">
        <v>2726.9</v>
      </c>
      <c r="K18" s="44">
        <v>3251.4</v>
      </c>
      <c r="L18" s="44">
        <v>2328</v>
      </c>
      <c r="M18" s="44">
        <v>2362.4</v>
      </c>
    </row>
    <row r="19" spans="1:17" x14ac:dyDescent="0.35">
      <c r="A19">
        <v>2019</v>
      </c>
      <c r="B19" s="44">
        <v>3173.2</v>
      </c>
      <c r="C19" s="44">
        <v>3107</v>
      </c>
      <c r="D19" s="44">
        <v>2959.7</v>
      </c>
      <c r="E19" s="44">
        <v>3669.8</v>
      </c>
      <c r="F19" s="44">
        <v>2662.7</v>
      </c>
      <c r="G19" s="44">
        <v>2794</v>
      </c>
      <c r="H19" s="44">
        <v>3675.6</v>
      </c>
      <c r="I19" s="44">
        <v>2921.3</v>
      </c>
      <c r="J19" s="44">
        <v>3024.3</v>
      </c>
      <c r="K19" s="44">
        <v>3655.7</v>
      </c>
      <c r="L19" s="44">
        <v>2596.1</v>
      </c>
      <c r="M19" s="44">
        <v>3338.5</v>
      </c>
    </row>
    <row r="20" spans="1:17" x14ac:dyDescent="0.35">
      <c r="A20">
        <v>2020</v>
      </c>
      <c r="B20" s="44">
        <v>3606.3</v>
      </c>
      <c r="C20" s="44">
        <v>3404.2</v>
      </c>
      <c r="D20" s="44">
        <v>2860.8</v>
      </c>
      <c r="E20" s="44">
        <v>3764.2</v>
      </c>
      <c r="F20" s="44">
        <v>3174.2</v>
      </c>
      <c r="G20" s="44">
        <v>3201.6</v>
      </c>
      <c r="H20" s="44">
        <v>4109.3</v>
      </c>
      <c r="I20" s="44">
        <v>3437.7</v>
      </c>
      <c r="J20" s="44">
        <v>3468.1</v>
      </c>
      <c r="K20" s="44">
        <v>3795.3</v>
      </c>
      <c r="L20" s="44">
        <v>2957.9</v>
      </c>
      <c r="M20" s="44">
        <v>2789.1</v>
      </c>
    </row>
    <row r="21" spans="1:17" x14ac:dyDescent="0.35">
      <c r="A21">
        <v>2021</v>
      </c>
      <c r="B21" s="44">
        <v>4104.2</v>
      </c>
      <c r="C21" s="44">
        <v>3852.4</v>
      </c>
      <c r="D21" s="44">
        <v>3772.5</v>
      </c>
      <c r="E21" s="44">
        <v>4450.6000000000004</v>
      </c>
      <c r="F21" s="44">
        <v>3402.4</v>
      </c>
      <c r="G21" s="44">
        <v>3627.3</v>
      </c>
      <c r="H21" s="44">
        <v>4551.6000000000004</v>
      </c>
      <c r="I21" s="44">
        <v>3890.9</v>
      </c>
      <c r="J21" s="44">
        <v>4004</v>
      </c>
      <c r="K21" s="44">
        <v>4346.6000000000004</v>
      </c>
      <c r="L21" s="44">
        <v>3289.4</v>
      </c>
      <c r="M21" s="44">
        <v>3113.3</v>
      </c>
    </row>
    <row r="22" spans="1:17" x14ac:dyDescent="0.35">
      <c r="A22">
        <v>2022</v>
      </c>
      <c r="B22" s="44">
        <v>4585.2</v>
      </c>
      <c r="C22" s="44">
        <v>4625.7</v>
      </c>
      <c r="D22" s="44">
        <v>3970.1</v>
      </c>
      <c r="E22" s="44">
        <v>4820.7</v>
      </c>
      <c r="F22" s="44">
        <v>3724.3</v>
      </c>
      <c r="G22" s="44">
        <v>3877.1</v>
      </c>
      <c r="H22" s="44">
        <v>4929.3999999999996</v>
      </c>
      <c r="I22" s="44">
        <v>4081.1</v>
      </c>
      <c r="J22" s="44">
        <v>4007.3</v>
      </c>
      <c r="K22" s="44">
        <v>5187.1000000000004</v>
      </c>
      <c r="L22" s="44">
        <v>3699.1</v>
      </c>
      <c r="M22" s="44">
        <v>3574</v>
      </c>
    </row>
    <row r="23" spans="1:17" x14ac:dyDescent="0.35">
      <c r="A23">
        <v>2023</v>
      </c>
      <c r="B23" s="44">
        <v>5332.1</v>
      </c>
      <c r="C23" s="44">
        <v>6057.8</v>
      </c>
      <c r="D23" s="44">
        <v>4719.8</v>
      </c>
      <c r="E23" s="44">
        <v>6075.4</v>
      </c>
      <c r="F23" s="44">
        <v>4321.3999999999996</v>
      </c>
      <c r="G23" s="44">
        <v>4320.1000000000004</v>
      </c>
      <c r="H23" s="44">
        <v>5950.5</v>
      </c>
      <c r="I23" s="44">
        <v>4743.8</v>
      </c>
      <c r="J23" s="44">
        <v>4899.5</v>
      </c>
      <c r="K23" s="44">
        <v>5528.8</v>
      </c>
      <c r="L23" s="44">
        <v>4725.1000000000004</v>
      </c>
      <c r="M23" s="44">
        <v>4875.8999999999996</v>
      </c>
    </row>
    <row r="24" spans="1:17" x14ac:dyDescent="0.35">
      <c r="A24">
        <v>2024</v>
      </c>
      <c r="B24" s="44">
        <v>5495.7</v>
      </c>
      <c r="C24" s="44">
        <v>5720.5</v>
      </c>
      <c r="D24" s="44">
        <v>7746</v>
      </c>
      <c r="E24" s="44">
        <v>6178</v>
      </c>
      <c r="F24" s="44">
        <v>5975.1</v>
      </c>
      <c r="G24" s="44">
        <v>5748.5</v>
      </c>
      <c r="H24" s="44">
        <v>6378.5</v>
      </c>
      <c r="I24" s="44">
        <v>6507.1</v>
      </c>
      <c r="J24" s="44">
        <v>6570</v>
      </c>
      <c r="K24" s="44">
        <v>6577.8</v>
      </c>
      <c r="L24" s="44">
        <v>5563.3</v>
      </c>
      <c r="M24" s="44">
        <v>5964</v>
      </c>
    </row>
    <row r="25" spans="1:17" x14ac:dyDescent="0.35">
      <c r="A25">
        <v>2025</v>
      </c>
      <c r="B25" s="44">
        <v>6481</v>
      </c>
      <c r="C25" s="44">
        <v>6684</v>
      </c>
      <c r="D25" s="44">
        <v>9041</v>
      </c>
      <c r="E25" s="44">
        <v>6837</v>
      </c>
      <c r="F25" s="44">
        <v>6634</v>
      </c>
      <c r="G25" s="44">
        <v>6605</v>
      </c>
      <c r="H25" s="44">
        <v>7057</v>
      </c>
      <c r="I25" s="44">
        <v>7199</v>
      </c>
      <c r="J25" s="44">
        <v>7128</v>
      </c>
      <c r="K25" s="44">
        <v>7002</v>
      </c>
      <c r="L25" s="44">
        <v>6193</v>
      </c>
      <c r="M25" s="44">
        <v>6313</v>
      </c>
    </row>
    <row r="26" spans="1:17" x14ac:dyDescent="0.35">
      <c r="A26" s="6" t="s">
        <v>376</v>
      </c>
      <c r="B26" s="42">
        <f>AVERAGE(B11:B25)</f>
        <v>3166.5133333333333</v>
      </c>
      <c r="C26" s="42">
        <f>AVERAGE(C11:C25)</f>
        <v>3179.1733333333336</v>
      </c>
      <c r="D26" s="42">
        <f>AVERAGE(D11:D25)</f>
        <v>3243.4533333333329</v>
      </c>
      <c r="E26" s="42">
        <f>AVERAGE(E11:E25)</f>
        <v>3532.44</v>
      </c>
      <c r="F26" s="42">
        <f>AVERAGE(F11:F25)</f>
        <v>2843.6933333333336</v>
      </c>
      <c r="G26" s="42">
        <f>AVERAGE(G11:G25)</f>
        <v>2881.6266666666661</v>
      </c>
      <c r="H26" s="42">
        <f>AVERAGE(H11:H25)</f>
        <v>3574.6866666666665</v>
      </c>
      <c r="I26" s="42">
        <f>AVERAGE(I11:I25)</f>
        <v>3102.1466666666665</v>
      </c>
      <c r="J26" s="42">
        <f>AVERAGE(J11:J25)</f>
        <v>3125.98</v>
      </c>
      <c r="K26" s="42">
        <f>AVERAGE(K11:K25)</f>
        <v>3516.0200000000009</v>
      </c>
      <c r="L26" s="42">
        <f>AVERAGE(L11:L25)</f>
        <v>2750.1933333333336</v>
      </c>
      <c r="M26" s="42">
        <f>AVERAGE(M11:M25)</f>
        <v>2814.3866666666663</v>
      </c>
    </row>
    <row r="31" spans="1:17" x14ac:dyDescent="0.35">
      <c r="P31" s="6" t="s">
        <v>386</v>
      </c>
    </row>
    <row r="32" spans="1:17" x14ac:dyDescent="0.35">
      <c r="P32" t="s">
        <v>387</v>
      </c>
      <c r="Q32">
        <v>4</v>
      </c>
    </row>
    <row r="33" spans="1:17" x14ac:dyDescent="0.35">
      <c r="B33" s="66" t="s">
        <v>378</v>
      </c>
      <c r="C33" s="66"/>
      <c r="D33" s="66"/>
      <c r="E33" s="66"/>
      <c r="F33" s="66"/>
      <c r="G33" s="66"/>
      <c r="H33" s="66"/>
      <c r="I33" s="66"/>
      <c r="J33" s="66"/>
      <c r="K33" s="66"/>
      <c r="L33" s="66"/>
      <c r="M33" s="66"/>
      <c r="P33" t="s">
        <v>388</v>
      </c>
      <c r="Q33">
        <v>4</v>
      </c>
    </row>
    <row r="34" spans="1:17" x14ac:dyDescent="0.35">
      <c r="A34" s="6" t="s">
        <v>377</v>
      </c>
      <c r="B34" s="24" t="s">
        <v>144</v>
      </c>
      <c r="C34" s="24" t="s">
        <v>145</v>
      </c>
      <c r="D34" s="24" t="s">
        <v>146</v>
      </c>
      <c r="E34" s="24" t="s">
        <v>147</v>
      </c>
      <c r="F34" s="24" t="s">
        <v>148</v>
      </c>
      <c r="G34" s="24" t="s">
        <v>149</v>
      </c>
      <c r="H34" s="24" t="s">
        <v>150</v>
      </c>
      <c r="I34" s="24" t="s">
        <v>151</v>
      </c>
      <c r="J34" s="24" t="s">
        <v>152</v>
      </c>
      <c r="K34" s="24" t="s">
        <v>153</v>
      </c>
      <c r="L34" s="24" t="s">
        <v>154</v>
      </c>
      <c r="M34" s="24" t="s">
        <v>155</v>
      </c>
      <c r="P34" t="s">
        <v>389</v>
      </c>
      <c r="Q34">
        <v>12</v>
      </c>
    </row>
    <row r="35" spans="1:17" x14ac:dyDescent="0.35">
      <c r="A35" s="20" t="s">
        <v>379</v>
      </c>
      <c r="B35" s="68">
        <f>(B11-B26)/B26*100</f>
        <v>-56.576844773536408</v>
      </c>
      <c r="C35" s="68">
        <f>(C11-C26)/C26*100</f>
        <v>-59.017648193660413</v>
      </c>
      <c r="D35" s="68">
        <f>(D11-D26)/D26*100</f>
        <v>-62.321024093661478</v>
      </c>
      <c r="E35" s="68">
        <f>(E11-E26)/E26*100</f>
        <v>-56.392748355244528</v>
      </c>
      <c r="F35" s="68">
        <f>(F11-F26)/F26*100</f>
        <v>-60.101182968627661</v>
      </c>
      <c r="G35" s="68">
        <f>(G11-G26)/G26*100</f>
        <v>-59.675553622490995</v>
      </c>
      <c r="H35" s="68">
        <f>(H11-H26)/H26*100</f>
        <v>-58.147380749454967</v>
      </c>
      <c r="I35" s="68">
        <f>(I11-I26)/I26*100</f>
        <v>-61.110800692853552</v>
      </c>
      <c r="J35" s="68">
        <f>(J11-J26)/J26*100</f>
        <v>-62.603727471065071</v>
      </c>
      <c r="K35" s="68">
        <f>(K11-K26)/K26*100</f>
        <v>-58.626515207535803</v>
      </c>
      <c r="L35" s="68">
        <f>(L11-L26)/L26*100</f>
        <v>-61.024558273478959</v>
      </c>
      <c r="M35" s="68">
        <f>(M11-M26)/M26*100</f>
        <v>-64.059664864813641</v>
      </c>
      <c r="P35" t="s">
        <v>390</v>
      </c>
      <c r="Q35">
        <v>1</v>
      </c>
    </row>
    <row r="36" spans="1:17" x14ac:dyDescent="0.35">
      <c r="A36" s="20" t="s">
        <v>380</v>
      </c>
      <c r="B36" s="68">
        <f>(B12-B26)/B26*100</f>
        <v>-53.946191078725917</v>
      </c>
      <c r="C36" s="68">
        <f>(C12-C26)/C26*100</f>
        <v>-56.617653226415257</v>
      </c>
      <c r="D36" s="68">
        <f>(D12-D26)/D26*100</f>
        <v>-59.148479604043423</v>
      </c>
      <c r="E36" s="68">
        <f>(E12-E26)/E26*100</f>
        <v>-52.667278142020812</v>
      </c>
      <c r="F36" s="68">
        <f>(F12-F26)/F26*100</f>
        <v>-57.189476596163679</v>
      </c>
      <c r="G36" s="68">
        <f>(G12-G26)/G26*100</f>
        <v>-56.979159918934663</v>
      </c>
      <c r="H36" s="68">
        <f>(H12-H26)/H26*100</f>
        <v>-53.898057265625141</v>
      </c>
      <c r="I36" s="68">
        <f>(I12-I26)/I26*100</f>
        <v>-58.560953490271253</v>
      </c>
      <c r="J36" s="68">
        <f>(J12-J26)/J26*100</f>
        <v>-58.147524936180019</v>
      </c>
      <c r="K36" s="68">
        <f>(K12-K26)/K26*100</f>
        <v>-55.293200835035073</v>
      </c>
      <c r="L36" s="68">
        <f>(L12-L26)/L26*100</f>
        <v>-58.915615629446663</v>
      </c>
      <c r="M36" s="68">
        <f>(M12-M26)/M26*100</f>
        <v>-59.582668100568981</v>
      </c>
      <c r="P36" t="s">
        <v>391</v>
      </c>
      <c r="Q36">
        <v>4</v>
      </c>
    </row>
    <row r="37" spans="1:17" x14ac:dyDescent="0.35">
      <c r="A37" s="20" t="s">
        <v>381</v>
      </c>
      <c r="B37" s="68">
        <f>(B13-B26)/B26*100</f>
        <v>-51.43554319472311</v>
      </c>
      <c r="C37" s="68">
        <f>(C13-C26)/C26*100</f>
        <v>-53.050688229225216</v>
      </c>
      <c r="D37" s="68">
        <f>(D13-D26)/D26*100</f>
        <v>-56.2503340061416</v>
      </c>
      <c r="E37" s="68">
        <f>(E13-E26)/E26*100</f>
        <v>-49.553283282943234</v>
      </c>
      <c r="F37" s="68">
        <f>(F13-F26)/F26*100</f>
        <v>-54.931849191427119</v>
      </c>
      <c r="G37" s="68">
        <f>(G13-G26)/G26*100</f>
        <v>-54.071080223207261</v>
      </c>
      <c r="H37" s="68">
        <f>(H13-H26)/H26*100</f>
        <v>-51.542606065240214</v>
      </c>
      <c r="I37" s="68">
        <f>(I13-I26)/I26*100</f>
        <v>-55.898281190229561</v>
      </c>
      <c r="J37" s="68">
        <f>(J13-J26)/J26*100</f>
        <v>-56.675986410661615</v>
      </c>
      <c r="K37" s="68">
        <f>(K13-K26)/K26*100</f>
        <v>-52.793215055659537</v>
      </c>
      <c r="L37" s="68">
        <f>(L13-L26)/L26*100</f>
        <v>-56.55578153293466</v>
      </c>
      <c r="M37" s="68">
        <f>(M13-M26)/M26*100</f>
        <v>-57.575125900729105</v>
      </c>
      <c r="P37" t="s">
        <v>392</v>
      </c>
      <c r="Q37">
        <v>4</v>
      </c>
    </row>
    <row r="38" spans="1:17" x14ac:dyDescent="0.35">
      <c r="A38" s="20" t="s">
        <v>382</v>
      </c>
      <c r="B38" s="68">
        <f>(B14-B26)/B26*100</f>
        <v>-50.153375847672621</v>
      </c>
      <c r="C38" s="68">
        <f>(C14-C26)/C26*100</f>
        <v>-51.600625739185865</v>
      </c>
      <c r="D38" s="68">
        <f>(D14-D26)/D26*100</f>
        <v>-51.782873398312077</v>
      </c>
      <c r="E38" s="68">
        <f>(E14-E26)/E26*100</f>
        <v>-46.858262277632456</v>
      </c>
      <c r="F38" s="68">
        <f>(F14-F26)/F26*100</f>
        <v>-51.752884746128281</v>
      </c>
      <c r="G38" s="68">
        <f>(G14-G26)/G26*100</f>
        <v>-52.162436031500711</v>
      </c>
      <c r="H38" s="68">
        <f>(H14-H26)/H26*100</f>
        <v>-49.374583879612757</v>
      </c>
      <c r="I38" s="68">
        <f>(I14-I26)/I26*100</f>
        <v>-51.665728248395723</v>
      </c>
      <c r="J38" s="68">
        <f>(J14-J26)/J26*100</f>
        <v>-54.47187761917862</v>
      </c>
      <c r="K38" s="68">
        <f>(K14-K26)/K26*100</f>
        <v>-50.347267649217031</v>
      </c>
      <c r="L38" s="68">
        <f>(L14-L26)/L26*100</f>
        <v>-52.770593097697372</v>
      </c>
      <c r="M38" s="68">
        <f>(M14-M26)/M26*100</f>
        <v>-44.254283941083663</v>
      </c>
      <c r="P38" t="s">
        <v>393</v>
      </c>
      <c r="Q38">
        <v>1</v>
      </c>
    </row>
    <row r="39" spans="1:17" x14ac:dyDescent="0.35">
      <c r="A39" s="20" t="s">
        <v>383</v>
      </c>
      <c r="B39" s="68">
        <f>(B15-B26)/B26*100</f>
        <v>-43.988866829341212</v>
      </c>
      <c r="C39" s="68">
        <f>(C15-C26)/C26*100</f>
        <v>-46.939036562963956</v>
      </c>
      <c r="D39" s="68">
        <f>(D15-D26)/D26*100</f>
        <v>-50.475624745641468</v>
      </c>
      <c r="E39" s="68">
        <f>(E15-E26)/E26*100</f>
        <v>-41.606934583460728</v>
      </c>
      <c r="F39" s="68">
        <f>(F15-F26)/F26*100</f>
        <v>-44.389221528809955</v>
      </c>
      <c r="G39" s="68">
        <f>(G15-G26)/G26*100</f>
        <v>-44.406400088838701</v>
      </c>
      <c r="H39" s="68">
        <f>(H15-H26)/H26*100</f>
        <v>-43.729333853036998</v>
      </c>
      <c r="I39" s="68">
        <f>(I15-I26)/I26*100</f>
        <v>-45.905201129540409</v>
      </c>
      <c r="J39" s="68">
        <f>(J15-J26)/J26*100</f>
        <v>-44.881285228952201</v>
      </c>
      <c r="K39" s="68">
        <f>(K15-K26)/K26*100</f>
        <v>-44.653329617010158</v>
      </c>
      <c r="L39" s="68">
        <f>(L15-L26)/L26*100</f>
        <v>-45.454743787709475</v>
      </c>
      <c r="M39" s="68">
        <f>(M15-M26)/M26*100</f>
        <v>-50.525632583061309</v>
      </c>
      <c r="P39" t="s">
        <v>394</v>
      </c>
      <c r="Q39">
        <v>12</v>
      </c>
    </row>
    <row r="40" spans="1:17" x14ac:dyDescent="0.35">
      <c r="A40" s="20" t="s">
        <v>286</v>
      </c>
      <c r="B40" s="68">
        <f>(B16-B26)/B26*100</f>
        <v>-36.024270648894579</v>
      </c>
      <c r="C40" s="68">
        <f>(C16-C26)/C26*100</f>
        <v>-39.182303156376086</v>
      </c>
      <c r="D40" s="68">
        <f>(D16-D26)/D26*100</f>
        <v>-42.681462967454436</v>
      </c>
      <c r="E40" s="68">
        <f>(E16-E26)/E26*100</f>
        <v>-34.161655965847977</v>
      </c>
      <c r="F40" s="68">
        <f>(F16-F26)/F26*100</f>
        <v>-38.520093587212884</v>
      </c>
      <c r="G40" s="68">
        <f>(G16-G26)/G26*100</f>
        <v>-35.43230212565124</v>
      </c>
      <c r="H40" s="68">
        <f>(H16-H26)/H26*100</f>
        <v>-36.318894150163274</v>
      </c>
      <c r="I40" s="68">
        <f>(I16-I26)/I26*100</f>
        <v>-38.407167509810407</v>
      </c>
      <c r="J40" s="68">
        <f>(J16-J26)/J26*100</f>
        <v>-40.437878681245557</v>
      </c>
      <c r="K40" s="68">
        <f>(K16-K26)/K26*100</f>
        <v>-35.74553045773348</v>
      </c>
      <c r="L40" s="68">
        <f>(L16-L26)/L26*100</f>
        <v>-38.793393918972981</v>
      </c>
      <c r="M40" s="68">
        <f>(M16-M26)/M26*100</f>
        <v>-42.829461955002621</v>
      </c>
      <c r="P40" t="s">
        <v>395</v>
      </c>
      <c r="Q40">
        <v>1</v>
      </c>
    </row>
    <row r="41" spans="1:17" x14ac:dyDescent="0.35">
      <c r="A41" s="20" t="s">
        <v>384</v>
      </c>
      <c r="B41" s="68">
        <f>(B17-B26)/B26*100</f>
        <v>-29.199729671120917</v>
      </c>
      <c r="C41" s="68">
        <f>(C17-C26)/C26*100</f>
        <v>-30.758729732676837</v>
      </c>
      <c r="D41" s="68">
        <f>(D17-D26)/D26*100</f>
        <v>-36.863589836347259</v>
      </c>
      <c r="E41" s="68">
        <f>(E17-E26)/E26*100</f>
        <v>-23.452344555038447</v>
      </c>
      <c r="F41" s="68">
        <f>(F17-F26)/F26*100</f>
        <v>-29.204743127482107</v>
      </c>
      <c r="G41" s="68">
        <f>(G17-G26)/G26*100</f>
        <v>-29.591850899029236</v>
      </c>
      <c r="H41" s="68">
        <f>(H17-H26)/H26*100</f>
        <v>-24.225526526334246</v>
      </c>
      <c r="I41" s="68">
        <f>(I17-I26)/I26*100</f>
        <v>-28.700985554089421</v>
      </c>
      <c r="J41" s="68">
        <f>(J17-J26)/J26*100</f>
        <v>-28.921490220666797</v>
      </c>
      <c r="K41" s="68">
        <f>(K17-K26)/K26*100</f>
        <v>-21.553347250584494</v>
      </c>
      <c r="L41" s="68">
        <f>(L17-L26)/L26*100</f>
        <v>-26.474259991418798</v>
      </c>
      <c r="M41" s="68">
        <f>(M17-M26)/M26*100</f>
        <v>-29.920787951430501</v>
      </c>
      <c r="P41" t="s">
        <v>396</v>
      </c>
      <c r="Q41">
        <v>3</v>
      </c>
    </row>
    <row r="42" spans="1:17" x14ac:dyDescent="0.35">
      <c r="A42" s="20" t="s">
        <v>385</v>
      </c>
      <c r="B42" s="68">
        <f>(B18-B26)/B26*100</f>
        <v>-13.810563458862223</v>
      </c>
      <c r="C42" s="68">
        <f>(C18-C26)/C26*100</f>
        <v>-15.043952725656151</v>
      </c>
      <c r="D42" s="68">
        <f>(D18-D26)/D26*100</f>
        <v>-21.728486921347201</v>
      </c>
      <c r="E42" s="68">
        <f>(E18-E26)/E26*100</f>
        <v>-8.6495453567505738</v>
      </c>
      <c r="F42" s="68">
        <f>(F18-F26)/F26*100</f>
        <v>-15.152594982112467</v>
      </c>
      <c r="G42" s="68">
        <f>(G18-G26)/G26*100</f>
        <v>-14.784242233553258</v>
      </c>
      <c r="H42" s="68">
        <f>(H18-H26)/H26*100</f>
        <v>-8.0814542253586694</v>
      </c>
      <c r="I42" s="68">
        <f>(I18-I26)/I26*100</f>
        <v>-16.467521415278014</v>
      </c>
      <c r="J42" s="68">
        <f>(J18-J26)/J26*100</f>
        <v>-12.766556407910477</v>
      </c>
      <c r="K42" s="68">
        <f>(K18-K26)/K26*100</f>
        <v>-7.526123287125805</v>
      </c>
      <c r="L42" s="68">
        <f>(L18-L26)/L26*100</f>
        <v>-15.351405598151896</v>
      </c>
      <c r="M42" s="68">
        <f>(M18-M26)/M26*100</f>
        <v>-16.059863842447601</v>
      </c>
      <c r="P42" t="s">
        <v>397</v>
      </c>
      <c r="Q42">
        <v>0.82</v>
      </c>
    </row>
    <row r="43" spans="1:17" x14ac:dyDescent="0.35">
      <c r="A43" s="20" t="s">
        <v>295</v>
      </c>
      <c r="B43" s="68">
        <f>(B19-B26)/B26*100</f>
        <v>0.21116811971947577</v>
      </c>
      <c r="C43" s="68">
        <f>(C19-C26)/C26*100</f>
        <v>-2.2701918318388938</v>
      </c>
      <c r="D43" s="68">
        <f>(D19-D26)/D26*100</f>
        <v>-8.7484944030847718</v>
      </c>
      <c r="E43" s="68">
        <f>(E19-E26)/E26*100</f>
        <v>3.8885303076626956</v>
      </c>
      <c r="F43" s="68">
        <f>(F19-F26)/F26*100</f>
        <v>-6.3647275608715583</v>
      </c>
      <c r="G43" s="68">
        <f>(G19-G26)/G26*100</f>
        <v>-3.0408750613079456</v>
      </c>
      <c r="H43" s="68">
        <f>(H19-H26)/H26*100</f>
        <v>2.8229980063520741</v>
      </c>
      <c r="I43" s="68">
        <f>(I19-I26)/I26*100</f>
        <v>-5.8297265119637487</v>
      </c>
      <c r="J43" s="68">
        <f>(J19-J26)/J26*100</f>
        <v>-3.2527399407545738</v>
      </c>
      <c r="K43" s="68">
        <f>(K19-K26)/K26*100</f>
        <v>3.9726736480452018</v>
      </c>
      <c r="L43" s="68">
        <f>(L19-L26)/L26*100</f>
        <v>-5.6030000315129485</v>
      </c>
      <c r="M43" s="68">
        <f>(M19-M26)/M26*100</f>
        <v>18.622648392308108</v>
      </c>
      <c r="P43" t="s">
        <v>398</v>
      </c>
      <c r="Q43" s="67">
        <f>MIN(0,MIN($B$35:$M$50))</f>
        <v>-64.059664864813641</v>
      </c>
    </row>
    <row r="44" spans="1:17" x14ac:dyDescent="0.35">
      <c r="A44" s="20" t="s">
        <v>296</v>
      </c>
      <c r="B44" s="68">
        <f>(B20-B26)/B26*100</f>
        <v>13.888672504142313</v>
      </c>
      <c r="C44" s="68">
        <f>(C20-C26)/C26*100</f>
        <v>7.078150294835539</v>
      </c>
      <c r="D44" s="68">
        <f>(D20-D26)/D26*100</f>
        <v>-11.797713548111254</v>
      </c>
      <c r="E44" s="68">
        <f>(E20-E26)/E26*100</f>
        <v>6.5609040776347163</v>
      </c>
      <c r="F44" s="68">
        <f>(F20-F26)/F26*100</f>
        <v>11.622444051632366</v>
      </c>
      <c r="G44" s="68">
        <f>(G20-G26)/G26*100</f>
        <v>11.103913530320856</v>
      </c>
      <c r="H44" s="68">
        <f>(H20-H26)/H26*100</f>
        <v>14.955529901921485</v>
      </c>
      <c r="I44" s="68">
        <f>(I20-I26)/I26*100</f>
        <v>10.8168107246165</v>
      </c>
      <c r="J44" s="68">
        <f>(J20-J26)/J26*100</f>
        <v>10.944407833703346</v>
      </c>
      <c r="K44" s="68">
        <f>(K20-K26)/K26*100</f>
        <v>7.9430719961774736</v>
      </c>
      <c r="L44" s="68">
        <f>(L20-L26)/L26*100</f>
        <v>7.5524387376402551</v>
      </c>
      <c r="M44" s="68">
        <f>(M20-M26)/M26*100</f>
        <v>-0.89847876861269027</v>
      </c>
      <c r="P44" t="s">
        <v>399</v>
      </c>
      <c r="Q44" s="67">
        <f>MAX($B$35:$M$50)</f>
        <v>178.74611011308937</v>
      </c>
    </row>
    <row r="45" spans="1:17" x14ac:dyDescent="0.35">
      <c r="A45" s="20" t="s">
        <v>297</v>
      </c>
      <c r="B45" s="68">
        <f>(B21-B26)/B26*100</f>
        <v>29.612591767601369</v>
      </c>
      <c r="C45" s="68">
        <f>(C21-C26)/C26*100</f>
        <v>21.176154807539056</v>
      </c>
      <c r="D45" s="68">
        <f>(D21-D26)/D26*100</f>
        <v>16.311215617921654</v>
      </c>
      <c r="E45" s="68">
        <f>(E21-E26)/E26*100</f>
        <v>25.992231998278818</v>
      </c>
      <c r="F45" s="68">
        <f>(F21-F26)/F26*100</f>
        <v>19.64721934385798</v>
      </c>
      <c r="G45" s="68">
        <f>(G21-G26)/G26*100</f>
        <v>25.876819574129456</v>
      </c>
      <c r="H45" s="68">
        <f>(H21-H26)/H26*100</f>
        <v>27.328642323896002</v>
      </c>
      <c r="I45" s="68">
        <f>(I21-I26)/I26*100</f>
        <v>25.426049058501434</v>
      </c>
      <c r="J45" s="68">
        <f>(J21-J26)/J26*100</f>
        <v>28.08783165599268</v>
      </c>
      <c r="K45" s="68">
        <f>(K21-K26)/K26*100</f>
        <v>23.622732521430461</v>
      </c>
      <c r="L45" s="68">
        <f>(L21-L26)/L26*100</f>
        <v>19.606136780686924</v>
      </c>
      <c r="M45" s="68">
        <f>(M21-M26)/M26*100</f>
        <v>10.620904969229549</v>
      </c>
      <c r="P45" t="s">
        <v>400</v>
      </c>
      <c r="Q45" s="67">
        <f>10^INT(LOG10(MAX(0.000000001,$Q$44-$Q$43)))/2</f>
        <v>50</v>
      </c>
    </row>
    <row r="46" spans="1:17" x14ac:dyDescent="0.35">
      <c r="A46" s="20" t="s">
        <v>298</v>
      </c>
      <c r="B46" s="68">
        <f>(B22-B26)/B26*100</f>
        <v>44.80280097773155</v>
      </c>
      <c r="C46" s="68">
        <f>(C22-C26)/C26*100</f>
        <v>45.500088073209788</v>
      </c>
      <c r="D46" s="68">
        <f>(D22-D26)/D26*100</f>
        <v>22.403487640745062</v>
      </c>
      <c r="E46" s="68">
        <f>(E22-E26)/E26*100</f>
        <v>36.469409246866178</v>
      </c>
      <c r="F46" s="68">
        <f>(F22-F26)/F26*100</f>
        <v>30.96700534985019</v>
      </c>
      <c r="G46" s="68">
        <f>(G22-G26)/G26*100</f>
        <v>34.545534466643865</v>
      </c>
      <c r="H46" s="68">
        <f>(H22-H26)/H26*100</f>
        <v>37.897400797832162</v>
      </c>
      <c r="I46" s="68">
        <f>(I22-I26)/I26*100</f>
        <v>31.557287211866193</v>
      </c>
      <c r="J46" s="68">
        <f>(J22-J26)/J26*100</f>
        <v>28.19339855021466</v>
      </c>
      <c r="K46" s="68">
        <f>(K22-K26)/K26*100</f>
        <v>47.527602232069185</v>
      </c>
      <c r="L46" s="68">
        <f>(L22-L26)/L26*100</f>
        <v>34.503271285170243</v>
      </c>
      <c r="M46" s="68">
        <f>(M22-M26)/M26*100</f>
        <v>26.990368535003501</v>
      </c>
      <c r="P46" t="s">
        <v>401</v>
      </c>
      <c r="Q46" s="67">
        <f>FLOOR($Q$43-($Q$44-$Q$43)*0.1,$Q$45)</f>
        <v>-100</v>
      </c>
    </row>
    <row r="47" spans="1:17" x14ac:dyDescent="0.35">
      <c r="A47" s="20" t="s">
        <v>157</v>
      </c>
      <c r="B47" s="68">
        <f>(B23-B26)/B26*100</f>
        <v>68.390258896746587</v>
      </c>
      <c r="C47" s="68">
        <f>(C23-C26)/C26*100</f>
        <v>90.546389417794131</v>
      </c>
      <c r="D47" s="68">
        <f>(D23-D26)/D26*100</f>
        <v>45.517740350819516</v>
      </c>
      <c r="E47" s="68">
        <f>(E23-E26)/E26*100</f>
        <v>71.988766971271971</v>
      </c>
      <c r="F47" s="68">
        <f>(F23-F26)/F26*100</f>
        <v>51.964346835336187</v>
      </c>
      <c r="G47" s="68">
        <f>(G23-G26)/G26*100</f>
        <v>49.91879586529835</v>
      </c>
      <c r="H47" s="68">
        <f>(H23-H26)/H26*100</f>
        <v>66.46214213646698</v>
      </c>
      <c r="I47" s="68">
        <f>(I23-I26)/I26*100</f>
        <v>52.919913522249118</v>
      </c>
      <c r="J47" s="68">
        <f>(J23-J26)/J26*100</f>
        <v>56.734847951682355</v>
      </c>
      <c r="K47" s="68">
        <f>(K23-K26)/K26*100</f>
        <v>57.245976985341343</v>
      </c>
      <c r="L47" s="68">
        <f>(L23-L26)/L26*100</f>
        <v>71.809739436500223</v>
      </c>
      <c r="M47" s="68">
        <f>(M23-M26)/M26*100</f>
        <v>73.249115260163265</v>
      </c>
      <c r="P47" t="s">
        <v>402</v>
      </c>
      <c r="Q47" s="67">
        <f>CEILING($Q$44+($Q$44-$Q$43)*0.1,$Q$45)</f>
        <v>250</v>
      </c>
    </row>
    <row r="48" spans="1:17" x14ac:dyDescent="0.35">
      <c r="A48" s="20" t="s">
        <v>254</v>
      </c>
      <c r="B48" s="68">
        <f>(B24-B26)/B26*100</f>
        <v>73.556824856782526</v>
      </c>
      <c r="C48" s="68">
        <f>(C24-C26)/C26*100</f>
        <v>79.936713107809979</v>
      </c>
      <c r="D48" s="68">
        <f>(D24-D26)/D26*100</f>
        <v>138.81952980156956</v>
      </c>
      <c r="E48" s="68">
        <f>(E24-E26)/E26*100</f>
        <v>74.89327490346615</v>
      </c>
      <c r="F48" s="68">
        <f>(F24-F26)/F26*100</f>
        <v>110.11759355204734</v>
      </c>
      <c r="G48" s="68">
        <f>(G24-G26)/G26*100</f>
        <v>99.488020655000454</v>
      </c>
      <c r="H48" s="68">
        <f>(H24-H26)/H26*100</f>
        <v>78.435219497093456</v>
      </c>
      <c r="I48" s="68">
        <f>(I24-I26)/I26*100</f>
        <v>109.76119762229169</v>
      </c>
      <c r="J48" s="68">
        <f>(J24-J26)/J26*100</f>
        <v>110.17408940556241</v>
      </c>
      <c r="K48" s="68">
        <f>(K24-K26)/K26*100</f>
        <v>87.080847094157548</v>
      </c>
      <c r="L48" s="68">
        <f>(L24-L26)/L26*100</f>
        <v>102.28759675077387</v>
      </c>
      <c r="M48" s="68">
        <f>(M24-M26)/M26*100</f>
        <v>111.91118017424759</v>
      </c>
      <c r="P48" t="s">
        <v>106</v>
      </c>
      <c r="Q48" s="67">
        <f>MAX(0.000000001,$Q$47-$Q$46)</f>
        <v>350</v>
      </c>
    </row>
    <row r="49" spans="1:73" x14ac:dyDescent="0.35">
      <c r="A49" s="20" t="s">
        <v>108</v>
      </c>
      <c r="B49" s="68">
        <f>(B25-B26)/B26*100</f>
        <v>104.67306838015315</v>
      </c>
      <c r="C49" s="68">
        <f>(C25-C26)/C26*100</f>
        <v>110.24333369681005</v>
      </c>
      <c r="D49" s="68">
        <f>(D25-D26)/D26*100</f>
        <v>178.74611011308937</v>
      </c>
      <c r="E49" s="68">
        <f>(E25-E26)/E26*100</f>
        <v>93.548935013758197</v>
      </c>
      <c r="F49" s="68">
        <f>(F25-F26)/F26*100</f>
        <v>133.28816515611152</v>
      </c>
      <c r="G49" s="68">
        <f>(G25-G26)/G26*100</f>
        <v>129.21081611312133</v>
      </c>
      <c r="H49" s="68">
        <f>(H25-H26)/H26*100</f>
        <v>97.415904051264178</v>
      </c>
      <c r="I49" s="68">
        <f>(I25-I26)/I26*100</f>
        <v>132.06510760290723</v>
      </c>
      <c r="J49" s="68">
        <f>(J25-J26)/J26*100</f>
        <v>128.0244915194595</v>
      </c>
      <c r="K49" s="68">
        <f>(K25-K26)/K26*100</f>
        <v>99.145624882679797</v>
      </c>
      <c r="L49" s="68">
        <f>(L25-L26)/L26*100</f>
        <v>125.1841688705521</v>
      </c>
      <c r="M49" s="68">
        <f>(M25-M26)/M26*100</f>
        <v>124.31175057679829</v>
      </c>
      <c r="P49" t="s">
        <v>403</v>
      </c>
      <c r="Q49" s="67">
        <f>(0-$Q$46)/$Q$48*$Q$42</f>
        <v>0.23428571428571426</v>
      </c>
    </row>
    <row r="50" spans="1:73" x14ac:dyDescent="0.35">
      <c r="A50" s="20" t="s">
        <v>280</v>
      </c>
      <c r="B50" s="49"/>
      <c r="C50" s="49"/>
      <c r="D50" s="49"/>
      <c r="E50" s="49"/>
      <c r="F50" s="49"/>
      <c r="G50" s="49"/>
      <c r="H50" s="49"/>
      <c r="I50" s="49"/>
      <c r="J50" s="49"/>
      <c r="K50" s="49"/>
      <c r="L50" s="49"/>
      <c r="M50" s="49"/>
    </row>
    <row r="52" spans="1:73" x14ac:dyDescent="0.35">
      <c r="P52" s="6" t="s">
        <v>404</v>
      </c>
      <c r="Q52" s="6" t="s">
        <v>405</v>
      </c>
      <c r="R52" s="6" t="s">
        <v>406</v>
      </c>
      <c r="S52" s="6" t="s">
        <v>407</v>
      </c>
      <c r="T52" s="6" t="s">
        <v>408</v>
      </c>
      <c r="U52" s="6" t="s">
        <v>409</v>
      </c>
      <c r="V52" s="6" t="s">
        <v>410</v>
      </c>
      <c r="W52" s="6" t="s">
        <v>411</v>
      </c>
      <c r="X52" s="6" t="s">
        <v>412</v>
      </c>
      <c r="Y52" s="6" t="s">
        <v>413</v>
      </c>
      <c r="Z52" s="6" t="s">
        <v>414</v>
      </c>
      <c r="AA52" s="6" t="s">
        <v>417</v>
      </c>
      <c r="AB52" s="6" t="s">
        <v>420</v>
      </c>
      <c r="AC52" s="6" t="s">
        <v>423</v>
      </c>
      <c r="AD52" s="6" t="s">
        <v>426</v>
      </c>
      <c r="AE52" s="6" t="s">
        <v>429</v>
      </c>
      <c r="AF52" s="6" t="s">
        <v>432</v>
      </c>
      <c r="AG52" s="6" t="s">
        <v>435</v>
      </c>
      <c r="AH52" s="6"/>
      <c r="AI52" s="6" t="s">
        <v>415</v>
      </c>
      <c r="AJ52" s="6" t="s">
        <v>418</v>
      </c>
      <c r="AK52" s="6" t="s">
        <v>421</v>
      </c>
      <c r="AL52" s="6" t="s">
        <v>424</v>
      </c>
      <c r="AM52" s="6" t="s">
        <v>427</v>
      </c>
      <c r="AN52" s="6" t="s">
        <v>430</v>
      </c>
      <c r="AO52" s="6" t="s">
        <v>433</v>
      </c>
      <c r="AP52" s="6" t="s">
        <v>436</v>
      </c>
      <c r="AQ52" s="6"/>
      <c r="AR52" s="6" t="s">
        <v>416</v>
      </c>
      <c r="AS52" s="6" t="s">
        <v>419</v>
      </c>
      <c r="AT52" s="6" t="s">
        <v>422</v>
      </c>
      <c r="AU52" s="6" t="s">
        <v>425</v>
      </c>
      <c r="AV52" s="6" t="s">
        <v>428</v>
      </c>
      <c r="AW52" s="6" t="s">
        <v>431</v>
      </c>
      <c r="AX52" s="6" t="s">
        <v>434</v>
      </c>
      <c r="AY52" s="6" t="s">
        <v>437</v>
      </c>
      <c r="AZ52" s="6"/>
      <c r="BA52" s="6" t="s">
        <v>438</v>
      </c>
      <c r="BB52" s="6"/>
      <c r="BC52" s="6"/>
      <c r="BD52" s="6" t="s">
        <v>439</v>
      </c>
      <c r="BE52" s="6"/>
      <c r="BF52" s="6"/>
      <c r="BG52" s="6" t="s">
        <v>440</v>
      </c>
      <c r="BH52" s="6"/>
      <c r="BI52" s="6"/>
      <c r="BJ52" s="6" t="s">
        <v>441</v>
      </c>
      <c r="BK52" s="6"/>
      <c r="BL52" s="6"/>
      <c r="BM52" s="6"/>
      <c r="BN52" s="6" t="s">
        <v>442</v>
      </c>
      <c r="BO52" s="6"/>
      <c r="BP52" s="6"/>
      <c r="BQ52" s="6"/>
      <c r="BR52" s="6"/>
      <c r="BS52" s="6"/>
      <c r="BT52" s="6"/>
      <c r="BU52" s="6"/>
    </row>
    <row r="53" spans="1:73" x14ac:dyDescent="0.35">
      <c r="P53">
        <v>1</v>
      </c>
      <c r="Q53">
        <f>P53-$Q$41</f>
        <v>-2</v>
      </c>
      <c r="R53">
        <f>IF(Q53&lt;=0,-1,INT((Q53-1)/($Q$39+$Q$40)))</f>
        <v>-1</v>
      </c>
      <c r="S53">
        <f>IF(Q53&lt;=0,-1,MOD(Q53-1,($Q$39+$Q$40)))</f>
        <v>-1</v>
      </c>
      <c r="T53">
        <f>IF(OR(S53&lt;0,S53&gt;=$Q$39),-1,INT(S53/$Q$38))</f>
        <v>-1</v>
      </c>
      <c r="U53">
        <f>IF(OR(S53&lt;0,S53&gt;=$Q$39),-1,MOD(S53,$Q$38))</f>
        <v>-1</v>
      </c>
      <c r="V53">
        <f>IF(OR(Q53&lt;=0,S53&lt;0,S53&gt;=$Q$39,R53&gt;=$Q$36),1,0)</f>
        <v>1</v>
      </c>
      <c r="W53">
        <f>IF(V53=1,-1,T53)</f>
        <v>-1</v>
      </c>
      <c r="X53">
        <f>IF(V53=1,-1,R53)</f>
        <v>-1</v>
      </c>
      <c r="Y53" t="str">
        <f>IF(V53=1,"",IF(AND(MOD(W53,3)=0,U53=INT(($Q$38-1)/2)),INDEX($B$34:$M$34,W53+1),""))</f>
        <v/>
      </c>
      <c r="Z53" t="e">
        <f>IF(V53=1,NA(),IF(INDEX($B$35:$M$50,($Q$32-1-0)*$Q$33+X53+1,0*$Q$34+W53+1)="",NA(),IF(INDEX($B$35:$M$50,($Q$32-1-0)*$Q$33+X53+1,0*$Q$34+W53+1)&gt;=0,0+(INDEX($B$35:$M$50,($Q$32-1-0)*$Q$33+X53+1,0*$Q$34+W53+1)-$Q$46)/$Q$48*$Q$42,NA())))</f>
        <v>#N/A</v>
      </c>
      <c r="AA53" t="e">
        <f>IF(V53=1,NA(),IF(INDEX($B$35:$M$50,($Q$32-1-0)*$Q$33+X53+1,0*$Q$34+W53+1)="",NA(),IF(INDEX($B$35:$M$50,($Q$32-1-0)*$Q$33+X53+1,0*$Q$34+W53+1)&lt;0,0+(INDEX($B$35:$M$50,($Q$32-1-0)*$Q$33+X53+1,0*$Q$34+W53+1)-$Q$46)/$Q$48*$Q$42,NA())))</f>
        <v>#N/A</v>
      </c>
      <c r="AB53" t="e">
        <f>IF(V53=1,NA(),IF(INDEX($B$35:$M$50,($Q$32-1-1)*$Q$33+X53+1,0*$Q$34+W53+1)="",NA(),IF(INDEX($B$35:$M$50,($Q$32-1-1)*$Q$33+X53+1,0*$Q$34+W53+1)&gt;=0,1+(INDEX($B$35:$M$50,($Q$32-1-1)*$Q$33+X53+1,0*$Q$34+W53+1)-$Q$46)/$Q$48*$Q$42,NA())))</f>
        <v>#N/A</v>
      </c>
      <c r="AC53" t="e">
        <f>IF(V53=1,NA(),IF(INDEX($B$35:$M$50,($Q$32-1-1)*$Q$33+X53+1,0*$Q$34+W53+1)="",NA(),IF(INDEX($B$35:$M$50,($Q$32-1-1)*$Q$33+X53+1,0*$Q$34+W53+1)&lt;0,1+(INDEX($B$35:$M$50,($Q$32-1-1)*$Q$33+X53+1,0*$Q$34+W53+1)-$Q$46)/$Q$48*$Q$42,NA())))</f>
        <v>#N/A</v>
      </c>
      <c r="AD53" t="e">
        <f>IF(V53=1,NA(),IF(INDEX($B$35:$M$50,($Q$32-1-2)*$Q$33+X53+1,0*$Q$34+W53+1)="",NA(),IF(INDEX($B$35:$M$50,($Q$32-1-2)*$Q$33+X53+1,0*$Q$34+W53+1)&gt;=0,2+(INDEX($B$35:$M$50,($Q$32-1-2)*$Q$33+X53+1,0*$Q$34+W53+1)-$Q$46)/$Q$48*$Q$42,NA())))</f>
        <v>#N/A</v>
      </c>
      <c r="AE53" t="e">
        <f>IF(V53=1,NA(),IF(INDEX($B$35:$M$50,($Q$32-1-2)*$Q$33+X53+1,0*$Q$34+W53+1)="",NA(),IF(INDEX($B$35:$M$50,($Q$32-1-2)*$Q$33+X53+1,0*$Q$34+W53+1)&lt;0,2+(INDEX($B$35:$M$50,($Q$32-1-2)*$Q$33+X53+1,0*$Q$34+W53+1)-$Q$46)/$Q$48*$Q$42,NA())))</f>
        <v>#N/A</v>
      </c>
      <c r="AF53" t="e">
        <f>IF(V53=1,NA(),IF(INDEX($B$35:$M$50,($Q$32-1-3)*$Q$33+X53+1,0*$Q$34+W53+1)="",NA(),IF(INDEX($B$35:$M$50,($Q$32-1-3)*$Q$33+X53+1,0*$Q$34+W53+1)&gt;=0,3+(INDEX($B$35:$M$50,($Q$32-1-3)*$Q$33+X53+1,0*$Q$34+W53+1)-$Q$46)/$Q$48*$Q$42,NA())))</f>
        <v>#N/A</v>
      </c>
      <c r="AG53" t="e">
        <f>IF(V53=1,NA(),IF(INDEX($B$35:$M$50,($Q$32-1-3)*$Q$33+X53+1,0*$Q$34+W53+1)="",NA(),IF(INDEX($B$35:$M$50,($Q$32-1-3)*$Q$33+X53+1,0*$Q$34+W53+1)&lt;0,3+(INDEX($B$35:$M$50,($Q$32-1-3)*$Q$33+X53+1,0*$Q$34+W53+1)-$Q$46)/$Q$48*$Q$42,NA())))</f>
        <v>#N/A</v>
      </c>
      <c r="AI53">
        <f>IF(V53=1,0,IF(INDEX($B$35:$M$50,($Q$32-1-0)*$Q$33+X53+1,0*$Q$34+W53+1)="",0,IF(INDEX($B$35:$M$50,($Q$32-1-0)*$Q$33+X53+1,0*$Q$34+W53+1)&gt;=0,ABS(INDEX($B$35:$M$50,($Q$32-1-0)*$Q$33+X53+1,0*$Q$34+W53+1))/$Q$48*$Q$42,0)))</f>
        <v>0</v>
      </c>
      <c r="AJ53">
        <f>IF(V53=1,0,IF(INDEX($B$35:$M$50,($Q$32-1-0)*$Q$33+X53+1,0*$Q$34+W53+1)="",0,IF(INDEX($B$35:$M$50,($Q$32-1-0)*$Q$33+X53+1,0*$Q$34+W53+1)&lt;0,ABS(INDEX($B$35:$M$50,($Q$32-1-0)*$Q$33+X53+1,0*$Q$34+W53+1))/$Q$48*$Q$42,0)))</f>
        <v>0</v>
      </c>
      <c r="AK53">
        <f>IF(V53=1,0,IF(INDEX($B$35:$M$50,($Q$32-1-1)*$Q$33+X53+1,0*$Q$34+W53+1)="",0,IF(INDEX($B$35:$M$50,($Q$32-1-1)*$Q$33+X53+1,0*$Q$34+W53+1)&gt;=0,ABS(INDEX($B$35:$M$50,($Q$32-1-1)*$Q$33+X53+1,0*$Q$34+W53+1))/$Q$48*$Q$42,0)))</f>
        <v>0</v>
      </c>
      <c r="AL53">
        <f>IF(V53=1,0,IF(INDEX($B$35:$M$50,($Q$32-1-1)*$Q$33+X53+1,0*$Q$34+W53+1)="",0,IF(INDEX($B$35:$M$50,($Q$32-1-1)*$Q$33+X53+1,0*$Q$34+W53+1)&lt;0,ABS(INDEX($B$35:$M$50,($Q$32-1-1)*$Q$33+X53+1,0*$Q$34+W53+1))/$Q$48*$Q$42,0)))</f>
        <v>0</v>
      </c>
      <c r="AM53">
        <f>IF(V53=1,0,IF(INDEX($B$35:$M$50,($Q$32-1-2)*$Q$33+X53+1,0*$Q$34+W53+1)="",0,IF(INDEX($B$35:$M$50,($Q$32-1-2)*$Q$33+X53+1,0*$Q$34+W53+1)&gt;=0,ABS(INDEX($B$35:$M$50,($Q$32-1-2)*$Q$33+X53+1,0*$Q$34+W53+1))/$Q$48*$Q$42,0)))</f>
        <v>0</v>
      </c>
      <c r="AN53">
        <f>IF(V53=1,0,IF(INDEX($B$35:$M$50,($Q$32-1-2)*$Q$33+X53+1,0*$Q$34+W53+1)="",0,IF(INDEX($B$35:$M$50,($Q$32-1-2)*$Q$33+X53+1,0*$Q$34+W53+1)&lt;0,ABS(INDEX($B$35:$M$50,($Q$32-1-2)*$Q$33+X53+1,0*$Q$34+W53+1))/$Q$48*$Q$42,0)))</f>
        <v>0</v>
      </c>
      <c r="AO53">
        <f>IF(V53=1,0,IF(INDEX($B$35:$M$50,($Q$32-1-3)*$Q$33+X53+1,0*$Q$34+W53+1)="",0,IF(INDEX($B$35:$M$50,($Q$32-1-3)*$Q$33+X53+1,0*$Q$34+W53+1)&gt;=0,ABS(INDEX($B$35:$M$50,($Q$32-1-3)*$Q$33+X53+1,0*$Q$34+W53+1))/$Q$48*$Q$42,0)))</f>
        <v>0</v>
      </c>
      <c r="AP53">
        <f>IF(V53=1,0,IF(INDEX($B$35:$M$50,($Q$32-1-3)*$Q$33+X53+1,0*$Q$34+W53+1)="",0,IF(INDEX($B$35:$M$50,($Q$32-1-3)*$Q$33+X53+1,0*$Q$34+W53+1)&lt;0,ABS(INDEX($B$35:$M$50,($Q$32-1-3)*$Q$33+X53+1,0*$Q$34+W53+1))/$Q$48*$Q$42,0)))</f>
        <v>0</v>
      </c>
      <c r="AR53" t="str">
        <f>IF(V53=1,"",IF(INDEX($B$35:$M$50,($Q$32-1-0)*$Q$33+X53+1,0*$Q$34+W53+1)="","",IF(INDEX($B$35:$M$50,($Q$32-1-0)*$Q$33+X53+1,0*$Q$34+W53+1)&gt;=0,TEXT(INDEX($B$35:$M$50,($Q$32-1-0)*$Q$33+X53+1,0*$Q$34+W53+1),"+0;-0;0"),"")))</f>
        <v/>
      </c>
      <c r="AS53" t="str">
        <f>IF(V53=1,"",IF(INDEX($B$35:$M$50,($Q$32-1-0)*$Q$33+X53+1,0*$Q$34+W53+1)="","",IF(INDEX($B$35:$M$50,($Q$32-1-0)*$Q$33+X53+1,0*$Q$34+W53+1)&lt;0,TEXT(INDEX($B$35:$M$50,($Q$32-1-0)*$Q$33+X53+1,0*$Q$34+W53+1),"+0;-0;0"),"")))</f>
        <v/>
      </c>
      <c r="AT53" t="str">
        <f>IF(V53=1,"",IF(INDEX($B$35:$M$50,($Q$32-1-1)*$Q$33+X53+1,0*$Q$34+W53+1)="","",IF(INDEX($B$35:$M$50,($Q$32-1-1)*$Q$33+X53+1,0*$Q$34+W53+1)&gt;=0,TEXT(INDEX($B$35:$M$50,($Q$32-1-1)*$Q$33+X53+1,0*$Q$34+W53+1),"+0;-0;0"),"")))</f>
        <v/>
      </c>
      <c r="AU53" t="str">
        <f>IF(V53=1,"",IF(INDEX($B$35:$M$50,($Q$32-1-1)*$Q$33+X53+1,0*$Q$34+W53+1)="","",IF(INDEX($B$35:$M$50,($Q$32-1-1)*$Q$33+X53+1,0*$Q$34+W53+1)&lt;0,TEXT(INDEX($B$35:$M$50,($Q$32-1-1)*$Q$33+X53+1,0*$Q$34+W53+1),"+0;-0;0"),"")))</f>
        <v/>
      </c>
      <c r="AV53" t="str">
        <f>IF(V53=1,"",IF(INDEX($B$35:$M$50,($Q$32-1-2)*$Q$33+X53+1,0*$Q$34+W53+1)="","",IF(INDEX($B$35:$M$50,($Q$32-1-2)*$Q$33+X53+1,0*$Q$34+W53+1)&gt;=0,TEXT(INDEX($B$35:$M$50,($Q$32-1-2)*$Q$33+X53+1,0*$Q$34+W53+1),"+0;-0;0"),"")))</f>
        <v/>
      </c>
      <c r="AW53" t="str">
        <f>IF(V53=1,"",IF(INDEX($B$35:$M$50,($Q$32-1-2)*$Q$33+X53+1,0*$Q$34+W53+1)="","",IF(INDEX($B$35:$M$50,($Q$32-1-2)*$Q$33+X53+1,0*$Q$34+W53+1)&lt;0,TEXT(INDEX($B$35:$M$50,($Q$32-1-2)*$Q$33+X53+1,0*$Q$34+W53+1),"+0;-0;0"),"")))</f>
        <v/>
      </c>
      <c r="AX53" t="str">
        <f>IF(V53=1,"",IF(INDEX($B$35:$M$50,($Q$32-1-3)*$Q$33+X53+1,0*$Q$34+W53+1)="","",IF(INDEX($B$35:$M$50,($Q$32-1-3)*$Q$33+X53+1,0*$Q$34+W53+1)&gt;=0,TEXT(INDEX($B$35:$M$50,($Q$32-1-3)*$Q$33+X53+1,0*$Q$34+W53+1),"+0;-0;0"),"")))</f>
        <v/>
      </c>
      <c r="AY53" t="str">
        <f>IF(V53=1,"",IF(INDEX($B$35:$M$50,($Q$32-1-3)*$Q$33+X53+1,0*$Q$34+W53+1)="","",IF(INDEX($B$35:$M$50,($Q$32-1-3)*$Q$33+X53+1,0*$Q$34+W53+1)&lt;0,TEXT(INDEX($B$35:$M$50,($Q$32-1-3)*$Q$33+X53+1,0*$Q$34+W53+1),"+0;-0;0"),"")))</f>
        <v/>
      </c>
      <c r="BA53">
        <v>16</v>
      </c>
      <c r="BB53">
        <v>0</v>
      </c>
      <c r="BD53">
        <v>0.5</v>
      </c>
      <c r="BE53">
        <v>0.90999999999999992</v>
      </c>
      <c r="BG53">
        <v>3.5</v>
      </c>
      <c r="BH53">
        <f>IF(OR($Q$46&gt;0,$Q$47&lt;0),NA(),0+$Q$49)</f>
        <v>0.23428571428571426</v>
      </c>
      <c r="BJ53">
        <v>4</v>
      </c>
      <c r="BK53">
        <f>3+$Q$42+0.03</f>
        <v>3.8499999999999996</v>
      </c>
      <c r="BL53" s="20" t="str">
        <f>'C13D'!$A$35</f>
        <v>2011</v>
      </c>
      <c r="BN53">
        <v>3.35</v>
      </c>
      <c r="BO53">
        <f>0+0*$Q$42</f>
        <v>0</v>
      </c>
      <c r="BP53" t="str">
        <f>TEXT($Q$46+($Q$47-$Q$46)*0,"#,##0")</f>
        <v>-100</v>
      </c>
    </row>
    <row r="54" spans="1:73" x14ac:dyDescent="0.35">
      <c r="P54">
        <v>2</v>
      </c>
      <c r="Q54">
        <f>P54-$Q$41</f>
        <v>-1</v>
      </c>
      <c r="R54">
        <f>IF(Q54&lt;=0,-1,INT((Q54-1)/($Q$39+$Q$40)))</f>
        <v>-1</v>
      </c>
      <c r="S54">
        <f>IF(Q54&lt;=0,-1,MOD(Q54-1,($Q$39+$Q$40)))</f>
        <v>-1</v>
      </c>
      <c r="T54">
        <f>IF(OR(S54&lt;0,S54&gt;=$Q$39),-1,INT(S54/$Q$38))</f>
        <v>-1</v>
      </c>
      <c r="U54">
        <f>IF(OR(S54&lt;0,S54&gt;=$Q$39),-1,MOD(S54,$Q$38))</f>
        <v>-1</v>
      </c>
      <c r="V54">
        <f>IF(OR(Q54&lt;=0,S54&lt;0,S54&gt;=$Q$39,R54&gt;=$Q$36),1,0)</f>
        <v>1</v>
      </c>
      <c r="W54">
        <f>IF(V54=1,-1,T54)</f>
        <v>-1</v>
      </c>
      <c r="X54">
        <f>IF(V54=1,-1,R54)</f>
        <v>-1</v>
      </c>
      <c r="Y54" t="str">
        <f>IF(V54=1,"",IF(AND(MOD(W54,3)=0,U54=INT(($Q$38-1)/2)),INDEX($B$34:$M$34,W54+1),""))</f>
        <v/>
      </c>
      <c r="Z54" t="e">
        <f>IF(V54=1,NA(),IF(INDEX($B$35:$M$50,($Q$32-1-0)*$Q$33+X54+1,0*$Q$34+W54+1)="",NA(),IF(INDEX($B$35:$M$50,($Q$32-1-0)*$Q$33+X54+1,0*$Q$34+W54+1)&gt;=0,0+(INDEX($B$35:$M$50,($Q$32-1-0)*$Q$33+X54+1,0*$Q$34+W54+1)-$Q$46)/$Q$48*$Q$42,NA())))</f>
        <v>#N/A</v>
      </c>
      <c r="AA54" t="e">
        <f>IF(V54=1,NA(),IF(INDEX($B$35:$M$50,($Q$32-1-0)*$Q$33+X54+1,0*$Q$34+W54+1)="",NA(),IF(INDEX($B$35:$M$50,($Q$32-1-0)*$Q$33+X54+1,0*$Q$34+W54+1)&lt;0,0+(INDEX($B$35:$M$50,($Q$32-1-0)*$Q$33+X54+1,0*$Q$34+W54+1)-$Q$46)/$Q$48*$Q$42,NA())))</f>
        <v>#N/A</v>
      </c>
      <c r="AB54" t="e">
        <f>IF(V54=1,NA(),IF(INDEX($B$35:$M$50,($Q$32-1-1)*$Q$33+X54+1,0*$Q$34+W54+1)="",NA(),IF(INDEX($B$35:$M$50,($Q$32-1-1)*$Q$33+X54+1,0*$Q$34+W54+1)&gt;=0,1+(INDEX($B$35:$M$50,($Q$32-1-1)*$Q$33+X54+1,0*$Q$34+W54+1)-$Q$46)/$Q$48*$Q$42,NA())))</f>
        <v>#N/A</v>
      </c>
      <c r="AC54" t="e">
        <f>IF(V54=1,NA(),IF(INDEX($B$35:$M$50,($Q$32-1-1)*$Q$33+X54+1,0*$Q$34+W54+1)="",NA(),IF(INDEX($B$35:$M$50,($Q$32-1-1)*$Q$33+X54+1,0*$Q$34+W54+1)&lt;0,1+(INDEX($B$35:$M$50,($Q$32-1-1)*$Q$33+X54+1,0*$Q$34+W54+1)-$Q$46)/$Q$48*$Q$42,NA())))</f>
        <v>#N/A</v>
      </c>
      <c r="AD54" t="e">
        <f>IF(V54=1,NA(),IF(INDEX($B$35:$M$50,($Q$32-1-2)*$Q$33+X54+1,0*$Q$34+W54+1)="",NA(),IF(INDEX($B$35:$M$50,($Q$32-1-2)*$Q$33+X54+1,0*$Q$34+W54+1)&gt;=0,2+(INDEX($B$35:$M$50,($Q$32-1-2)*$Q$33+X54+1,0*$Q$34+W54+1)-$Q$46)/$Q$48*$Q$42,NA())))</f>
        <v>#N/A</v>
      </c>
      <c r="AE54" t="e">
        <f>IF(V54=1,NA(),IF(INDEX($B$35:$M$50,($Q$32-1-2)*$Q$33+X54+1,0*$Q$34+W54+1)="",NA(),IF(INDEX($B$35:$M$50,($Q$32-1-2)*$Q$33+X54+1,0*$Q$34+W54+1)&lt;0,2+(INDEX($B$35:$M$50,($Q$32-1-2)*$Q$33+X54+1,0*$Q$34+W54+1)-$Q$46)/$Q$48*$Q$42,NA())))</f>
        <v>#N/A</v>
      </c>
      <c r="AF54" t="e">
        <f>IF(V54=1,NA(),IF(INDEX($B$35:$M$50,($Q$32-1-3)*$Q$33+X54+1,0*$Q$34+W54+1)="",NA(),IF(INDEX($B$35:$M$50,($Q$32-1-3)*$Q$33+X54+1,0*$Q$34+W54+1)&gt;=0,3+(INDEX($B$35:$M$50,($Q$32-1-3)*$Q$33+X54+1,0*$Q$34+W54+1)-$Q$46)/$Q$48*$Q$42,NA())))</f>
        <v>#N/A</v>
      </c>
      <c r="AG54" t="e">
        <f>IF(V54=1,NA(),IF(INDEX($B$35:$M$50,($Q$32-1-3)*$Q$33+X54+1,0*$Q$34+W54+1)="",NA(),IF(INDEX($B$35:$M$50,($Q$32-1-3)*$Q$33+X54+1,0*$Q$34+W54+1)&lt;0,3+(INDEX($B$35:$M$50,($Q$32-1-3)*$Q$33+X54+1,0*$Q$34+W54+1)-$Q$46)/$Q$48*$Q$42,NA())))</f>
        <v>#N/A</v>
      </c>
      <c r="AI54">
        <f>IF(V54=1,0,IF(INDEX($B$35:$M$50,($Q$32-1-0)*$Q$33+X54+1,0*$Q$34+W54+1)="",0,IF(INDEX($B$35:$M$50,($Q$32-1-0)*$Q$33+X54+1,0*$Q$34+W54+1)&gt;=0,ABS(INDEX($B$35:$M$50,($Q$32-1-0)*$Q$33+X54+1,0*$Q$34+W54+1))/$Q$48*$Q$42,0)))</f>
        <v>0</v>
      </c>
      <c r="AJ54">
        <f>IF(V54=1,0,IF(INDEX($B$35:$M$50,($Q$32-1-0)*$Q$33+X54+1,0*$Q$34+W54+1)="",0,IF(INDEX($B$35:$M$50,($Q$32-1-0)*$Q$33+X54+1,0*$Q$34+W54+1)&lt;0,ABS(INDEX($B$35:$M$50,($Q$32-1-0)*$Q$33+X54+1,0*$Q$34+W54+1))/$Q$48*$Q$42,0)))</f>
        <v>0</v>
      </c>
      <c r="AK54">
        <f>IF(V54=1,0,IF(INDEX($B$35:$M$50,($Q$32-1-1)*$Q$33+X54+1,0*$Q$34+W54+1)="",0,IF(INDEX($B$35:$M$50,($Q$32-1-1)*$Q$33+X54+1,0*$Q$34+W54+1)&gt;=0,ABS(INDEX($B$35:$M$50,($Q$32-1-1)*$Q$33+X54+1,0*$Q$34+W54+1))/$Q$48*$Q$42,0)))</f>
        <v>0</v>
      </c>
      <c r="AL54">
        <f>IF(V54=1,0,IF(INDEX($B$35:$M$50,($Q$32-1-1)*$Q$33+X54+1,0*$Q$34+W54+1)="",0,IF(INDEX($B$35:$M$50,($Q$32-1-1)*$Q$33+X54+1,0*$Q$34+W54+1)&lt;0,ABS(INDEX($B$35:$M$50,($Q$32-1-1)*$Q$33+X54+1,0*$Q$34+W54+1))/$Q$48*$Q$42,0)))</f>
        <v>0</v>
      </c>
      <c r="AM54">
        <f>IF(V54=1,0,IF(INDEX($B$35:$M$50,($Q$32-1-2)*$Q$33+X54+1,0*$Q$34+W54+1)="",0,IF(INDEX($B$35:$M$50,($Q$32-1-2)*$Q$33+X54+1,0*$Q$34+W54+1)&gt;=0,ABS(INDEX($B$35:$M$50,($Q$32-1-2)*$Q$33+X54+1,0*$Q$34+W54+1))/$Q$48*$Q$42,0)))</f>
        <v>0</v>
      </c>
      <c r="AN54">
        <f>IF(V54=1,0,IF(INDEX($B$35:$M$50,($Q$32-1-2)*$Q$33+X54+1,0*$Q$34+W54+1)="",0,IF(INDEX($B$35:$M$50,($Q$32-1-2)*$Q$33+X54+1,0*$Q$34+W54+1)&lt;0,ABS(INDEX($B$35:$M$50,($Q$32-1-2)*$Q$33+X54+1,0*$Q$34+W54+1))/$Q$48*$Q$42,0)))</f>
        <v>0</v>
      </c>
      <c r="AO54">
        <f>IF(V54=1,0,IF(INDEX($B$35:$M$50,($Q$32-1-3)*$Q$33+X54+1,0*$Q$34+W54+1)="",0,IF(INDEX($B$35:$M$50,($Q$32-1-3)*$Q$33+X54+1,0*$Q$34+W54+1)&gt;=0,ABS(INDEX($B$35:$M$50,($Q$32-1-3)*$Q$33+X54+1,0*$Q$34+W54+1))/$Q$48*$Q$42,0)))</f>
        <v>0</v>
      </c>
      <c r="AP54">
        <f>IF(V54=1,0,IF(INDEX($B$35:$M$50,($Q$32-1-3)*$Q$33+X54+1,0*$Q$34+W54+1)="",0,IF(INDEX($B$35:$M$50,($Q$32-1-3)*$Q$33+X54+1,0*$Q$34+W54+1)&lt;0,ABS(INDEX($B$35:$M$50,($Q$32-1-3)*$Q$33+X54+1,0*$Q$34+W54+1))/$Q$48*$Q$42,0)))</f>
        <v>0</v>
      </c>
      <c r="AR54" t="str">
        <f>IF(V54=1,"",IF(INDEX($B$35:$M$50,($Q$32-1-0)*$Q$33+X54+1,0*$Q$34+W54+1)="","",IF(INDEX($B$35:$M$50,($Q$32-1-0)*$Q$33+X54+1,0*$Q$34+W54+1)&gt;=0,TEXT(INDEX($B$35:$M$50,($Q$32-1-0)*$Q$33+X54+1,0*$Q$34+W54+1),"+0;-0;0"),"")))</f>
        <v/>
      </c>
      <c r="AS54" t="str">
        <f>IF(V54=1,"",IF(INDEX($B$35:$M$50,($Q$32-1-0)*$Q$33+X54+1,0*$Q$34+W54+1)="","",IF(INDEX($B$35:$M$50,($Q$32-1-0)*$Q$33+X54+1,0*$Q$34+W54+1)&lt;0,TEXT(INDEX($B$35:$M$50,($Q$32-1-0)*$Q$33+X54+1,0*$Q$34+W54+1),"+0;-0;0"),"")))</f>
        <v/>
      </c>
      <c r="AT54" t="str">
        <f>IF(V54=1,"",IF(INDEX($B$35:$M$50,($Q$32-1-1)*$Q$33+X54+1,0*$Q$34+W54+1)="","",IF(INDEX($B$35:$M$50,($Q$32-1-1)*$Q$33+X54+1,0*$Q$34+W54+1)&gt;=0,TEXT(INDEX($B$35:$M$50,($Q$32-1-1)*$Q$33+X54+1,0*$Q$34+W54+1),"+0;-0;0"),"")))</f>
        <v/>
      </c>
      <c r="AU54" t="str">
        <f>IF(V54=1,"",IF(INDEX($B$35:$M$50,($Q$32-1-1)*$Q$33+X54+1,0*$Q$34+W54+1)="","",IF(INDEX($B$35:$M$50,($Q$32-1-1)*$Q$33+X54+1,0*$Q$34+W54+1)&lt;0,TEXT(INDEX($B$35:$M$50,($Q$32-1-1)*$Q$33+X54+1,0*$Q$34+W54+1),"+0;-0;0"),"")))</f>
        <v/>
      </c>
      <c r="AV54" t="str">
        <f>IF(V54=1,"",IF(INDEX($B$35:$M$50,($Q$32-1-2)*$Q$33+X54+1,0*$Q$34+W54+1)="","",IF(INDEX($B$35:$M$50,($Q$32-1-2)*$Q$33+X54+1,0*$Q$34+W54+1)&gt;=0,TEXT(INDEX($B$35:$M$50,($Q$32-1-2)*$Q$33+X54+1,0*$Q$34+W54+1),"+0;-0;0"),"")))</f>
        <v/>
      </c>
      <c r="AW54" t="str">
        <f>IF(V54=1,"",IF(INDEX($B$35:$M$50,($Q$32-1-2)*$Q$33+X54+1,0*$Q$34+W54+1)="","",IF(INDEX($B$35:$M$50,($Q$32-1-2)*$Q$33+X54+1,0*$Q$34+W54+1)&lt;0,TEXT(INDEX($B$35:$M$50,($Q$32-1-2)*$Q$33+X54+1,0*$Q$34+W54+1),"+0;-0;0"),"")))</f>
        <v/>
      </c>
      <c r="AX54" t="str">
        <f>IF(V54=1,"",IF(INDEX($B$35:$M$50,($Q$32-1-3)*$Q$33+X54+1,0*$Q$34+W54+1)="","",IF(INDEX($B$35:$M$50,($Q$32-1-3)*$Q$33+X54+1,0*$Q$34+W54+1)&gt;=0,TEXT(INDEX($B$35:$M$50,($Q$32-1-3)*$Q$33+X54+1,0*$Q$34+W54+1),"+0;-0;0"),"")))</f>
        <v/>
      </c>
      <c r="AY54" t="str">
        <f>IF(V54=1,"",IF(INDEX($B$35:$M$50,($Q$32-1-3)*$Q$33+X54+1,0*$Q$34+W54+1)="","",IF(INDEX($B$35:$M$50,($Q$32-1-3)*$Q$33+X54+1,0*$Q$34+W54+1)&lt;0,TEXT(INDEX($B$35:$M$50,($Q$32-1-3)*$Q$33+X54+1,0*$Q$34+W54+1),"+0;-0;0"),"")))</f>
        <v/>
      </c>
      <c r="BA54">
        <v>16</v>
      </c>
      <c r="BB54">
        <v>4</v>
      </c>
      <c r="BD54">
        <v>54.5</v>
      </c>
      <c r="BE54">
        <v>0.90999999999999992</v>
      </c>
      <c r="BG54">
        <v>15.5</v>
      </c>
      <c r="BH54">
        <f>IF(OR($Q$46&gt;0,$Q$47&lt;0),NA(),0+$Q$49)</f>
        <v>0.23428571428571426</v>
      </c>
      <c r="BJ54">
        <v>17</v>
      </c>
      <c r="BK54">
        <f>3+$Q$42+0.03</f>
        <v>3.8499999999999996</v>
      </c>
      <c r="BL54" s="20" t="str">
        <f>'C13D'!$A$36</f>
        <v>2012</v>
      </c>
      <c r="BN54">
        <v>3.35</v>
      </c>
      <c r="BO54">
        <f>0+0.5*$Q$42</f>
        <v>0.41</v>
      </c>
      <c r="BP54" t="str">
        <f>TEXT($Q$46+($Q$47-$Q$46)*0.5,"#,##0")</f>
        <v>75</v>
      </c>
    </row>
    <row r="55" spans="1:73" x14ac:dyDescent="0.35">
      <c r="P55">
        <v>3</v>
      </c>
      <c r="Q55">
        <f>P55-$Q$41</f>
        <v>0</v>
      </c>
      <c r="R55">
        <f>IF(Q55&lt;=0,-1,INT((Q55-1)/($Q$39+$Q$40)))</f>
        <v>-1</v>
      </c>
      <c r="S55">
        <f>IF(Q55&lt;=0,-1,MOD(Q55-1,($Q$39+$Q$40)))</f>
        <v>-1</v>
      </c>
      <c r="T55">
        <f>IF(OR(S55&lt;0,S55&gt;=$Q$39),-1,INT(S55/$Q$38))</f>
        <v>-1</v>
      </c>
      <c r="U55">
        <f>IF(OR(S55&lt;0,S55&gt;=$Q$39),-1,MOD(S55,$Q$38))</f>
        <v>-1</v>
      </c>
      <c r="V55">
        <f>IF(OR(Q55&lt;=0,S55&lt;0,S55&gt;=$Q$39,R55&gt;=$Q$36),1,0)</f>
        <v>1</v>
      </c>
      <c r="W55">
        <f>IF(V55=1,-1,T55)</f>
        <v>-1</v>
      </c>
      <c r="X55">
        <f>IF(V55=1,-1,R55)</f>
        <v>-1</v>
      </c>
      <c r="Y55" t="str">
        <f>IF(V55=1,"",IF(AND(MOD(W55,3)=0,U55=INT(($Q$38-1)/2)),INDEX($B$34:$M$34,W55+1),""))</f>
        <v/>
      </c>
      <c r="Z55" t="e">
        <f>IF(V55=1,NA(),IF(INDEX($B$35:$M$50,($Q$32-1-0)*$Q$33+X55+1,0*$Q$34+W55+1)="",NA(),IF(INDEX($B$35:$M$50,($Q$32-1-0)*$Q$33+X55+1,0*$Q$34+W55+1)&gt;=0,0+(INDEX($B$35:$M$50,($Q$32-1-0)*$Q$33+X55+1,0*$Q$34+W55+1)-$Q$46)/$Q$48*$Q$42,NA())))</f>
        <v>#N/A</v>
      </c>
      <c r="AA55" t="e">
        <f>IF(V55=1,NA(),IF(INDEX($B$35:$M$50,($Q$32-1-0)*$Q$33+X55+1,0*$Q$34+W55+1)="",NA(),IF(INDEX($B$35:$M$50,($Q$32-1-0)*$Q$33+X55+1,0*$Q$34+W55+1)&lt;0,0+(INDEX($B$35:$M$50,($Q$32-1-0)*$Q$33+X55+1,0*$Q$34+W55+1)-$Q$46)/$Q$48*$Q$42,NA())))</f>
        <v>#N/A</v>
      </c>
      <c r="AB55" t="e">
        <f>IF(V55=1,NA(),IF(INDEX($B$35:$M$50,($Q$32-1-1)*$Q$33+X55+1,0*$Q$34+W55+1)="",NA(),IF(INDEX($B$35:$M$50,($Q$32-1-1)*$Q$33+X55+1,0*$Q$34+W55+1)&gt;=0,1+(INDEX($B$35:$M$50,($Q$32-1-1)*$Q$33+X55+1,0*$Q$34+W55+1)-$Q$46)/$Q$48*$Q$42,NA())))</f>
        <v>#N/A</v>
      </c>
      <c r="AC55" t="e">
        <f>IF(V55=1,NA(),IF(INDEX($B$35:$M$50,($Q$32-1-1)*$Q$33+X55+1,0*$Q$34+W55+1)="",NA(),IF(INDEX($B$35:$M$50,($Q$32-1-1)*$Q$33+X55+1,0*$Q$34+W55+1)&lt;0,1+(INDEX($B$35:$M$50,($Q$32-1-1)*$Q$33+X55+1,0*$Q$34+W55+1)-$Q$46)/$Q$48*$Q$42,NA())))</f>
        <v>#N/A</v>
      </c>
      <c r="AD55" t="e">
        <f>IF(V55=1,NA(),IF(INDEX($B$35:$M$50,($Q$32-1-2)*$Q$33+X55+1,0*$Q$34+W55+1)="",NA(),IF(INDEX($B$35:$M$50,($Q$32-1-2)*$Q$33+X55+1,0*$Q$34+W55+1)&gt;=0,2+(INDEX($B$35:$M$50,($Q$32-1-2)*$Q$33+X55+1,0*$Q$34+W55+1)-$Q$46)/$Q$48*$Q$42,NA())))</f>
        <v>#N/A</v>
      </c>
      <c r="AE55" t="e">
        <f>IF(V55=1,NA(),IF(INDEX($B$35:$M$50,($Q$32-1-2)*$Q$33+X55+1,0*$Q$34+W55+1)="",NA(),IF(INDEX($B$35:$M$50,($Q$32-1-2)*$Q$33+X55+1,0*$Q$34+W55+1)&lt;0,2+(INDEX($B$35:$M$50,($Q$32-1-2)*$Q$33+X55+1,0*$Q$34+W55+1)-$Q$46)/$Q$48*$Q$42,NA())))</f>
        <v>#N/A</v>
      </c>
      <c r="AF55" t="e">
        <f>IF(V55=1,NA(),IF(INDEX($B$35:$M$50,($Q$32-1-3)*$Q$33+X55+1,0*$Q$34+W55+1)="",NA(),IF(INDEX($B$35:$M$50,($Q$32-1-3)*$Q$33+X55+1,0*$Q$34+W55+1)&gt;=0,3+(INDEX($B$35:$M$50,($Q$32-1-3)*$Q$33+X55+1,0*$Q$34+W55+1)-$Q$46)/$Q$48*$Q$42,NA())))</f>
        <v>#N/A</v>
      </c>
      <c r="AG55" t="e">
        <f>IF(V55=1,NA(),IF(INDEX($B$35:$M$50,($Q$32-1-3)*$Q$33+X55+1,0*$Q$34+W55+1)="",NA(),IF(INDEX($B$35:$M$50,($Q$32-1-3)*$Q$33+X55+1,0*$Q$34+W55+1)&lt;0,3+(INDEX($B$35:$M$50,($Q$32-1-3)*$Q$33+X55+1,0*$Q$34+W55+1)-$Q$46)/$Q$48*$Q$42,NA())))</f>
        <v>#N/A</v>
      </c>
      <c r="AI55">
        <f>IF(V55=1,0,IF(INDEX($B$35:$M$50,($Q$32-1-0)*$Q$33+X55+1,0*$Q$34+W55+1)="",0,IF(INDEX($B$35:$M$50,($Q$32-1-0)*$Q$33+X55+1,0*$Q$34+W55+1)&gt;=0,ABS(INDEX($B$35:$M$50,($Q$32-1-0)*$Q$33+X55+1,0*$Q$34+W55+1))/$Q$48*$Q$42,0)))</f>
        <v>0</v>
      </c>
      <c r="AJ55">
        <f>IF(V55=1,0,IF(INDEX($B$35:$M$50,($Q$32-1-0)*$Q$33+X55+1,0*$Q$34+W55+1)="",0,IF(INDEX($B$35:$M$50,($Q$32-1-0)*$Q$33+X55+1,0*$Q$34+W55+1)&lt;0,ABS(INDEX($B$35:$M$50,($Q$32-1-0)*$Q$33+X55+1,0*$Q$34+W55+1))/$Q$48*$Q$42,0)))</f>
        <v>0</v>
      </c>
      <c r="AK55">
        <f>IF(V55=1,0,IF(INDEX($B$35:$M$50,($Q$32-1-1)*$Q$33+X55+1,0*$Q$34+W55+1)="",0,IF(INDEX($B$35:$M$50,($Q$32-1-1)*$Q$33+X55+1,0*$Q$34+W55+1)&gt;=0,ABS(INDEX($B$35:$M$50,($Q$32-1-1)*$Q$33+X55+1,0*$Q$34+W55+1))/$Q$48*$Q$42,0)))</f>
        <v>0</v>
      </c>
      <c r="AL55">
        <f>IF(V55=1,0,IF(INDEX($B$35:$M$50,($Q$32-1-1)*$Q$33+X55+1,0*$Q$34+W55+1)="",0,IF(INDEX($B$35:$M$50,($Q$32-1-1)*$Q$33+X55+1,0*$Q$34+W55+1)&lt;0,ABS(INDEX($B$35:$M$50,($Q$32-1-1)*$Q$33+X55+1,0*$Q$34+W55+1))/$Q$48*$Q$42,0)))</f>
        <v>0</v>
      </c>
      <c r="AM55">
        <f>IF(V55=1,0,IF(INDEX($B$35:$M$50,($Q$32-1-2)*$Q$33+X55+1,0*$Q$34+W55+1)="",0,IF(INDEX($B$35:$M$50,($Q$32-1-2)*$Q$33+X55+1,0*$Q$34+W55+1)&gt;=0,ABS(INDEX($B$35:$M$50,($Q$32-1-2)*$Q$33+X55+1,0*$Q$34+W55+1))/$Q$48*$Q$42,0)))</f>
        <v>0</v>
      </c>
      <c r="AN55">
        <f>IF(V55=1,0,IF(INDEX($B$35:$M$50,($Q$32-1-2)*$Q$33+X55+1,0*$Q$34+W55+1)="",0,IF(INDEX($B$35:$M$50,($Q$32-1-2)*$Q$33+X55+1,0*$Q$34+W55+1)&lt;0,ABS(INDEX($B$35:$M$50,($Q$32-1-2)*$Q$33+X55+1,0*$Q$34+W55+1))/$Q$48*$Q$42,0)))</f>
        <v>0</v>
      </c>
      <c r="AO55">
        <f>IF(V55=1,0,IF(INDEX($B$35:$M$50,($Q$32-1-3)*$Q$33+X55+1,0*$Q$34+W55+1)="",0,IF(INDEX($B$35:$M$50,($Q$32-1-3)*$Q$33+X55+1,0*$Q$34+W55+1)&gt;=0,ABS(INDEX($B$35:$M$50,($Q$32-1-3)*$Q$33+X55+1,0*$Q$34+W55+1))/$Q$48*$Q$42,0)))</f>
        <v>0</v>
      </c>
      <c r="AP55">
        <f>IF(V55=1,0,IF(INDEX($B$35:$M$50,($Q$32-1-3)*$Q$33+X55+1,0*$Q$34+W55+1)="",0,IF(INDEX($B$35:$M$50,($Q$32-1-3)*$Q$33+X55+1,0*$Q$34+W55+1)&lt;0,ABS(INDEX($B$35:$M$50,($Q$32-1-3)*$Q$33+X55+1,0*$Q$34+W55+1))/$Q$48*$Q$42,0)))</f>
        <v>0</v>
      </c>
      <c r="AR55" t="str">
        <f>IF(V55=1,"",IF(INDEX($B$35:$M$50,($Q$32-1-0)*$Q$33+X55+1,0*$Q$34+W55+1)="","",IF(INDEX($B$35:$M$50,($Q$32-1-0)*$Q$33+X55+1,0*$Q$34+W55+1)&gt;=0,TEXT(INDEX($B$35:$M$50,($Q$32-1-0)*$Q$33+X55+1,0*$Q$34+W55+1),"+0;-0;0"),"")))</f>
        <v/>
      </c>
      <c r="AS55" t="str">
        <f>IF(V55=1,"",IF(INDEX($B$35:$M$50,($Q$32-1-0)*$Q$33+X55+1,0*$Q$34+W55+1)="","",IF(INDEX($B$35:$M$50,($Q$32-1-0)*$Q$33+X55+1,0*$Q$34+W55+1)&lt;0,TEXT(INDEX($B$35:$M$50,($Q$32-1-0)*$Q$33+X55+1,0*$Q$34+W55+1),"+0;-0;0"),"")))</f>
        <v/>
      </c>
      <c r="AT55" t="str">
        <f>IF(V55=1,"",IF(INDEX($B$35:$M$50,($Q$32-1-1)*$Q$33+X55+1,0*$Q$34+W55+1)="","",IF(INDEX($B$35:$M$50,($Q$32-1-1)*$Q$33+X55+1,0*$Q$34+W55+1)&gt;=0,TEXT(INDEX($B$35:$M$50,($Q$32-1-1)*$Q$33+X55+1,0*$Q$34+W55+1),"+0;-0;0"),"")))</f>
        <v/>
      </c>
      <c r="AU55" t="str">
        <f>IF(V55=1,"",IF(INDEX($B$35:$M$50,($Q$32-1-1)*$Q$33+X55+1,0*$Q$34+W55+1)="","",IF(INDEX($B$35:$M$50,($Q$32-1-1)*$Q$33+X55+1,0*$Q$34+W55+1)&lt;0,TEXT(INDEX($B$35:$M$50,($Q$32-1-1)*$Q$33+X55+1,0*$Q$34+W55+1),"+0;-0;0"),"")))</f>
        <v/>
      </c>
      <c r="AV55" t="str">
        <f>IF(V55=1,"",IF(INDEX($B$35:$M$50,($Q$32-1-2)*$Q$33+X55+1,0*$Q$34+W55+1)="","",IF(INDEX($B$35:$M$50,($Q$32-1-2)*$Q$33+X55+1,0*$Q$34+W55+1)&gt;=0,TEXT(INDEX($B$35:$M$50,($Q$32-1-2)*$Q$33+X55+1,0*$Q$34+W55+1),"+0;-0;0"),"")))</f>
        <v/>
      </c>
      <c r="AW55" t="str">
        <f>IF(V55=1,"",IF(INDEX($B$35:$M$50,($Q$32-1-2)*$Q$33+X55+1,0*$Q$34+W55+1)="","",IF(INDEX($B$35:$M$50,($Q$32-1-2)*$Q$33+X55+1,0*$Q$34+W55+1)&lt;0,TEXT(INDEX($B$35:$M$50,($Q$32-1-2)*$Q$33+X55+1,0*$Q$34+W55+1),"+0;-0;0"),"")))</f>
        <v/>
      </c>
      <c r="AX55" t="str">
        <f>IF(V55=1,"",IF(INDEX($B$35:$M$50,($Q$32-1-3)*$Q$33+X55+1,0*$Q$34+W55+1)="","",IF(INDEX($B$35:$M$50,($Q$32-1-3)*$Q$33+X55+1,0*$Q$34+W55+1)&gt;=0,TEXT(INDEX($B$35:$M$50,($Q$32-1-3)*$Q$33+X55+1,0*$Q$34+W55+1),"+0;-0;0"),"")))</f>
        <v/>
      </c>
      <c r="AY55" t="str">
        <f>IF(V55=1,"",IF(INDEX($B$35:$M$50,($Q$32-1-3)*$Q$33+X55+1,0*$Q$34+W55+1)="","",IF(INDEX($B$35:$M$50,($Q$32-1-3)*$Q$33+X55+1,0*$Q$34+W55+1)&lt;0,TEXT(INDEX($B$35:$M$50,($Q$32-1-3)*$Q$33+X55+1,0*$Q$34+W55+1),"+0;-0;0"),"")))</f>
        <v/>
      </c>
      <c r="BA55">
        <v>16</v>
      </c>
      <c r="BB55" t="e">
        <f>NA()</f>
        <v>#N/A</v>
      </c>
      <c r="BD55">
        <v>54.5</v>
      </c>
      <c r="BE55" t="e">
        <f>NA()</f>
        <v>#N/A</v>
      </c>
      <c r="BG55">
        <v>15.5</v>
      </c>
      <c r="BH55" t="e">
        <f>NA()</f>
        <v>#N/A</v>
      </c>
      <c r="BJ55">
        <v>30</v>
      </c>
      <c r="BK55">
        <f>3+$Q$42+0.03</f>
        <v>3.8499999999999996</v>
      </c>
      <c r="BL55" s="20" t="str">
        <f>'C13D'!$A$37</f>
        <v>2013</v>
      </c>
      <c r="BN55">
        <v>3.35</v>
      </c>
      <c r="BO55">
        <f>0+1*$Q$42</f>
        <v>0.82</v>
      </c>
      <c r="BP55" t="str">
        <f>TEXT($Q$46+($Q$47-$Q$46)*1,"#,##0")</f>
        <v>250</v>
      </c>
    </row>
    <row r="56" spans="1:73" x14ac:dyDescent="0.35">
      <c r="P56">
        <v>4</v>
      </c>
      <c r="Q56">
        <f>P56-$Q$41</f>
        <v>1</v>
      </c>
      <c r="R56">
        <f>IF(Q56&lt;=0,-1,INT((Q56-1)/($Q$39+$Q$40)))</f>
        <v>0</v>
      </c>
      <c r="S56">
        <f>IF(Q56&lt;=0,-1,MOD(Q56-1,($Q$39+$Q$40)))</f>
        <v>0</v>
      </c>
      <c r="T56">
        <f>IF(OR(S56&lt;0,S56&gt;=$Q$39),-1,INT(S56/$Q$38))</f>
        <v>0</v>
      </c>
      <c r="U56">
        <f>IF(OR(S56&lt;0,S56&gt;=$Q$39),-1,MOD(S56,$Q$38))</f>
        <v>0</v>
      </c>
      <c r="V56">
        <f>IF(OR(Q56&lt;=0,S56&lt;0,S56&gt;=$Q$39,R56&gt;=$Q$36),1,0)</f>
        <v>0</v>
      </c>
      <c r="W56">
        <f>IF(V56=1,-1,T56)</f>
        <v>0</v>
      </c>
      <c r="X56">
        <f>IF(V56=1,-1,R56)</f>
        <v>0</v>
      </c>
      <c r="Y56" t="str">
        <f>IF(V56=1,"",IF(AND(MOD(W56,3)=0,U56=INT(($Q$38-1)/2)),INDEX($B$34:$M$34,W56+1),""))</f>
        <v>Jan</v>
      </c>
      <c r="Z56">
        <f>IF(V56=1,NA(),IF(INDEX($B$35:$M$50,($Q$32-1-0)*$Q$33+X56+1,0*$Q$34+W56+1)="",NA(),IF(INDEX($B$35:$M$50,($Q$32-1-0)*$Q$33+X56+1,0*$Q$34+W56+1)&gt;=0,0+(INDEX($B$35:$M$50,($Q$32-1-0)*$Q$33+X56+1,0*$Q$34+W56+1)-$Q$46)/$Q$48*$Q$42,NA())))</f>
        <v>0.39451432084380628</v>
      </c>
      <c r="AA56" t="e">
        <f>IF(V56=1,NA(),IF(INDEX($B$35:$M$50,($Q$32-1-0)*$Q$33+X56+1,0*$Q$34+W56+1)="",NA(),IF(INDEX($B$35:$M$50,($Q$32-1-0)*$Q$33+X56+1,0*$Q$34+W56+1)&lt;0,0+(INDEX($B$35:$M$50,($Q$32-1-0)*$Q$33+X56+1,0*$Q$34+W56+1)-$Q$46)/$Q$48*$Q$42,NA())))</f>
        <v>#N/A</v>
      </c>
      <c r="AB56">
        <f>IF(V56=1,NA(),IF(INDEX($B$35:$M$50,($Q$32-1-1)*$Q$33+X56+1,0*$Q$34+W56+1)="",NA(),IF(INDEX($B$35:$M$50,($Q$32-1-1)*$Q$33+X56+1,0*$Q$34+W56+1)&gt;=0,1+(INDEX($B$35:$M$50,($Q$32-1-1)*$Q$33+X56+1,0*$Q$34+W56+1)-$Q$46)/$Q$48*$Q$42,NA())))</f>
        <v>1.2347804510233429</v>
      </c>
      <c r="AC56" t="e">
        <f>IF(V56=1,NA(),IF(INDEX($B$35:$M$50,($Q$32-1-1)*$Q$33+X56+1,0*$Q$34+W56+1)="",NA(),IF(INDEX($B$35:$M$50,($Q$32-1-1)*$Q$33+X56+1,0*$Q$34+W56+1)&lt;0,1+(INDEX($B$35:$M$50,($Q$32-1-1)*$Q$33+X56+1,0*$Q$34+W56+1)-$Q$46)/$Q$48*$Q$42,NA())))</f>
        <v>#N/A</v>
      </c>
      <c r="AD56" t="e">
        <f>IF(V56=1,NA(),IF(INDEX($B$35:$M$50,($Q$32-1-2)*$Q$33+X56+1,0*$Q$34+W56+1)="",NA(),IF(INDEX($B$35:$M$50,($Q$32-1-2)*$Q$33+X56+1,0*$Q$34+W56+1)&gt;=0,2+(INDEX($B$35:$M$50,($Q$32-1-2)*$Q$33+X56+1,0*$Q$34+W56+1)-$Q$46)/$Q$48*$Q$42,NA())))</f>
        <v>#N/A</v>
      </c>
      <c r="AE56">
        <f>IF(V56=1,NA(),IF(INDEX($B$35:$M$50,($Q$32-1-2)*$Q$33+X56+1,0*$Q$34+W56+1)="",NA(),IF(INDEX($B$35:$M$50,($Q$32-1-2)*$Q$33+X56+1,0*$Q$34+W56+1)&lt;0,2+(INDEX($B$35:$M$50,($Q$32-1-2)*$Q$33+X56+1,0*$Q$34+W56+1)-$Q$46)/$Q$48*$Q$42,NA())))</f>
        <v>2.1312260834284005</v>
      </c>
      <c r="AF56" t="e">
        <f>IF(V56=1,NA(),IF(INDEX($B$35:$M$50,($Q$32-1-3)*$Q$33+X56+1,0*$Q$34+W56+1)="",NA(),IF(INDEX($B$35:$M$50,($Q$32-1-3)*$Q$33+X56+1,0*$Q$34+W56+1)&gt;=0,3+(INDEX($B$35:$M$50,($Q$32-1-3)*$Q$33+X56+1,0*$Q$34+W56+1)-$Q$46)/$Q$48*$Q$42,NA())))</f>
        <v>#N/A</v>
      </c>
      <c r="AG56">
        <f>IF(V56=1,NA(),IF(INDEX($B$35:$M$50,($Q$32-1-3)*$Q$33+X56+1,0*$Q$34+W56+1)="",NA(),IF(INDEX($B$35:$M$50,($Q$32-1-3)*$Q$33+X56+1,0*$Q$34+W56+1)&lt;0,3+(INDEX($B$35:$M$50,($Q$32-1-3)*$Q$33+X56+1,0*$Q$34+W56+1)-$Q$46)/$Q$48*$Q$42,NA())))</f>
        <v>3.1017342493877145</v>
      </c>
      <c r="AI56">
        <f>IF(V56=1,0,IF(INDEX($B$35:$M$50,($Q$32-1-0)*$Q$33+X56+1,0*$Q$34+W56+1)="",0,IF(INDEX($B$35:$M$50,($Q$32-1-0)*$Q$33+X56+1,0*$Q$34+W56+1)&gt;=0,ABS(INDEX($B$35:$M$50,($Q$32-1-0)*$Q$33+X56+1,0*$Q$34+W56+1))/$Q$48*$Q$42,0)))</f>
        <v>0.16022860655809198</v>
      </c>
      <c r="AJ56">
        <f>IF(V56=1,0,IF(INDEX($B$35:$M$50,($Q$32-1-0)*$Q$33+X56+1,0*$Q$34+W56+1)="",0,IF(INDEX($B$35:$M$50,($Q$32-1-0)*$Q$33+X56+1,0*$Q$34+W56+1)&lt;0,ABS(INDEX($B$35:$M$50,($Q$32-1-0)*$Q$33+X56+1,0*$Q$34+W56+1))/$Q$48*$Q$42,0)))</f>
        <v>0</v>
      </c>
      <c r="AK56">
        <f>IF(V56=1,0,IF(INDEX($B$35:$M$50,($Q$32-1-1)*$Q$33+X56+1,0*$Q$34+W56+1)="",0,IF(INDEX($B$35:$M$50,($Q$32-1-1)*$Q$33+X56+1,0*$Q$34+W56+1)&gt;=0,ABS(INDEX($B$35:$M$50,($Q$32-1-1)*$Q$33+X56+1,0*$Q$34+W56+1))/$Q$48*$Q$42,0)))</f>
        <v>4.9473673762848603E-4</v>
      </c>
      <c r="AL56">
        <f>IF(V56=1,0,IF(INDEX($B$35:$M$50,($Q$32-1-1)*$Q$33+X56+1,0*$Q$34+W56+1)="",0,IF(INDEX($B$35:$M$50,($Q$32-1-1)*$Q$33+X56+1,0*$Q$34+W56+1)&lt;0,ABS(INDEX($B$35:$M$50,($Q$32-1-1)*$Q$33+X56+1,0*$Q$34+W56+1))/$Q$48*$Q$42,0)))</f>
        <v>0</v>
      </c>
      <c r="AM56">
        <f>IF(V56=1,0,IF(INDEX($B$35:$M$50,($Q$32-1-2)*$Q$33+X56+1,0*$Q$34+W56+1)="",0,IF(INDEX($B$35:$M$50,($Q$32-1-2)*$Q$33+X56+1,0*$Q$34+W56+1)&gt;=0,ABS(INDEX($B$35:$M$50,($Q$32-1-2)*$Q$33+X56+1,0*$Q$34+W56+1))/$Q$48*$Q$42,0)))</f>
        <v>0</v>
      </c>
      <c r="AN56">
        <f>IF(V56=1,0,IF(INDEX($B$35:$M$50,($Q$32-1-2)*$Q$33+X56+1,0*$Q$34+W56+1)="",0,IF(INDEX($B$35:$M$50,($Q$32-1-2)*$Q$33+X56+1,0*$Q$34+W56+1)&lt;0,ABS(INDEX($B$35:$M$50,($Q$32-1-2)*$Q$33+X56+1,0*$Q$34+W56+1))/$Q$48*$Q$42,0)))</f>
        <v>0.10305963085731369</v>
      </c>
      <c r="AO56">
        <f>IF(V56=1,0,IF(INDEX($B$35:$M$50,($Q$32-1-3)*$Q$33+X56+1,0*$Q$34+W56+1)="",0,IF(INDEX($B$35:$M$50,($Q$32-1-3)*$Q$33+X56+1,0*$Q$34+W56+1)&gt;=0,ABS(INDEX($B$35:$M$50,($Q$32-1-3)*$Q$33+X56+1,0*$Q$34+W56+1))/$Q$48*$Q$42,0)))</f>
        <v>0</v>
      </c>
      <c r="AP56">
        <f>IF(V56=1,0,IF(INDEX($B$35:$M$50,($Q$32-1-3)*$Q$33+X56+1,0*$Q$34+W56+1)="",0,IF(INDEX($B$35:$M$50,($Q$32-1-3)*$Q$33+X56+1,0*$Q$34+W56+1)&lt;0,ABS(INDEX($B$35:$M$50,($Q$32-1-3)*$Q$33+X56+1,0*$Q$34+W56+1))/$Q$48*$Q$42,0)))</f>
        <v>0.13255146489799957</v>
      </c>
      <c r="AR56" t="str">
        <f>IF(V56=1,"",IF(INDEX($B$35:$M$50,($Q$32-1-0)*$Q$33+X56+1,0*$Q$34+W56+1)="","",IF(INDEX($B$35:$M$50,($Q$32-1-0)*$Q$33+X56+1,0*$Q$34+W56+1)&gt;=0,TEXT(INDEX($B$35:$M$50,($Q$32-1-0)*$Q$33+X56+1,0*$Q$34+W56+1),"+0;-0;0"),"")))</f>
        <v>+68</v>
      </c>
      <c r="AS56" t="str">
        <f>IF(V56=1,"",IF(INDEX($B$35:$M$50,($Q$32-1-0)*$Q$33+X56+1,0*$Q$34+W56+1)="","",IF(INDEX($B$35:$M$50,($Q$32-1-0)*$Q$33+X56+1,0*$Q$34+W56+1)&lt;0,TEXT(INDEX($B$35:$M$50,($Q$32-1-0)*$Q$33+X56+1,0*$Q$34+W56+1),"+0;-0;0"),"")))</f>
        <v/>
      </c>
      <c r="AT56" t="str">
        <f>IF(V56=1,"",IF(INDEX($B$35:$M$50,($Q$32-1-1)*$Q$33+X56+1,0*$Q$34+W56+1)="","",IF(INDEX($B$35:$M$50,($Q$32-1-1)*$Q$33+X56+1,0*$Q$34+W56+1)&gt;=0,TEXT(INDEX($B$35:$M$50,($Q$32-1-1)*$Q$33+X56+1,0*$Q$34+W56+1),"+0;-0;0"),"")))</f>
        <v>+0</v>
      </c>
      <c r="AU56" t="str">
        <f>IF(V56=1,"",IF(INDEX($B$35:$M$50,($Q$32-1-1)*$Q$33+X56+1,0*$Q$34+W56+1)="","",IF(INDEX($B$35:$M$50,($Q$32-1-1)*$Q$33+X56+1,0*$Q$34+W56+1)&lt;0,TEXT(INDEX($B$35:$M$50,($Q$32-1-1)*$Q$33+X56+1,0*$Q$34+W56+1),"+0;-0;0"),"")))</f>
        <v/>
      </c>
      <c r="AV56" t="str">
        <f>IF(V56=1,"",IF(INDEX($B$35:$M$50,($Q$32-1-2)*$Q$33+X56+1,0*$Q$34+W56+1)="","",IF(INDEX($B$35:$M$50,($Q$32-1-2)*$Q$33+X56+1,0*$Q$34+W56+1)&gt;=0,TEXT(INDEX($B$35:$M$50,($Q$32-1-2)*$Q$33+X56+1,0*$Q$34+W56+1),"+0;-0;0"),"")))</f>
        <v/>
      </c>
      <c r="AW56" t="str">
        <f>IF(V56=1,"",IF(INDEX($B$35:$M$50,($Q$32-1-2)*$Q$33+X56+1,0*$Q$34+W56+1)="","",IF(INDEX($B$35:$M$50,($Q$32-1-2)*$Q$33+X56+1,0*$Q$34+W56+1)&lt;0,TEXT(INDEX($B$35:$M$50,($Q$32-1-2)*$Q$33+X56+1,0*$Q$34+W56+1),"+0;-0;0"),"")))</f>
        <v>-44</v>
      </c>
      <c r="AX56" t="str">
        <f>IF(V56=1,"",IF(INDEX($B$35:$M$50,($Q$32-1-3)*$Q$33+X56+1,0*$Q$34+W56+1)="","",IF(INDEX($B$35:$M$50,($Q$32-1-3)*$Q$33+X56+1,0*$Q$34+W56+1)&gt;=0,TEXT(INDEX($B$35:$M$50,($Q$32-1-3)*$Q$33+X56+1,0*$Q$34+W56+1),"+0;-0;0"),"")))</f>
        <v/>
      </c>
      <c r="AY56" t="str">
        <f>IF(V56=1,"",IF(INDEX($B$35:$M$50,($Q$32-1-3)*$Q$33+X56+1,0*$Q$34+W56+1)="","",IF(INDEX($B$35:$M$50,($Q$32-1-3)*$Q$33+X56+1,0*$Q$34+W56+1)&lt;0,TEXT(INDEX($B$35:$M$50,($Q$32-1-3)*$Q$33+X56+1,0*$Q$34+W56+1),"+0;-0;0"),"")))</f>
        <v>-57</v>
      </c>
      <c r="BA56">
        <v>29</v>
      </c>
      <c r="BB56">
        <v>0</v>
      </c>
      <c r="BD56">
        <v>0.5</v>
      </c>
      <c r="BE56">
        <v>1.91</v>
      </c>
      <c r="BG56">
        <v>16.5</v>
      </c>
      <c r="BH56">
        <f>IF(OR($Q$46&gt;0,$Q$47&lt;0),NA(),0+$Q$49)</f>
        <v>0.23428571428571426</v>
      </c>
      <c r="BJ56">
        <v>43</v>
      </c>
      <c r="BK56">
        <f>3+$Q$42+0.03</f>
        <v>3.8499999999999996</v>
      </c>
      <c r="BL56" s="20" t="str">
        <f>'C13D'!$A$38</f>
        <v>2014</v>
      </c>
      <c r="BN56">
        <v>3.35</v>
      </c>
      <c r="BO56">
        <f>1+0*$Q$42</f>
        <v>1</v>
      </c>
      <c r="BP56" t="str">
        <f>TEXT($Q$46+($Q$47-$Q$46)*0,"#,##0")</f>
        <v>-100</v>
      </c>
    </row>
    <row r="57" spans="1:73" x14ac:dyDescent="0.35">
      <c r="P57">
        <v>5</v>
      </c>
      <c r="Q57">
        <f>P57-$Q$41</f>
        <v>2</v>
      </c>
      <c r="R57">
        <f>IF(Q57&lt;=0,-1,INT((Q57-1)/($Q$39+$Q$40)))</f>
        <v>0</v>
      </c>
      <c r="S57">
        <f>IF(Q57&lt;=0,-1,MOD(Q57-1,($Q$39+$Q$40)))</f>
        <v>1</v>
      </c>
      <c r="T57">
        <f>IF(OR(S57&lt;0,S57&gt;=$Q$39),-1,INT(S57/$Q$38))</f>
        <v>1</v>
      </c>
      <c r="U57">
        <f>IF(OR(S57&lt;0,S57&gt;=$Q$39),-1,MOD(S57,$Q$38))</f>
        <v>0</v>
      </c>
      <c r="V57">
        <f>IF(OR(Q57&lt;=0,S57&lt;0,S57&gt;=$Q$39,R57&gt;=$Q$36),1,0)</f>
        <v>0</v>
      </c>
      <c r="W57">
        <f>IF(V57=1,-1,T57)</f>
        <v>1</v>
      </c>
      <c r="X57">
        <f>IF(V57=1,-1,R57)</f>
        <v>0</v>
      </c>
      <c r="Y57" t="str">
        <f>IF(V57=1,"",IF(AND(MOD(W57,3)=0,U57=INT(($Q$38-1)/2)),INDEX($B$34:$M$34,W57+1),""))</f>
        <v/>
      </c>
      <c r="Z57">
        <f>IF(V57=1,NA(),IF(INDEX($B$35:$M$50,($Q$32-1-0)*$Q$33+X57+1,0*$Q$34+W57+1)="",NA(),IF(INDEX($B$35:$M$50,($Q$32-1-0)*$Q$33+X57+1,0*$Q$34+W57+1)&gt;=0,0+(INDEX($B$35:$M$50,($Q$32-1-0)*$Q$33+X57+1,0*$Q$34+W57+1)-$Q$46)/$Q$48*$Q$42,NA())))</f>
        <v>0.44642296949311766</v>
      </c>
      <c r="AA57" t="e">
        <f>IF(V57=1,NA(),IF(INDEX($B$35:$M$50,($Q$32-1-0)*$Q$33+X57+1,0*$Q$34+W57+1)="",NA(),IF(INDEX($B$35:$M$50,($Q$32-1-0)*$Q$33+X57+1,0*$Q$34+W57+1)&lt;0,0+(INDEX($B$35:$M$50,($Q$32-1-0)*$Q$33+X57+1,0*$Q$34+W57+1)-$Q$46)/$Q$48*$Q$42,NA())))</f>
        <v>#N/A</v>
      </c>
      <c r="AB57" t="e">
        <f>IF(V57=1,NA(),IF(INDEX($B$35:$M$50,($Q$32-1-1)*$Q$33+X57+1,0*$Q$34+W57+1)="",NA(),IF(INDEX($B$35:$M$50,($Q$32-1-1)*$Q$33+X57+1,0*$Q$34+W57+1)&gt;=0,1+(INDEX($B$35:$M$50,($Q$32-1-1)*$Q$33+X57+1,0*$Q$34+W57+1)-$Q$46)/$Q$48*$Q$42,NA())))</f>
        <v>#N/A</v>
      </c>
      <c r="AC57">
        <f>IF(V57=1,NA(),IF(INDEX($B$35:$M$50,($Q$32-1-1)*$Q$33+X57+1,0*$Q$34+W57+1)="",NA(),IF(INDEX($B$35:$M$50,($Q$32-1-1)*$Q$33+X57+1,0*$Q$34+W57+1)&lt;0,1+(INDEX($B$35:$M$50,($Q$32-1-1)*$Q$33+X57+1,0*$Q$34+W57+1)-$Q$46)/$Q$48*$Q$42,NA())))</f>
        <v>1.2289669791368345</v>
      </c>
      <c r="AD57" t="e">
        <f>IF(V57=1,NA(),IF(INDEX($B$35:$M$50,($Q$32-1-2)*$Q$33+X57+1,0*$Q$34+W57+1)="",NA(),IF(INDEX($B$35:$M$50,($Q$32-1-2)*$Q$33+X57+1,0*$Q$34+W57+1)&gt;=0,2+(INDEX($B$35:$M$50,($Q$32-1-2)*$Q$33+X57+1,0*$Q$34+W57+1)-$Q$46)/$Q$48*$Q$42,NA())))</f>
        <v>#N/A</v>
      </c>
      <c r="AE57">
        <f>IF(V57=1,NA(),IF(INDEX($B$35:$M$50,($Q$32-1-2)*$Q$33+X57+1,0*$Q$34+W57+1)="",NA(),IF(INDEX($B$35:$M$50,($Q$32-1-2)*$Q$33+X57+1,0*$Q$34+W57+1)&lt;0,2+(INDEX($B$35:$M$50,($Q$32-1-2)*$Q$33+X57+1,0*$Q$34+W57+1)-$Q$46)/$Q$48*$Q$42,NA())))</f>
        <v>2.1243142571953415</v>
      </c>
      <c r="AF57" t="e">
        <f>IF(V57=1,NA(),IF(INDEX($B$35:$M$50,($Q$32-1-3)*$Q$33+X57+1,0*$Q$34+W57+1)="",NA(),IF(INDEX($B$35:$M$50,($Q$32-1-3)*$Q$33+X57+1,0*$Q$34+W57+1)&gt;=0,3+(INDEX($B$35:$M$50,($Q$32-1-3)*$Q$33+X57+1,0*$Q$34+W57+1)-$Q$46)/$Q$48*$Q$42,NA())))</f>
        <v>#N/A</v>
      </c>
      <c r="AG57">
        <f>IF(V57=1,NA(),IF(INDEX($B$35:$M$50,($Q$32-1-3)*$Q$33+X57+1,0*$Q$34+W57+1)="",NA(),IF(INDEX($B$35:$M$50,($Q$32-1-3)*$Q$33+X57+1,0*$Q$34+W57+1)&lt;0,3+(INDEX($B$35:$M$50,($Q$32-1-3)*$Q$33+X57+1,0*$Q$34+W57+1)-$Q$46)/$Q$48*$Q$42,NA())))</f>
        <v>3.0960157956605672</v>
      </c>
      <c r="AI57">
        <f>IF(V57=1,0,IF(INDEX($B$35:$M$50,($Q$32-1-0)*$Q$33+X57+1,0*$Q$34+W57+1)="",0,IF(INDEX($B$35:$M$50,($Q$32-1-0)*$Q$33+X57+1,0*$Q$34+W57+1)&gt;=0,ABS(INDEX($B$35:$M$50,($Q$32-1-0)*$Q$33+X57+1,0*$Q$34+W57+1))/$Q$48*$Q$42,0)))</f>
        <v>0.2121372552074034</v>
      </c>
      <c r="AJ57">
        <f>IF(V57=1,0,IF(INDEX($B$35:$M$50,($Q$32-1-0)*$Q$33+X57+1,0*$Q$34+W57+1)="",0,IF(INDEX($B$35:$M$50,($Q$32-1-0)*$Q$33+X57+1,0*$Q$34+W57+1)&lt;0,ABS(INDEX($B$35:$M$50,($Q$32-1-0)*$Q$33+X57+1,0*$Q$34+W57+1))/$Q$48*$Q$42,0)))</f>
        <v>0</v>
      </c>
      <c r="AK57">
        <f>IF(V57=1,0,IF(INDEX($B$35:$M$50,($Q$32-1-1)*$Q$33+X57+1,0*$Q$34+W57+1)="",0,IF(INDEX($B$35:$M$50,($Q$32-1-1)*$Q$33+X57+1,0*$Q$34+W57+1)&gt;=0,ABS(INDEX($B$35:$M$50,($Q$32-1-1)*$Q$33+X57+1,0*$Q$34+W57+1))/$Q$48*$Q$42,0)))</f>
        <v>0</v>
      </c>
      <c r="AL57">
        <f>IF(V57=1,0,IF(INDEX($B$35:$M$50,($Q$32-1-1)*$Q$33+X57+1,0*$Q$34+W57+1)="",0,IF(INDEX($B$35:$M$50,($Q$32-1-1)*$Q$33+X57+1,0*$Q$34+W57+1)&lt;0,ABS(INDEX($B$35:$M$50,($Q$32-1-1)*$Q$33+X57+1,0*$Q$34+W57+1))/$Q$48*$Q$42,0)))</f>
        <v>5.3187351488796939E-3</v>
      </c>
      <c r="AM57">
        <f>IF(V57=1,0,IF(INDEX($B$35:$M$50,($Q$32-1-2)*$Q$33+X57+1,0*$Q$34+W57+1)="",0,IF(INDEX($B$35:$M$50,($Q$32-1-2)*$Q$33+X57+1,0*$Q$34+W57+1)&gt;=0,ABS(INDEX($B$35:$M$50,($Q$32-1-2)*$Q$33+X57+1,0*$Q$34+W57+1))/$Q$48*$Q$42,0)))</f>
        <v>0</v>
      </c>
      <c r="AN57">
        <f>IF(V57=1,0,IF(INDEX($B$35:$M$50,($Q$32-1-2)*$Q$33+X57+1,0*$Q$34+W57+1)="",0,IF(INDEX($B$35:$M$50,($Q$32-1-2)*$Q$33+X57+1,0*$Q$34+W57+1)&lt;0,ABS(INDEX($B$35:$M$50,($Q$32-1-2)*$Q$33+X57+1,0*$Q$34+W57+1))/$Q$48*$Q$42,0)))</f>
        <v>0.10997145709037269</v>
      </c>
      <c r="AO57">
        <f>IF(V57=1,0,IF(INDEX($B$35:$M$50,($Q$32-1-3)*$Q$33+X57+1,0*$Q$34+W57+1)="",0,IF(INDEX($B$35:$M$50,($Q$32-1-3)*$Q$33+X57+1,0*$Q$34+W57+1)&gt;=0,ABS(INDEX($B$35:$M$50,($Q$32-1-3)*$Q$33+X57+1,0*$Q$34+W57+1))/$Q$48*$Q$42,0)))</f>
        <v>0</v>
      </c>
      <c r="AP57">
        <f>IF(V57=1,0,IF(INDEX($B$35:$M$50,($Q$32-1-3)*$Q$33+X57+1,0*$Q$34+W57+1)="",0,IF(INDEX($B$35:$M$50,($Q$32-1-3)*$Q$33+X57+1,0*$Q$34+W57+1)&lt;0,ABS(INDEX($B$35:$M$50,($Q$32-1-3)*$Q$33+X57+1,0*$Q$34+W57+1))/$Q$48*$Q$42,0)))</f>
        <v>0.13826991862514726</v>
      </c>
      <c r="AR57" t="str">
        <f>IF(V57=1,"",IF(INDEX($B$35:$M$50,($Q$32-1-0)*$Q$33+X57+1,0*$Q$34+W57+1)="","",IF(INDEX($B$35:$M$50,($Q$32-1-0)*$Q$33+X57+1,0*$Q$34+W57+1)&gt;=0,TEXT(INDEX($B$35:$M$50,($Q$32-1-0)*$Q$33+X57+1,0*$Q$34+W57+1),"+0;-0;0"),"")))</f>
        <v>+91</v>
      </c>
      <c r="AS57" t="str">
        <f>IF(V57=1,"",IF(INDEX($B$35:$M$50,($Q$32-1-0)*$Q$33+X57+1,0*$Q$34+W57+1)="","",IF(INDEX($B$35:$M$50,($Q$32-1-0)*$Q$33+X57+1,0*$Q$34+W57+1)&lt;0,TEXT(INDEX($B$35:$M$50,($Q$32-1-0)*$Q$33+X57+1,0*$Q$34+W57+1),"+0;-0;0"),"")))</f>
        <v/>
      </c>
      <c r="AT57" t="str">
        <f>IF(V57=1,"",IF(INDEX($B$35:$M$50,($Q$32-1-1)*$Q$33+X57+1,0*$Q$34+W57+1)="","",IF(INDEX($B$35:$M$50,($Q$32-1-1)*$Q$33+X57+1,0*$Q$34+W57+1)&gt;=0,TEXT(INDEX($B$35:$M$50,($Q$32-1-1)*$Q$33+X57+1,0*$Q$34+W57+1),"+0;-0;0"),"")))</f>
        <v/>
      </c>
      <c r="AU57" t="str">
        <f>IF(V57=1,"",IF(INDEX($B$35:$M$50,($Q$32-1-1)*$Q$33+X57+1,0*$Q$34+W57+1)="","",IF(INDEX($B$35:$M$50,($Q$32-1-1)*$Q$33+X57+1,0*$Q$34+W57+1)&lt;0,TEXT(INDEX($B$35:$M$50,($Q$32-1-1)*$Q$33+X57+1,0*$Q$34+W57+1),"+0;-0;0"),"")))</f>
        <v>-2</v>
      </c>
      <c r="AV57" t="str">
        <f>IF(V57=1,"",IF(INDEX($B$35:$M$50,($Q$32-1-2)*$Q$33+X57+1,0*$Q$34+W57+1)="","",IF(INDEX($B$35:$M$50,($Q$32-1-2)*$Q$33+X57+1,0*$Q$34+W57+1)&gt;=0,TEXT(INDEX($B$35:$M$50,($Q$32-1-2)*$Q$33+X57+1,0*$Q$34+W57+1),"+0;-0;0"),"")))</f>
        <v/>
      </c>
      <c r="AW57" t="str">
        <f>IF(V57=1,"",IF(INDEX($B$35:$M$50,($Q$32-1-2)*$Q$33+X57+1,0*$Q$34+W57+1)="","",IF(INDEX($B$35:$M$50,($Q$32-1-2)*$Q$33+X57+1,0*$Q$34+W57+1)&lt;0,TEXT(INDEX($B$35:$M$50,($Q$32-1-2)*$Q$33+X57+1,0*$Q$34+W57+1),"+0;-0;0"),"")))</f>
        <v>-47</v>
      </c>
      <c r="AX57" t="str">
        <f>IF(V57=1,"",IF(INDEX($B$35:$M$50,($Q$32-1-3)*$Q$33+X57+1,0*$Q$34+W57+1)="","",IF(INDEX($B$35:$M$50,($Q$32-1-3)*$Q$33+X57+1,0*$Q$34+W57+1)&gt;=0,TEXT(INDEX($B$35:$M$50,($Q$32-1-3)*$Q$33+X57+1,0*$Q$34+W57+1),"+0;-0;0"),"")))</f>
        <v/>
      </c>
      <c r="AY57" t="str">
        <f>IF(V57=1,"",IF(INDEX($B$35:$M$50,($Q$32-1-3)*$Q$33+X57+1,0*$Q$34+W57+1)="","",IF(INDEX($B$35:$M$50,($Q$32-1-3)*$Q$33+X57+1,0*$Q$34+W57+1)&lt;0,TEXT(INDEX($B$35:$M$50,($Q$32-1-3)*$Q$33+X57+1,0*$Q$34+W57+1),"+0;-0;0"),"")))</f>
        <v>-59</v>
      </c>
      <c r="BA57">
        <v>29</v>
      </c>
      <c r="BB57">
        <v>4</v>
      </c>
      <c r="BD57">
        <v>54.5</v>
      </c>
      <c r="BE57">
        <v>1.91</v>
      </c>
      <c r="BG57">
        <v>28.5</v>
      </c>
      <c r="BH57">
        <f>IF(OR($Q$46&gt;0,$Q$47&lt;0),NA(),0+$Q$49)</f>
        <v>0.23428571428571426</v>
      </c>
      <c r="BJ57">
        <v>4</v>
      </c>
      <c r="BK57">
        <f>2+$Q$42+0.03</f>
        <v>2.8499999999999996</v>
      </c>
      <c r="BL57" s="20" t="str">
        <f>'C13D'!$A$39</f>
        <v>2015</v>
      </c>
      <c r="BN57">
        <v>3.35</v>
      </c>
      <c r="BO57">
        <f>1+0.5*$Q$42</f>
        <v>1.41</v>
      </c>
      <c r="BP57" t="str">
        <f>TEXT($Q$46+($Q$47-$Q$46)*0.5,"#,##0")</f>
        <v>75</v>
      </c>
    </row>
    <row r="58" spans="1:73" x14ac:dyDescent="0.35">
      <c r="P58">
        <v>6</v>
      </c>
      <c r="Q58">
        <f>P58-$Q$41</f>
        <v>3</v>
      </c>
      <c r="R58">
        <f>IF(Q58&lt;=0,-1,INT((Q58-1)/($Q$39+$Q$40)))</f>
        <v>0</v>
      </c>
      <c r="S58">
        <f>IF(Q58&lt;=0,-1,MOD(Q58-1,($Q$39+$Q$40)))</f>
        <v>2</v>
      </c>
      <c r="T58">
        <f>IF(OR(S58&lt;0,S58&gt;=$Q$39),-1,INT(S58/$Q$38))</f>
        <v>2</v>
      </c>
      <c r="U58">
        <f>IF(OR(S58&lt;0,S58&gt;=$Q$39),-1,MOD(S58,$Q$38))</f>
        <v>0</v>
      </c>
      <c r="V58">
        <f>IF(OR(Q58&lt;=0,S58&lt;0,S58&gt;=$Q$39,R58&gt;=$Q$36),1,0)</f>
        <v>0</v>
      </c>
      <c r="W58">
        <f>IF(V58=1,-1,T58)</f>
        <v>2</v>
      </c>
      <c r="X58">
        <f>IF(V58=1,-1,R58)</f>
        <v>0</v>
      </c>
      <c r="Y58" t="str">
        <f>IF(V58=1,"",IF(AND(MOD(W58,3)=0,U58=INT(($Q$38-1)/2)),INDEX($B$34:$M$34,W58+1),""))</f>
        <v/>
      </c>
      <c r="Z58">
        <f>IF(V58=1,NA(),IF(INDEX($B$35:$M$50,($Q$32-1-0)*$Q$33+X58+1,0*$Q$34+W58+1)="",NA(),IF(INDEX($B$35:$M$50,($Q$32-1-0)*$Q$33+X58+1,0*$Q$34+W58+1)&gt;=0,0+(INDEX($B$35:$M$50,($Q$32-1-0)*$Q$33+X58+1,0*$Q$34+W58+1)-$Q$46)/$Q$48*$Q$42,NA())))</f>
        <v>0.34092727739334855</v>
      </c>
      <c r="AA58" t="e">
        <f>IF(V58=1,NA(),IF(INDEX($B$35:$M$50,($Q$32-1-0)*$Q$33+X58+1,0*$Q$34+W58+1)="",NA(),IF(INDEX($B$35:$M$50,($Q$32-1-0)*$Q$33+X58+1,0*$Q$34+W58+1)&lt;0,0+(INDEX($B$35:$M$50,($Q$32-1-0)*$Q$33+X58+1,0*$Q$34+W58+1)-$Q$46)/$Q$48*$Q$42,NA())))</f>
        <v>#N/A</v>
      </c>
      <c r="AB58" t="e">
        <f>IF(V58=1,NA(),IF(INDEX($B$35:$M$50,($Q$32-1-1)*$Q$33+X58+1,0*$Q$34+W58+1)="",NA(),IF(INDEX($B$35:$M$50,($Q$32-1-1)*$Q$33+X58+1,0*$Q$34+W58+1)&gt;=0,1+(INDEX($B$35:$M$50,($Q$32-1-1)*$Q$33+X58+1,0*$Q$34+W58+1)-$Q$46)/$Q$48*$Q$42,NA())))</f>
        <v>#N/A</v>
      </c>
      <c r="AC58">
        <f>IF(V58=1,NA(),IF(INDEX($B$35:$M$50,($Q$32-1-1)*$Q$33+X58+1,0*$Q$34+W58+1)="",NA(),IF(INDEX($B$35:$M$50,($Q$32-1-1)*$Q$33+X58+1,0*$Q$34+W58+1)&lt;0,1+(INDEX($B$35:$M$50,($Q$32-1-1)*$Q$33+X58+1,0*$Q$34+W58+1)-$Q$46)/$Q$48*$Q$42,NA())))</f>
        <v>1.2137892416842013</v>
      </c>
      <c r="AD58" t="e">
        <f>IF(V58=1,NA(),IF(INDEX($B$35:$M$50,($Q$32-1-2)*$Q$33+X58+1,0*$Q$34+W58+1)="",NA(),IF(INDEX($B$35:$M$50,($Q$32-1-2)*$Q$33+X58+1,0*$Q$34+W58+1)&gt;=0,2+(INDEX($B$35:$M$50,($Q$32-1-2)*$Q$33+X58+1,0*$Q$34+W58+1)-$Q$46)/$Q$48*$Q$42,NA())))</f>
        <v>#N/A</v>
      </c>
      <c r="AE58">
        <f>IF(V58=1,NA(),IF(INDEX($B$35:$M$50,($Q$32-1-2)*$Q$33+X58+1,0*$Q$34+W58+1)="",NA(),IF(INDEX($B$35:$M$50,($Q$32-1-2)*$Q$33+X58+1,0*$Q$34+W58+1)&lt;0,2+(INDEX($B$35:$M$50,($Q$32-1-2)*$Q$33+X58+1,0*$Q$34+W58+1)-$Q$46)/$Q$48*$Q$42,NA())))</f>
        <v>2.1160285363102114</v>
      </c>
      <c r="AF58" t="e">
        <f>IF(V58=1,NA(),IF(INDEX($B$35:$M$50,($Q$32-1-3)*$Q$33+X58+1,0*$Q$34+W58+1)="",NA(),IF(INDEX($B$35:$M$50,($Q$32-1-3)*$Q$33+X58+1,0*$Q$34+W58+1)&gt;=0,3+(INDEX($B$35:$M$50,($Q$32-1-3)*$Q$33+X58+1,0*$Q$34+W58+1)-$Q$46)/$Q$48*$Q$42,NA())))</f>
        <v>#N/A</v>
      </c>
      <c r="AG58">
        <f>IF(V58=1,NA(),IF(INDEX($B$35:$M$50,($Q$32-1-3)*$Q$33+X58+1,0*$Q$34+W58+1)="",NA(),IF(INDEX($B$35:$M$50,($Q$32-1-3)*$Q$33+X58+1,0*$Q$34+W58+1)&lt;0,3+(INDEX($B$35:$M$50,($Q$32-1-3)*$Q$33+X58+1,0*$Q$34+W58+1)-$Q$46)/$Q$48*$Q$42,NA())))</f>
        <v>3.0882764578377073</v>
      </c>
      <c r="AI58">
        <f>IF(V58=1,0,IF(INDEX($B$35:$M$50,($Q$32-1-0)*$Q$33+X58+1,0*$Q$34+W58+1)="",0,IF(INDEX($B$35:$M$50,($Q$32-1-0)*$Q$33+X58+1,0*$Q$34+W58+1)&gt;=0,ABS(INDEX($B$35:$M$50,($Q$32-1-0)*$Q$33+X58+1,0*$Q$34+W58+1))/$Q$48*$Q$42,0)))</f>
        <v>0.1066415631076343</v>
      </c>
      <c r="AJ58">
        <f>IF(V58=1,0,IF(INDEX($B$35:$M$50,($Q$32-1-0)*$Q$33+X58+1,0*$Q$34+W58+1)="",0,IF(INDEX($B$35:$M$50,($Q$32-1-0)*$Q$33+X58+1,0*$Q$34+W58+1)&lt;0,ABS(INDEX($B$35:$M$50,($Q$32-1-0)*$Q$33+X58+1,0*$Q$34+W58+1))/$Q$48*$Q$42,0)))</f>
        <v>0</v>
      </c>
      <c r="AK58">
        <f>IF(V58=1,0,IF(INDEX($B$35:$M$50,($Q$32-1-1)*$Q$33+X58+1,0*$Q$34+W58+1)="",0,IF(INDEX($B$35:$M$50,($Q$32-1-1)*$Q$33+X58+1,0*$Q$34+W58+1)&gt;=0,ABS(INDEX($B$35:$M$50,($Q$32-1-1)*$Q$33+X58+1,0*$Q$34+W58+1))/$Q$48*$Q$42,0)))</f>
        <v>0</v>
      </c>
      <c r="AL58">
        <f>IF(V58=1,0,IF(INDEX($B$35:$M$50,($Q$32-1-1)*$Q$33+X58+1,0*$Q$34+W58+1)="",0,IF(INDEX($B$35:$M$50,($Q$32-1-1)*$Q$33+X58+1,0*$Q$34+W58+1)&lt;0,ABS(INDEX($B$35:$M$50,($Q$32-1-1)*$Q$33+X58+1,0*$Q$34+W58+1))/$Q$48*$Q$42,0)))</f>
        <v>2.0496472601512893E-2</v>
      </c>
      <c r="AM58">
        <f>IF(V58=1,0,IF(INDEX($B$35:$M$50,($Q$32-1-2)*$Q$33+X58+1,0*$Q$34+W58+1)="",0,IF(INDEX($B$35:$M$50,($Q$32-1-2)*$Q$33+X58+1,0*$Q$34+W58+1)&gt;=0,ABS(INDEX($B$35:$M$50,($Q$32-1-2)*$Q$33+X58+1,0*$Q$34+W58+1))/$Q$48*$Q$42,0)))</f>
        <v>0</v>
      </c>
      <c r="AN58">
        <f>IF(V58=1,0,IF(INDEX($B$35:$M$50,($Q$32-1-2)*$Q$33+X58+1,0*$Q$34+W58+1)="",0,IF(INDEX($B$35:$M$50,($Q$32-1-2)*$Q$33+X58+1,0*$Q$34+W58+1)&lt;0,ABS(INDEX($B$35:$M$50,($Q$32-1-2)*$Q$33+X58+1,0*$Q$34+W58+1))/$Q$48*$Q$42,0)))</f>
        <v>0.11825717797550285</v>
      </c>
      <c r="AO58">
        <f>IF(V58=1,0,IF(INDEX($B$35:$M$50,($Q$32-1-3)*$Q$33+X58+1,0*$Q$34+W58+1)="",0,IF(INDEX($B$35:$M$50,($Q$32-1-3)*$Q$33+X58+1,0*$Q$34+W58+1)&gt;=0,ABS(INDEX($B$35:$M$50,($Q$32-1-3)*$Q$33+X58+1,0*$Q$34+W58+1))/$Q$48*$Q$42,0)))</f>
        <v>0</v>
      </c>
      <c r="AP58">
        <f>IF(V58=1,0,IF(INDEX($B$35:$M$50,($Q$32-1-3)*$Q$33+X58+1,0*$Q$34+W58+1)="",0,IF(INDEX($B$35:$M$50,($Q$32-1-3)*$Q$33+X58+1,0*$Q$34+W58+1)&lt;0,ABS(INDEX($B$35:$M$50,($Q$32-1-3)*$Q$33+X58+1,0*$Q$34+W58+1))/$Q$48*$Q$42,0)))</f>
        <v>0.14600925644800689</v>
      </c>
      <c r="AR58" t="str">
        <f>IF(V58=1,"",IF(INDEX($B$35:$M$50,($Q$32-1-0)*$Q$33+X58+1,0*$Q$34+W58+1)="","",IF(INDEX($B$35:$M$50,($Q$32-1-0)*$Q$33+X58+1,0*$Q$34+W58+1)&gt;=0,TEXT(INDEX($B$35:$M$50,($Q$32-1-0)*$Q$33+X58+1,0*$Q$34+W58+1),"+0;-0;0"),"")))</f>
        <v>+46</v>
      </c>
      <c r="AS58" t="str">
        <f>IF(V58=1,"",IF(INDEX($B$35:$M$50,($Q$32-1-0)*$Q$33+X58+1,0*$Q$34+W58+1)="","",IF(INDEX($B$35:$M$50,($Q$32-1-0)*$Q$33+X58+1,0*$Q$34+W58+1)&lt;0,TEXT(INDEX($B$35:$M$50,($Q$32-1-0)*$Q$33+X58+1,0*$Q$34+W58+1),"+0;-0;0"),"")))</f>
        <v/>
      </c>
      <c r="AT58" t="str">
        <f>IF(V58=1,"",IF(INDEX($B$35:$M$50,($Q$32-1-1)*$Q$33+X58+1,0*$Q$34+W58+1)="","",IF(INDEX($B$35:$M$50,($Q$32-1-1)*$Q$33+X58+1,0*$Q$34+W58+1)&gt;=0,TEXT(INDEX($B$35:$M$50,($Q$32-1-1)*$Q$33+X58+1,0*$Q$34+W58+1),"+0;-0;0"),"")))</f>
        <v/>
      </c>
      <c r="AU58" t="str">
        <f>IF(V58=1,"",IF(INDEX($B$35:$M$50,($Q$32-1-1)*$Q$33+X58+1,0*$Q$34+W58+1)="","",IF(INDEX($B$35:$M$50,($Q$32-1-1)*$Q$33+X58+1,0*$Q$34+W58+1)&lt;0,TEXT(INDEX($B$35:$M$50,($Q$32-1-1)*$Q$33+X58+1,0*$Q$34+W58+1),"+0;-0;0"),"")))</f>
        <v>-9</v>
      </c>
      <c r="AV58" t="str">
        <f>IF(V58=1,"",IF(INDEX($B$35:$M$50,($Q$32-1-2)*$Q$33+X58+1,0*$Q$34+W58+1)="","",IF(INDEX($B$35:$M$50,($Q$32-1-2)*$Q$33+X58+1,0*$Q$34+W58+1)&gt;=0,TEXT(INDEX($B$35:$M$50,($Q$32-1-2)*$Q$33+X58+1,0*$Q$34+W58+1),"+0;-0;0"),"")))</f>
        <v/>
      </c>
      <c r="AW58" t="str">
        <f>IF(V58=1,"",IF(INDEX($B$35:$M$50,($Q$32-1-2)*$Q$33+X58+1,0*$Q$34+W58+1)="","",IF(INDEX($B$35:$M$50,($Q$32-1-2)*$Q$33+X58+1,0*$Q$34+W58+1)&lt;0,TEXT(INDEX($B$35:$M$50,($Q$32-1-2)*$Q$33+X58+1,0*$Q$34+W58+1),"+0;-0;0"),"")))</f>
        <v>-50</v>
      </c>
      <c r="AX58" t="str">
        <f>IF(V58=1,"",IF(INDEX($B$35:$M$50,($Q$32-1-3)*$Q$33+X58+1,0*$Q$34+W58+1)="","",IF(INDEX($B$35:$M$50,($Q$32-1-3)*$Q$33+X58+1,0*$Q$34+W58+1)&gt;=0,TEXT(INDEX($B$35:$M$50,($Q$32-1-3)*$Q$33+X58+1,0*$Q$34+W58+1),"+0;-0;0"),"")))</f>
        <v/>
      </c>
      <c r="AY58" t="str">
        <f>IF(V58=1,"",IF(INDEX($B$35:$M$50,($Q$32-1-3)*$Q$33+X58+1,0*$Q$34+W58+1)="","",IF(INDEX($B$35:$M$50,($Q$32-1-3)*$Q$33+X58+1,0*$Q$34+W58+1)&lt;0,TEXT(INDEX($B$35:$M$50,($Q$32-1-3)*$Q$33+X58+1,0*$Q$34+W58+1),"+0;-0;0"),"")))</f>
        <v>-62</v>
      </c>
      <c r="BA58">
        <v>29</v>
      </c>
      <c r="BB58" t="e">
        <f>NA()</f>
        <v>#N/A</v>
      </c>
      <c r="BD58">
        <v>54.5</v>
      </c>
      <c r="BE58" t="e">
        <f>NA()</f>
        <v>#N/A</v>
      </c>
      <c r="BG58">
        <v>28.5</v>
      </c>
      <c r="BH58" t="e">
        <f>NA()</f>
        <v>#N/A</v>
      </c>
      <c r="BJ58">
        <v>17</v>
      </c>
      <c r="BK58">
        <f>2+$Q$42+0.03</f>
        <v>2.8499999999999996</v>
      </c>
      <c r="BL58" s="20" t="str">
        <f>'C13D'!$A$40</f>
        <v>2016</v>
      </c>
      <c r="BN58">
        <v>3.35</v>
      </c>
      <c r="BO58">
        <f>1+1*$Q$42</f>
        <v>1.8199999999999998</v>
      </c>
      <c r="BP58" t="str">
        <f>TEXT($Q$46+($Q$47-$Q$46)*1,"#,##0")</f>
        <v>250</v>
      </c>
    </row>
    <row r="59" spans="1:73" x14ac:dyDescent="0.35">
      <c r="P59">
        <v>7</v>
      </c>
      <c r="Q59">
        <f>P59-$Q$41</f>
        <v>4</v>
      </c>
      <c r="R59">
        <f>IF(Q59&lt;=0,-1,INT((Q59-1)/($Q$39+$Q$40)))</f>
        <v>0</v>
      </c>
      <c r="S59">
        <f>IF(Q59&lt;=0,-1,MOD(Q59-1,($Q$39+$Q$40)))</f>
        <v>3</v>
      </c>
      <c r="T59">
        <f>IF(OR(S59&lt;0,S59&gt;=$Q$39),-1,INT(S59/$Q$38))</f>
        <v>3</v>
      </c>
      <c r="U59">
        <f>IF(OR(S59&lt;0,S59&gt;=$Q$39),-1,MOD(S59,$Q$38))</f>
        <v>0</v>
      </c>
      <c r="V59">
        <f>IF(OR(Q59&lt;=0,S59&lt;0,S59&gt;=$Q$39,R59&gt;=$Q$36),1,0)</f>
        <v>0</v>
      </c>
      <c r="W59">
        <f>IF(V59=1,-1,T59)</f>
        <v>3</v>
      </c>
      <c r="X59">
        <f>IF(V59=1,-1,R59)</f>
        <v>0</v>
      </c>
      <c r="Y59" t="str">
        <f>IF(V59=1,"",IF(AND(MOD(W59,3)=0,U59=INT(($Q$38-1)/2)),INDEX($B$34:$M$34,W59+1),""))</f>
        <v>Apr</v>
      </c>
      <c r="Z59">
        <f>IF(V59=1,NA(),IF(INDEX($B$35:$M$50,($Q$32-1-0)*$Q$33+X59+1,0*$Q$34+W59+1)="",NA(),IF(INDEX($B$35:$M$50,($Q$32-1-0)*$Q$33+X59+1,0*$Q$34+W59+1)&gt;=0,0+(INDEX($B$35:$M$50,($Q$32-1-0)*$Q$33+X59+1,0*$Q$34+W59+1)-$Q$46)/$Q$48*$Q$42,NA())))</f>
        <v>0.40294511118983711</v>
      </c>
      <c r="AA59" t="e">
        <f>IF(V59=1,NA(),IF(INDEX($B$35:$M$50,($Q$32-1-0)*$Q$33+X59+1,0*$Q$34+W59+1)="",NA(),IF(INDEX($B$35:$M$50,($Q$32-1-0)*$Q$33+X59+1,0*$Q$34+W59+1)&lt;0,0+(INDEX($B$35:$M$50,($Q$32-1-0)*$Q$33+X59+1,0*$Q$34+W59+1)-$Q$46)/$Q$48*$Q$42,NA())))</f>
        <v>#N/A</v>
      </c>
      <c r="AB59">
        <f>IF(V59=1,NA(),IF(INDEX($B$35:$M$50,($Q$32-1-1)*$Q$33+X59+1,0*$Q$34+W59+1)="",NA(),IF(INDEX($B$35:$M$50,($Q$32-1-1)*$Q$33+X59+1,0*$Q$34+W59+1)&gt;=0,1+(INDEX($B$35:$M$50,($Q$32-1-1)*$Q$33+X59+1,0*$Q$34+W59+1)-$Q$46)/$Q$48*$Q$42,NA())))</f>
        <v>1.2433959852922383</v>
      </c>
      <c r="AC59" t="e">
        <f>IF(V59=1,NA(),IF(INDEX($B$35:$M$50,($Q$32-1-1)*$Q$33+X59+1,0*$Q$34+W59+1)="",NA(),IF(INDEX($B$35:$M$50,($Q$32-1-1)*$Q$33+X59+1,0*$Q$34+W59+1)&lt;0,1+(INDEX($B$35:$M$50,($Q$32-1-1)*$Q$33+X59+1,0*$Q$34+W59+1)-$Q$46)/$Q$48*$Q$42,NA())))</f>
        <v>#N/A</v>
      </c>
      <c r="AD59" t="e">
        <f>IF(V59=1,NA(),IF(INDEX($B$35:$M$50,($Q$32-1-2)*$Q$33+X59+1,0*$Q$34+W59+1)="",NA(),IF(INDEX($B$35:$M$50,($Q$32-1-2)*$Q$33+X59+1,0*$Q$34+W59+1)&gt;=0,2+(INDEX($B$35:$M$50,($Q$32-1-2)*$Q$33+X59+1,0*$Q$34+W59+1)-$Q$46)/$Q$48*$Q$42,NA())))</f>
        <v>#N/A</v>
      </c>
      <c r="AE59">
        <f>IF(V59=1,NA(),IF(INDEX($B$35:$M$50,($Q$32-1-2)*$Q$33+X59+1,0*$Q$34+W59+1)="",NA(),IF(INDEX($B$35:$M$50,($Q$32-1-2)*$Q$33+X59+1,0*$Q$34+W59+1)&lt;0,2+(INDEX($B$35:$M$50,($Q$32-1-2)*$Q$33+X59+1,0*$Q$34+W59+1)-$Q$46)/$Q$48*$Q$42,NA())))</f>
        <v>2.1368066104044634</v>
      </c>
      <c r="AF59" t="e">
        <f>IF(V59=1,NA(),IF(INDEX($B$35:$M$50,($Q$32-1-3)*$Q$33+X59+1,0*$Q$34+W59+1)="",NA(),IF(INDEX($B$35:$M$50,($Q$32-1-3)*$Q$33+X59+1,0*$Q$34+W59+1)&gt;=0,3+(INDEX($B$35:$M$50,($Q$32-1-3)*$Q$33+X59+1,0*$Q$34+W59+1)-$Q$46)/$Q$48*$Q$42,NA())))</f>
        <v>#N/A</v>
      </c>
      <c r="AG59">
        <f>IF(V59=1,NA(),IF(INDEX($B$35:$M$50,($Q$32-1-3)*$Q$33+X59+1,0*$Q$34+W59+1)="",NA(),IF(INDEX($B$35:$M$50,($Q$32-1-3)*$Q$33+X59+1,0*$Q$34+W59+1)&lt;0,3+(INDEX($B$35:$M$50,($Q$32-1-3)*$Q$33+X59+1,0*$Q$34+W59+1)-$Q$46)/$Q$48*$Q$42,NA())))</f>
        <v>3.1021655609962844</v>
      </c>
      <c r="AI59">
        <f>IF(V59=1,0,IF(INDEX($B$35:$M$50,($Q$32-1-0)*$Q$33+X59+1,0*$Q$34+W59+1)="",0,IF(INDEX($B$35:$M$50,($Q$32-1-0)*$Q$33+X59+1,0*$Q$34+W59+1)&gt;=0,ABS(INDEX($B$35:$M$50,($Q$32-1-0)*$Q$33+X59+1,0*$Q$34+W59+1))/$Q$48*$Q$42,0)))</f>
        <v>0.1686593969041229</v>
      </c>
      <c r="AJ59">
        <f>IF(V59=1,0,IF(INDEX($B$35:$M$50,($Q$32-1-0)*$Q$33+X59+1,0*$Q$34+W59+1)="",0,IF(INDEX($B$35:$M$50,($Q$32-1-0)*$Q$33+X59+1,0*$Q$34+W59+1)&lt;0,ABS(INDEX($B$35:$M$50,($Q$32-1-0)*$Q$33+X59+1,0*$Q$34+W59+1))/$Q$48*$Q$42,0)))</f>
        <v>0</v>
      </c>
      <c r="AK59">
        <f>IF(V59=1,0,IF(INDEX($B$35:$M$50,($Q$32-1-1)*$Q$33+X59+1,0*$Q$34+W59+1)="",0,IF(INDEX($B$35:$M$50,($Q$32-1-1)*$Q$33+X59+1,0*$Q$34+W59+1)&gt;=0,ABS(INDEX($B$35:$M$50,($Q$32-1-1)*$Q$33+X59+1,0*$Q$34+W59+1))/$Q$48*$Q$42,0)))</f>
        <v>9.1102710065240292E-3</v>
      </c>
      <c r="AL59">
        <f>IF(V59=1,0,IF(INDEX($B$35:$M$50,($Q$32-1-1)*$Q$33+X59+1,0*$Q$34+W59+1)="",0,IF(INDEX($B$35:$M$50,($Q$32-1-1)*$Q$33+X59+1,0*$Q$34+W59+1)&lt;0,ABS(INDEX($B$35:$M$50,($Q$32-1-1)*$Q$33+X59+1,0*$Q$34+W59+1))/$Q$48*$Q$42,0)))</f>
        <v>0</v>
      </c>
      <c r="AM59">
        <f>IF(V59=1,0,IF(INDEX($B$35:$M$50,($Q$32-1-2)*$Q$33+X59+1,0*$Q$34+W59+1)="",0,IF(INDEX($B$35:$M$50,($Q$32-1-2)*$Q$33+X59+1,0*$Q$34+W59+1)&gt;=0,ABS(INDEX($B$35:$M$50,($Q$32-1-2)*$Q$33+X59+1,0*$Q$34+W59+1))/$Q$48*$Q$42,0)))</f>
        <v>0</v>
      </c>
      <c r="AN59">
        <f>IF(V59=1,0,IF(INDEX($B$35:$M$50,($Q$32-1-2)*$Q$33+X59+1,0*$Q$34+W59+1)="",0,IF(INDEX($B$35:$M$50,($Q$32-1-2)*$Q$33+X59+1,0*$Q$34+W59+1)&lt;0,ABS(INDEX($B$35:$M$50,($Q$32-1-2)*$Q$33+X59+1,0*$Q$34+W59+1))/$Q$48*$Q$42,0)))</f>
        <v>9.7479103881250834E-2</v>
      </c>
      <c r="AO59">
        <f>IF(V59=1,0,IF(INDEX($B$35:$M$50,($Q$32-1-3)*$Q$33+X59+1,0*$Q$34+W59+1)="",0,IF(INDEX($B$35:$M$50,($Q$32-1-3)*$Q$33+X59+1,0*$Q$34+W59+1)&gt;=0,ABS(INDEX($B$35:$M$50,($Q$32-1-3)*$Q$33+X59+1,0*$Q$34+W59+1))/$Q$48*$Q$42,0)))</f>
        <v>0</v>
      </c>
      <c r="AP59">
        <f>IF(V59=1,0,IF(INDEX($B$35:$M$50,($Q$32-1-3)*$Q$33+X59+1,0*$Q$34+W59+1)="",0,IF(INDEX($B$35:$M$50,($Q$32-1-3)*$Q$33+X59+1,0*$Q$34+W59+1)&lt;0,ABS(INDEX($B$35:$M$50,($Q$32-1-3)*$Q$33+X59+1,0*$Q$34+W59+1))/$Q$48*$Q$42,0)))</f>
        <v>0.13212015328943003</v>
      </c>
      <c r="AR59" t="str">
        <f>IF(V59=1,"",IF(INDEX($B$35:$M$50,($Q$32-1-0)*$Q$33+X59+1,0*$Q$34+W59+1)="","",IF(INDEX($B$35:$M$50,($Q$32-1-0)*$Q$33+X59+1,0*$Q$34+W59+1)&gt;=0,TEXT(INDEX($B$35:$M$50,($Q$32-1-0)*$Q$33+X59+1,0*$Q$34+W59+1),"+0;-0;0"),"")))</f>
        <v>+72</v>
      </c>
      <c r="AS59" t="str">
        <f>IF(V59=1,"",IF(INDEX($B$35:$M$50,($Q$32-1-0)*$Q$33+X59+1,0*$Q$34+W59+1)="","",IF(INDEX($B$35:$M$50,($Q$32-1-0)*$Q$33+X59+1,0*$Q$34+W59+1)&lt;0,TEXT(INDEX($B$35:$M$50,($Q$32-1-0)*$Q$33+X59+1,0*$Q$34+W59+1),"+0;-0;0"),"")))</f>
        <v/>
      </c>
      <c r="AT59" t="str">
        <f>IF(V59=1,"",IF(INDEX($B$35:$M$50,($Q$32-1-1)*$Q$33+X59+1,0*$Q$34+W59+1)="","",IF(INDEX($B$35:$M$50,($Q$32-1-1)*$Q$33+X59+1,0*$Q$34+W59+1)&gt;=0,TEXT(INDEX($B$35:$M$50,($Q$32-1-1)*$Q$33+X59+1,0*$Q$34+W59+1),"+0;-0;0"),"")))</f>
        <v>+4</v>
      </c>
      <c r="AU59" t="str">
        <f>IF(V59=1,"",IF(INDEX($B$35:$M$50,($Q$32-1-1)*$Q$33+X59+1,0*$Q$34+W59+1)="","",IF(INDEX($B$35:$M$50,($Q$32-1-1)*$Q$33+X59+1,0*$Q$34+W59+1)&lt;0,TEXT(INDEX($B$35:$M$50,($Q$32-1-1)*$Q$33+X59+1,0*$Q$34+W59+1),"+0;-0;0"),"")))</f>
        <v/>
      </c>
      <c r="AV59" t="str">
        <f>IF(V59=1,"",IF(INDEX($B$35:$M$50,($Q$32-1-2)*$Q$33+X59+1,0*$Q$34+W59+1)="","",IF(INDEX($B$35:$M$50,($Q$32-1-2)*$Q$33+X59+1,0*$Q$34+W59+1)&gt;=0,TEXT(INDEX($B$35:$M$50,($Q$32-1-2)*$Q$33+X59+1,0*$Q$34+W59+1),"+0;-0;0"),"")))</f>
        <v/>
      </c>
      <c r="AW59" t="str">
        <f>IF(V59=1,"",IF(INDEX($B$35:$M$50,($Q$32-1-2)*$Q$33+X59+1,0*$Q$34+W59+1)="","",IF(INDEX($B$35:$M$50,($Q$32-1-2)*$Q$33+X59+1,0*$Q$34+W59+1)&lt;0,TEXT(INDEX($B$35:$M$50,($Q$32-1-2)*$Q$33+X59+1,0*$Q$34+W59+1),"+0;-0;0"),"")))</f>
        <v>-42</v>
      </c>
      <c r="AX59" t="str">
        <f>IF(V59=1,"",IF(INDEX($B$35:$M$50,($Q$32-1-3)*$Q$33+X59+1,0*$Q$34+W59+1)="","",IF(INDEX($B$35:$M$50,($Q$32-1-3)*$Q$33+X59+1,0*$Q$34+W59+1)&gt;=0,TEXT(INDEX($B$35:$M$50,($Q$32-1-3)*$Q$33+X59+1,0*$Q$34+W59+1),"+0;-0;0"),"")))</f>
        <v/>
      </c>
      <c r="AY59" t="str">
        <f>IF(V59=1,"",IF(INDEX($B$35:$M$50,($Q$32-1-3)*$Q$33+X59+1,0*$Q$34+W59+1)="","",IF(INDEX($B$35:$M$50,($Q$32-1-3)*$Q$33+X59+1,0*$Q$34+W59+1)&lt;0,TEXT(INDEX($B$35:$M$50,($Q$32-1-3)*$Q$33+X59+1,0*$Q$34+W59+1),"+0;-0;0"),"")))</f>
        <v>-56</v>
      </c>
      <c r="BA59">
        <v>42</v>
      </c>
      <c r="BB59">
        <v>0</v>
      </c>
      <c r="BD59">
        <v>0.5</v>
      </c>
      <c r="BE59">
        <v>2.91</v>
      </c>
      <c r="BG59">
        <v>29.5</v>
      </c>
      <c r="BH59">
        <f>IF(OR($Q$46&gt;0,$Q$47&lt;0),NA(),0+$Q$49)</f>
        <v>0.23428571428571426</v>
      </c>
      <c r="BJ59">
        <v>30</v>
      </c>
      <c r="BK59">
        <f>2+$Q$42+0.03</f>
        <v>2.8499999999999996</v>
      </c>
      <c r="BL59" s="20" t="str">
        <f>'C13D'!$A$41</f>
        <v>2017</v>
      </c>
      <c r="BN59">
        <v>3.35</v>
      </c>
      <c r="BO59">
        <f>2+0*$Q$42</f>
        <v>2</v>
      </c>
      <c r="BP59" t="str">
        <f>TEXT($Q$46+($Q$47-$Q$46)*0,"#,##0")</f>
        <v>-100</v>
      </c>
    </row>
    <row r="60" spans="1:73" x14ac:dyDescent="0.35">
      <c r="P60">
        <v>8</v>
      </c>
      <c r="Q60">
        <f>P60-$Q$41</f>
        <v>5</v>
      </c>
      <c r="R60">
        <f>IF(Q60&lt;=0,-1,INT((Q60-1)/($Q$39+$Q$40)))</f>
        <v>0</v>
      </c>
      <c r="S60">
        <f>IF(Q60&lt;=0,-1,MOD(Q60-1,($Q$39+$Q$40)))</f>
        <v>4</v>
      </c>
      <c r="T60">
        <f>IF(OR(S60&lt;0,S60&gt;=$Q$39),-1,INT(S60/$Q$38))</f>
        <v>4</v>
      </c>
      <c r="U60">
        <f>IF(OR(S60&lt;0,S60&gt;=$Q$39),-1,MOD(S60,$Q$38))</f>
        <v>0</v>
      </c>
      <c r="V60">
        <f>IF(OR(Q60&lt;=0,S60&lt;0,S60&gt;=$Q$39,R60&gt;=$Q$36),1,0)</f>
        <v>0</v>
      </c>
      <c r="W60">
        <f>IF(V60=1,-1,T60)</f>
        <v>4</v>
      </c>
      <c r="X60">
        <f>IF(V60=1,-1,R60)</f>
        <v>0</v>
      </c>
      <c r="Y60" t="str">
        <f>IF(V60=1,"",IF(AND(MOD(W60,3)=0,U60=INT(($Q$38-1)/2)),INDEX($B$34:$M$34,W60+1),""))</f>
        <v/>
      </c>
      <c r="Z60">
        <f>IF(V60=1,NA(),IF(INDEX($B$35:$M$50,($Q$32-1-0)*$Q$33+X60+1,0*$Q$34+W60+1)="",NA(),IF(INDEX($B$35:$M$50,($Q$32-1-0)*$Q$33+X60+1,0*$Q$34+W60+1)&gt;=0,0+(INDEX($B$35:$M$50,($Q$32-1-0)*$Q$33+X60+1,0*$Q$34+W60+1)-$Q$46)/$Q$48*$Q$42,NA())))</f>
        <v>0.35603075544278762</v>
      </c>
      <c r="AA60" t="e">
        <f>IF(V60=1,NA(),IF(INDEX($B$35:$M$50,($Q$32-1-0)*$Q$33+X60+1,0*$Q$34+W60+1)="",NA(),IF(INDEX($B$35:$M$50,($Q$32-1-0)*$Q$33+X60+1,0*$Q$34+W60+1)&lt;0,0+(INDEX($B$35:$M$50,($Q$32-1-0)*$Q$33+X60+1,0*$Q$34+W60+1)-$Q$46)/$Q$48*$Q$42,NA())))</f>
        <v>#N/A</v>
      </c>
      <c r="AB60" t="e">
        <f>IF(V60=1,NA(),IF(INDEX($B$35:$M$50,($Q$32-1-1)*$Q$33+X60+1,0*$Q$34+W60+1)="",NA(),IF(INDEX($B$35:$M$50,($Q$32-1-1)*$Q$33+X60+1,0*$Q$34+W60+1)&gt;=0,1+(INDEX($B$35:$M$50,($Q$32-1-1)*$Q$33+X60+1,0*$Q$34+W60+1)-$Q$46)/$Q$48*$Q$42,NA())))</f>
        <v>#N/A</v>
      </c>
      <c r="AC60">
        <f>IF(V60=1,NA(),IF(INDEX($B$35:$M$50,($Q$32-1-1)*$Q$33+X60+1,0*$Q$34+W60+1)="",NA(),IF(INDEX($B$35:$M$50,($Q$32-1-1)*$Q$33+X60+1,0*$Q$34+W60+1)&lt;0,1+(INDEX($B$35:$M$50,($Q$32-1-1)*$Q$33+X60+1,0*$Q$34+W60+1)-$Q$46)/$Q$48*$Q$42,NA())))</f>
        <v>1.2193740668573867</v>
      </c>
      <c r="AD60" t="e">
        <f>IF(V60=1,NA(),IF(INDEX($B$35:$M$50,($Q$32-1-2)*$Q$33+X60+1,0*$Q$34+W60+1)="",NA(),IF(INDEX($B$35:$M$50,($Q$32-1-2)*$Q$33+X60+1,0*$Q$34+W60+1)&gt;=0,2+(INDEX($B$35:$M$50,($Q$32-1-2)*$Q$33+X60+1,0*$Q$34+W60+1)-$Q$46)/$Q$48*$Q$42,NA())))</f>
        <v>#N/A</v>
      </c>
      <c r="AE60">
        <f>IF(V60=1,NA(),IF(INDEX($B$35:$M$50,($Q$32-1-2)*$Q$33+X60+1,0*$Q$34+W60+1)="",NA(),IF(INDEX($B$35:$M$50,($Q$32-1-2)*$Q$33+X60+1,0*$Q$34+W60+1)&lt;0,2+(INDEX($B$35:$M$50,($Q$32-1-2)*$Q$33+X60+1,0*$Q$34+W60+1)-$Q$46)/$Q$48*$Q$42,NA())))</f>
        <v>2.1302881095610737</v>
      </c>
      <c r="AF60" t="e">
        <f>IF(V60=1,NA(),IF(INDEX($B$35:$M$50,($Q$32-1-3)*$Q$33+X60+1,0*$Q$34+W60+1)="",NA(),IF(INDEX($B$35:$M$50,($Q$32-1-3)*$Q$33+X60+1,0*$Q$34+W60+1)&gt;=0,3+(INDEX($B$35:$M$50,($Q$32-1-3)*$Q$33+X60+1,0*$Q$34+W60+1)-$Q$46)/$Q$48*$Q$42,NA())))</f>
        <v>#N/A</v>
      </c>
      <c r="AG60">
        <f>IF(V60=1,NA(),IF(INDEX($B$35:$M$50,($Q$32-1-3)*$Q$33+X60+1,0*$Q$34+W60+1)="",NA(),IF(INDEX($B$35:$M$50,($Q$32-1-3)*$Q$33+X60+1,0*$Q$34+W60+1)&lt;0,3+(INDEX($B$35:$M$50,($Q$32-1-3)*$Q$33+X60+1,0*$Q$34+W60+1)-$Q$46)/$Q$48*$Q$42,NA())))</f>
        <v>3.093477228473501</v>
      </c>
      <c r="AI60">
        <f>IF(V60=1,0,IF(INDEX($B$35:$M$50,($Q$32-1-0)*$Q$33+X60+1,0*$Q$34+W60+1)="",0,IF(INDEX($B$35:$M$50,($Q$32-1-0)*$Q$33+X60+1,0*$Q$34+W60+1)&gt;=0,ABS(INDEX($B$35:$M$50,($Q$32-1-0)*$Q$33+X60+1,0*$Q$34+W60+1))/$Q$48*$Q$42,0)))</f>
        <v>0.12174504115707335</v>
      </c>
      <c r="AJ60">
        <f>IF(V60=1,0,IF(INDEX($B$35:$M$50,($Q$32-1-0)*$Q$33+X60+1,0*$Q$34+W60+1)="",0,IF(INDEX($B$35:$M$50,($Q$32-1-0)*$Q$33+X60+1,0*$Q$34+W60+1)&lt;0,ABS(INDEX($B$35:$M$50,($Q$32-1-0)*$Q$33+X60+1,0*$Q$34+W60+1))/$Q$48*$Q$42,0)))</f>
        <v>0</v>
      </c>
      <c r="AK60">
        <f>IF(V60=1,0,IF(INDEX($B$35:$M$50,($Q$32-1-1)*$Q$33+X60+1,0*$Q$34+W60+1)="",0,IF(INDEX($B$35:$M$50,($Q$32-1-1)*$Q$33+X60+1,0*$Q$34+W60+1)&gt;=0,ABS(INDEX($B$35:$M$50,($Q$32-1-1)*$Q$33+X60+1,0*$Q$34+W60+1))/$Q$48*$Q$42,0)))</f>
        <v>0</v>
      </c>
      <c r="AL60">
        <f>IF(V60=1,0,IF(INDEX($B$35:$M$50,($Q$32-1-1)*$Q$33+X60+1,0*$Q$34+W60+1)="",0,IF(INDEX($B$35:$M$50,($Q$32-1-1)*$Q$33+X60+1,0*$Q$34+W60+1)&lt;0,ABS(INDEX($B$35:$M$50,($Q$32-1-1)*$Q$33+X60+1,0*$Q$34+W60+1))/$Q$48*$Q$42,0)))</f>
        <v>1.4911647428327651E-2</v>
      </c>
      <c r="AM60">
        <f>IF(V60=1,0,IF(INDEX($B$35:$M$50,($Q$32-1-2)*$Q$33+X60+1,0*$Q$34+W60+1)="",0,IF(INDEX($B$35:$M$50,($Q$32-1-2)*$Q$33+X60+1,0*$Q$34+W60+1)&gt;=0,ABS(INDEX($B$35:$M$50,($Q$32-1-2)*$Q$33+X60+1,0*$Q$34+W60+1))/$Q$48*$Q$42,0)))</f>
        <v>0</v>
      </c>
      <c r="AN60">
        <f>IF(V60=1,0,IF(INDEX($B$35:$M$50,($Q$32-1-2)*$Q$33+X60+1,0*$Q$34+W60+1)="",0,IF(INDEX($B$35:$M$50,($Q$32-1-2)*$Q$33+X60+1,0*$Q$34+W60+1)&lt;0,ABS(INDEX($B$35:$M$50,($Q$32-1-2)*$Q$33+X60+1,0*$Q$34+W60+1))/$Q$48*$Q$42,0)))</f>
        <v>0.10399760472464047</v>
      </c>
      <c r="AO60">
        <f>IF(V60=1,0,IF(INDEX($B$35:$M$50,($Q$32-1-3)*$Q$33+X60+1,0*$Q$34+W60+1)="",0,IF(INDEX($B$35:$M$50,($Q$32-1-3)*$Q$33+X60+1,0*$Q$34+W60+1)&gt;=0,ABS(INDEX($B$35:$M$50,($Q$32-1-3)*$Q$33+X60+1,0*$Q$34+W60+1))/$Q$48*$Q$42,0)))</f>
        <v>0</v>
      </c>
      <c r="AP60">
        <f>IF(V60=1,0,IF(INDEX($B$35:$M$50,($Q$32-1-3)*$Q$33+X60+1,0*$Q$34+W60+1)="",0,IF(INDEX($B$35:$M$50,($Q$32-1-3)*$Q$33+X60+1,0*$Q$34+W60+1)&lt;0,ABS(INDEX($B$35:$M$50,($Q$32-1-3)*$Q$33+X60+1,0*$Q$34+W60+1))/$Q$48*$Q$42,0)))</f>
        <v>0.14080848581221336</v>
      </c>
      <c r="AR60" t="str">
        <f>IF(V60=1,"",IF(INDEX($B$35:$M$50,($Q$32-1-0)*$Q$33+X60+1,0*$Q$34+W60+1)="","",IF(INDEX($B$35:$M$50,($Q$32-1-0)*$Q$33+X60+1,0*$Q$34+W60+1)&gt;=0,TEXT(INDEX($B$35:$M$50,($Q$32-1-0)*$Q$33+X60+1,0*$Q$34+W60+1),"+0;-0;0"),"")))</f>
        <v>+52</v>
      </c>
      <c r="AS60" t="str">
        <f>IF(V60=1,"",IF(INDEX($B$35:$M$50,($Q$32-1-0)*$Q$33+X60+1,0*$Q$34+W60+1)="","",IF(INDEX($B$35:$M$50,($Q$32-1-0)*$Q$33+X60+1,0*$Q$34+W60+1)&lt;0,TEXT(INDEX($B$35:$M$50,($Q$32-1-0)*$Q$33+X60+1,0*$Q$34+W60+1),"+0;-0;0"),"")))</f>
        <v/>
      </c>
      <c r="AT60" t="str">
        <f>IF(V60=1,"",IF(INDEX($B$35:$M$50,($Q$32-1-1)*$Q$33+X60+1,0*$Q$34+W60+1)="","",IF(INDEX($B$35:$M$50,($Q$32-1-1)*$Q$33+X60+1,0*$Q$34+W60+1)&gt;=0,TEXT(INDEX($B$35:$M$50,($Q$32-1-1)*$Q$33+X60+1,0*$Q$34+W60+1),"+0;-0;0"),"")))</f>
        <v/>
      </c>
      <c r="AU60" t="str">
        <f>IF(V60=1,"",IF(INDEX($B$35:$M$50,($Q$32-1-1)*$Q$33+X60+1,0*$Q$34+W60+1)="","",IF(INDEX($B$35:$M$50,($Q$32-1-1)*$Q$33+X60+1,0*$Q$34+W60+1)&lt;0,TEXT(INDEX($B$35:$M$50,($Q$32-1-1)*$Q$33+X60+1,0*$Q$34+W60+1),"+0;-0;0"),"")))</f>
        <v>-6</v>
      </c>
      <c r="AV60" t="str">
        <f>IF(V60=1,"",IF(INDEX($B$35:$M$50,($Q$32-1-2)*$Q$33+X60+1,0*$Q$34+W60+1)="","",IF(INDEX($B$35:$M$50,($Q$32-1-2)*$Q$33+X60+1,0*$Q$34+W60+1)&gt;=0,TEXT(INDEX($B$35:$M$50,($Q$32-1-2)*$Q$33+X60+1,0*$Q$34+W60+1),"+0;-0;0"),"")))</f>
        <v/>
      </c>
      <c r="AW60" t="str">
        <f>IF(V60=1,"",IF(INDEX($B$35:$M$50,($Q$32-1-2)*$Q$33+X60+1,0*$Q$34+W60+1)="","",IF(INDEX($B$35:$M$50,($Q$32-1-2)*$Q$33+X60+1,0*$Q$34+W60+1)&lt;0,TEXT(INDEX($B$35:$M$50,($Q$32-1-2)*$Q$33+X60+1,0*$Q$34+W60+1),"+0;-0;0"),"")))</f>
        <v>-44</v>
      </c>
      <c r="AX60" t="str">
        <f>IF(V60=1,"",IF(INDEX($B$35:$M$50,($Q$32-1-3)*$Q$33+X60+1,0*$Q$34+W60+1)="","",IF(INDEX($B$35:$M$50,($Q$32-1-3)*$Q$33+X60+1,0*$Q$34+W60+1)&gt;=0,TEXT(INDEX($B$35:$M$50,($Q$32-1-3)*$Q$33+X60+1,0*$Q$34+W60+1),"+0;-0;0"),"")))</f>
        <v/>
      </c>
      <c r="AY60" t="str">
        <f>IF(V60=1,"",IF(INDEX($B$35:$M$50,($Q$32-1-3)*$Q$33+X60+1,0*$Q$34+W60+1)="","",IF(INDEX($B$35:$M$50,($Q$32-1-3)*$Q$33+X60+1,0*$Q$34+W60+1)&lt;0,TEXT(INDEX($B$35:$M$50,($Q$32-1-3)*$Q$33+X60+1,0*$Q$34+W60+1),"+0;-0;0"),"")))</f>
        <v>-60</v>
      </c>
      <c r="BA60">
        <v>42</v>
      </c>
      <c r="BB60">
        <v>4</v>
      </c>
      <c r="BD60">
        <v>54.5</v>
      </c>
      <c r="BE60">
        <v>2.91</v>
      </c>
      <c r="BG60">
        <v>41.5</v>
      </c>
      <c r="BH60">
        <f>IF(OR($Q$46&gt;0,$Q$47&lt;0),NA(),0+$Q$49)</f>
        <v>0.23428571428571426</v>
      </c>
      <c r="BJ60">
        <v>43</v>
      </c>
      <c r="BK60">
        <f>2+$Q$42+0.03</f>
        <v>2.8499999999999996</v>
      </c>
      <c r="BL60" s="20" t="str">
        <f>'C13D'!$A$42</f>
        <v>2018</v>
      </c>
      <c r="BN60">
        <v>3.35</v>
      </c>
      <c r="BO60">
        <f>2+0.5*$Q$42</f>
        <v>2.41</v>
      </c>
      <c r="BP60" t="str">
        <f>TEXT($Q$46+($Q$47-$Q$46)*0.5,"#,##0")</f>
        <v>75</v>
      </c>
    </row>
    <row r="61" spans="1:73" x14ac:dyDescent="0.35">
      <c r="P61">
        <v>9</v>
      </c>
      <c r="Q61">
        <f>P61-$Q$41</f>
        <v>6</v>
      </c>
      <c r="R61">
        <f>IF(Q61&lt;=0,-1,INT((Q61-1)/($Q$39+$Q$40)))</f>
        <v>0</v>
      </c>
      <c r="S61">
        <f>IF(Q61&lt;=0,-1,MOD(Q61-1,($Q$39+$Q$40)))</f>
        <v>5</v>
      </c>
      <c r="T61">
        <f>IF(OR(S61&lt;0,S61&gt;=$Q$39),-1,INT(S61/$Q$38))</f>
        <v>5</v>
      </c>
      <c r="U61">
        <f>IF(OR(S61&lt;0,S61&gt;=$Q$39),-1,MOD(S61,$Q$38))</f>
        <v>0</v>
      </c>
      <c r="V61">
        <f>IF(OR(Q61&lt;=0,S61&lt;0,S61&gt;=$Q$39,R61&gt;=$Q$36),1,0)</f>
        <v>0</v>
      </c>
      <c r="W61">
        <f>IF(V61=1,-1,T61)</f>
        <v>5</v>
      </c>
      <c r="X61">
        <f>IF(V61=1,-1,R61)</f>
        <v>0</v>
      </c>
      <c r="Y61" t="str">
        <f>IF(V61=1,"",IF(AND(MOD(W61,3)=0,U61=INT(($Q$38-1)/2)),INDEX($B$34:$M$34,W61+1),""))</f>
        <v/>
      </c>
      <c r="Z61">
        <f>IF(V61=1,NA(),IF(INDEX($B$35:$M$50,($Q$32-1-0)*$Q$33+X61+1,0*$Q$34+W61+1)="",NA(),IF(INDEX($B$35:$M$50,($Q$32-1-0)*$Q$33+X61+1,0*$Q$34+W61+1)&gt;=0,0+(INDEX($B$35:$M$50,($Q$32-1-0)*$Q$33+X61+1,0*$Q$34+W61+1)-$Q$46)/$Q$48*$Q$42,NA())))</f>
        <v>0.35123832174155611</v>
      </c>
      <c r="AA61" t="e">
        <f>IF(V61=1,NA(),IF(INDEX($B$35:$M$50,($Q$32-1-0)*$Q$33+X61+1,0*$Q$34+W61+1)="",NA(),IF(INDEX($B$35:$M$50,($Q$32-1-0)*$Q$33+X61+1,0*$Q$34+W61+1)&lt;0,0+(INDEX($B$35:$M$50,($Q$32-1-0)*$Q$33+X61+1,0*$Q$34+W61+1)-$Q$46)/$Q$48*$Q$42,NA())))</f>
        <v>#N/A</v>
      </c>
      <c r="AB61" t="e">
        <f>IF(V61=1,NA(),IF(INDEX($B$35:$M$50,($Q$32-1-1)*$Q$33+X61+1,0*$Q$34+W61+1)="",NA(),IF(INDEX($B$35:$M$50,($Q$32-1-1)*$Q$33+X61+1,0*$Q$34+W61+1)&gt;=0,1+(INDEX($B$35:$M$50,($Q$32-1-1)*$Q$33+X61+1,0*$Q$34+W61+1)-$Q$46)/$Q$48*$Q$42,NA())))</f>
        <v>#N/A</v>
      </c>
      <c r="AC61">
        <f>IF(V61=1,NA(),IF(INDEX($B$35:$M$50,($Q$32-1-1)*$Q$33+X61+1,0*$Q$34+W61+1)="",NA(),IF(INDEX($B$35:$M$50,($Q$32-1-1)*$Q$33+X61+1,0*$Q$34+W61+1)&lt;0,1+(INDEX($B$35:$M$50,($Q$32-1-1)*$Q$33+X61+1,0*$Q$34+W61+1)-$Q$46)/$Q$48*$Q$42,NA())))</f>
        <v>1.2271613784277928</v>
      </c>
      <c r="AD61" t="e">
        <f>IF(V61=1,NA(),IF(INDEX($B$35:$M$50,($Q$32-1-2)*$Q$33+X61+1,0*$Q$34+W61+1)="",NA(),IF(INDEX($B$35:$M$50,($Q$32-1-2)*$Q$33+X61+1,0*$Q$34+W61+1)&gt;=0,2+(INDEX($B$35:$M$50,($Q$32-1-2)*$Q$33+X61+1,0*$Q$34+W61+1)-$Q$46)/$Q$48*$Q$42,NA())))</f>
        <v>#N/A</v>
      </c>
      <c r="AE61">
        <f>IF(V61=1,NA(),IF(INDEX($B$35:$M$50,($Q$32-1-2)*$Q$33+X61+1,0*$Q$34+W61+1)="",NA(),IF(INDEX($B$35:$M$50,($Q$32-1-2)*$Q$33+X61+1,0*$Q$34+W61+1)&lt;0,2+(INDEX($B$35:$M$50,($Q$32-1-2)*$Q$33+X61+1,0*$Q$34+W61+1)-$Q$46)/$Q$48*$Q$42,NA())))</f>
        <v>2.1302478626490067</v>
      </c>
      <c r="AF61" t="e">
        <f>IF(V61=1,NA(),IF(INDEX($B$35:$M$50,($Q$32-1-3)*$Q$33+X61+1,0*$Q$34+W61+1)="",NA(),IF(INDEX($B$35:$M$50,($Q$32-1-3)*$Q$33+X61+1,0*$Q$34+W61+1)&gt;=0,3+(INDEX($B$35:$M$50,($Q$32-1-3)*$Q$33+X61+1,0*$Q$34+W61+1)-$Q$46)/$Q$48*$Q$42,NA())))</f>
        <v>#N/A</v>
      </c>
      <c r="AG61">
        <f>IF(V61=1,NA(),IF(INDEX($B$35:$M$50,($Q$32-1-3)*$Q$33+X61+1,0*$Q$34+W61+1)="",NA(),IF(INDEX($B$35:$M$50,($Q$32-1-3)*$Q$33+X61+1,0*$Q$34+W61+1)&lt;0,3+(INDEX($B$35:$M$50,($Q$32-1-3)*$Q$33+X61+1,0*$Q$34+W61+1)-$Q$46)/$Q$48*$Q$42,NA())))</f>
        <v>3.0944744172273069</v>
      </c>
      <c r="AI61">
        <f>IF(V61=1,0,IF(INDEX($B$35:$M$50,($Q$32-1-0)*$Q$33+X61+1,0*$Q$34+W61+1)="",0,IF(INDEX($B$35:$M$50,($Q$32-1-0)*$Q$33+X61+1,0*$Q$34+W61+1)&gt;=0,ABS(INDEX($B$35:$M$50,($Q$32-1-0)*$Q$33+X61+1,0*$Q$34+W61+1))/$Q$48*$Q$42,0)))</f>
        <v>0.11695260745584185</v>
      </c>
      <c r="AJ61">
        <f>IF(V61=1,0,IF(INDEX($B$35:$M$50,($Q$32-1-0)*$Q$33+X61+1,0*$Q$34+W61+1)="",0,IF(INDEX($B$35:$M$50,($Q$32-1-0)*$Q$33+X61+1,0*$Q$34+W61+1)&lt;0,ABS(INDEX($B$35:$M$50,($Q$32-1-0)*$Q$33+X61+1,0*$Q$34+W61+1))/$Q$48*$Q$42,0)))</f>
        <v>0</v>
      </c>
      <c r="AK61">
        <f>IF(V61=1,0,IF(INDEX($B$35:$M$50,($Q$32-1-1)*$Q$33+X61+1,0*$Q$34+W61+1)="",0,IF(INDEX($B$35:$M$50,($Q$32-1-1)*$Q$33+X61+1,0*$Q$34+W61+1)&gt;=0,ABS(INDEX($B$35:$M$50,($Q$32-1-1)*$Q$33+X61+1,0*$Q$34+W61+1))/$Q$48*$Q$42,0)))</f>
        <v>0</v>
      </c>
      <c r="AL61">
        <f>IF(V61=1,0,IF(INDEX($B$35:$M$50,($Q$32-1-1)*$Q$33+X61+1,0*$Q$34+W61+1)="",0,IF(INDEX($B$35:$M$50,($Q$32-1-1)*$Q$33+X61+1,0*$Q$34+W61+1)&lt;0,ABS(INDEX($B$35:$M$50,($Q$32-1-1)*$Q$33+X61+1,0*$Q$34+W61+1))/$Q$48*$Q$42,0)))</f>
        <v>7.1243358579214716E-3</v>
      </c>
      <c r="AM61">
        <f>IF(V61=1,0,IF(INDEX($B$35:$M$50,($Q$32-1-2)*$Q$33+X61+1,0*$Q$34+W61+1)="",0,IF(INDEX($B$35:$M$50,($Q$32-1-2)*$Q$33+X61+1,0*$Q$34+W61+1)&gt;=0,ABS(INDEX($B$35:$M$50,($Q$32-1-2)*$Q$33+X61+1,0*$Q$34+W61+1))/$Q$48*$Q$42,0)))</f>
        <v>0</v>
      </c>
      <c r="AN61">
        <f>IF(V61=1,0,IF(INDEX($B$35:$M$50,($Q$32-1-2)*$Q$33+X61+1,0*$Q$34+W61+1)="",0,IF(INDEX($B$35:$M$50,($Q$32-1-2)*$Q$33+X61+1,0*$Q$34+W61+1)&lt;0,ABS(INDEX($B$35:$M$50,($Q$32-1-2)*$Q$33+X61+1,0*$Q$34+W61+1))/$Q$48*$Q$42,0)))</f>
        <v>0.10403785163670781</v>
      </c>
      <c r="AO61">
        <f>IF(V61=1,0,IF(INDEX($B$35:$M$50,($Q$32-1-3)*$Q$33+X61+1,0*$Q$34+W61+1)="",0,IF(INDEX($B$35:$M$50,($Q$32-1-3)*$Q$33+X61+1,0*$Q$34+W61+1)&gt;=0,ABS(INDEX($B$35:$M$50,($Q$32-1-3)*$Q$33+X61+1,0*$Q$34+W61+1))/$Q$48*$Q$42,0)))</f>
        <v>0</v>
      </c>
      <c r="AP61">
        <f>IF(V61=1,0,IF(INDEX($B$35:$M$50,($Q$32-1-3)*$Q$33+X61+1,0*$Q$34+W61+1)="",0,IF(INDEX($B$35:$M$50,($Q$32-1-3)*$Q$33+X61+1,0*$Q$34+W61+1)&lt;0,ABS(INDEX($B$35:$M$50,($Q$32-1-3)*$Q$33+X61+1,0*$Q$34+W61+1))/$Q$48*$Q$42,0)))</f>
        <v>0.13981129705840745</v>
      </c>
      <c r="AR61" t="str">
        <f>IF(V61=1,"",IF(INDEX($B$35:$M$50,($Q$32-1-0)*$Q$33+X61+1,0*$Q$34+W61+1)="","",IF(INDEX($B$35:$M$50,($Q$32-1-0)*$Q$33+X61+1,0*$Q$34+W61+1)&gt;=0,TEXT(INDEX($B$35:$M$50,($Q$32-1-0)*$Q$33+X61+1,0*$Q$34+W61+1),"+0;-0;0"),"")))</f>
        <v>+50</v>
      </c>
      <c r="AS61" t="str">
        <f>IF(V61=1,"",IF(INDEX($B$35:$M$50,($Q$32-1-0)*$Q$33+X61+1,0*$Q$34+W61+1)="","",IF(INDEX($B$35:$M$50,($Q$32-1-0)*$Q$33+X61+1,0*$Q$34+W61+1)&lt;0,TEXT(INDEX($B$35:$M$50,($Q$32-1-0)*$Q$33+X61+1,0*$Q$34+W61+1),"+0;-0;0"),"")))</f>
        <v/>
      </c>
      <c r="AT61" t="str">
        <f>IF(V61=1,"",IF(INDEX($B$35:$M$50,($Q$32-1-1)*$Q$33+X61+1,0*$Q$34+W61+1)="","",IF(INDEX($B$35:$M$50,($Q$32-1-1)*$Q$33+X61+1,0*$Q$34+W61+1)&gt;=0,TEXT(INDEX($B$35:$M$50,($Q$32-1-1)*$Q$33+X61+1,0*$Q$34+W61+1),"+0;-0;0"),"")))</f>
        <v/>
      </c>
      <c r="AU61" t="str">
        <f>IF(V61=1,"",IF(INDEX($B$35:$M$50,($Q$32-1-1)*$Q$33+X61+1,0*$Q$34+W61+1)="","",IF(INDEX($B$35:$M$50,($Q$32-1-1)*$Q$33+X61+1,0*$Q$34+W61+1)&lt;0,TEXT(INDEX($B$35:$M$50,($Q$32-1-1)*$Q$33+X61+1,0*$Q$34+W61+1),"+0;-0;0"),"")))</f>
        <v>-3</v>
      </c>
      <c r="AV61" t="str">
        <f>IF(V61=1,"",IF(INDEX($B$35:$M$50,($Q$32-1-2)*$Q$33+X61+1,0*$Q$34+W61+1)="","",IF(INDEX($B$35:$M$50,($Q$32-1-2)*$Q$33+X61+1,0*$Q$34+W61+1)&gt;=0,TEXT(INDEX($B$35:$M$50,($Q$32-1-2)*$Q$33+X61+1,0*$Q$34+W61+1),"+0;-0;0"),"")))</f>
        <v/>
      </c>
      <c r="AW61" t="str">
        <f>IF(V61=1,"",IF(INDEX($B$35:$M$50,($Q$32-1-2)*$Q$33+X61+1,0*$Q$34+W61+1)="","",IF(INDEX($B$35:$M$50,($Q$32-1-2)*$Q$33+X61+1,0*$Q$34+W61+1)&lt;0,TEXT(INDEX($B$35:$M$50,($Q$32-1-2)*$Q$33+X61+1,0*$Q$34+W61+1),"+0;-0;0"),"")))</f>
        <v>-44</v>
      </c>
      <c r="AX61" t="str">
        <f>IF(V61=1,"",IF(INDEX($B$35:$M$50,($Q$32-1-3)*$Q$33+X61+1,0*$Q$34+W61+1)="","",IF(INDEX($B$35:$M$50,($Q$32-1-3)*$Q$33+X61+1,0*$Q$34+W61+1)&gt;=0,TEXT(INDEX($B$35:$M$50,($Q$32-1-3)*$Q$33+X61+1,0*$Q$34+W61+1),"+0;-0;0"),"")))</f>
        <v/>
      </c>
      <c r="AY61" t="str">
        <f>IF(V61=1,"",IF(INDEX($B$35:$M$50,($Q$32-1-3)*$Q$33+X61+1,0*$Q$34+W61+1)="","",IF(INDEX($B$35:$M$50,($Q$32-1-3)*$Q$33+X61+1,0*$Q$34+W61+1)&lt;0,TEXT(INDEX($B$35:$M$50,($Q$32-1-3)*$Q$33+X61+1,0*$Q$34+W61+1),"+0;-0;0"),"")))</f>
        <v>-60</v>
      </c>
      <c r="BA61">
        <v>42</v>
      </c>
      <c r="BB61" t="e">
        <f>NA()</f>
        <v>#N/A</v>
      </c>
      <c r="BD61">
        <v>54.5</v>
      </c>
      <c r="BE61" t="e">
        <f>NA()</f>
        <v>#N/A</v>
      </c>
      <c r="BG61">
        <v>41.5</v>
      </c>
      <c r="BH61" t="e">
        <f>NA()</f>
        <v>#N/A</v>
      </c>
      <c r="BJ61">
        <v>4</v>
      </c>
      <c r="BK61">
        <f>1+$Q$42+0.03</f>
        <v>1.8499999999999999</v>
      </c>
      <c r="BL61" s="20" t="str">
        <f>'C13D'!$A$43</f>
        <v>2019</v>
      </c>
      <c r="BN61">
        <v>3.35</v>
      </c>
      <c r="BO61">
        <f>2+1*$Q$42</f>
        <v>2.82</v>
      </c>
      <c r="BP61" t="str">
        <f>TEXT($Q$46+($Q$47-$Q$46)*1,"#,##0")</f>
        <v>250</v>
      </c>
    </row>
    <row r="62" spans="1:73" x14ac:dyDescent="0.35">
      <c r="P62">
        <v>10</v>
      </c>
      <c r="Q62">
        <f>P62-$Q$41</f>
        <v>7</v>
      </c>
      <c r="R62">
        <f>IF(Q62&lt;=0,-1,INT((Q62-1)/($Q$39+$Q$40)))</f>
        <v>0</v>
      </c>
      <c r="S62">
        <f>IF(Q62&lt;=0,-1,MOD(Q62-1,($Q$39+$Q$40)))</f>
        <v>6</v>
      </c>
      <c r="T62">
        <f>IF(OR(S62&lt;0,S62&gt;=$Q$39),-1,INT(S62/$Q$38))</f>
        <v>6</v>
      </c>
      <c r="U62">
        <f>IF(OR(S62&lt;0,S62&gt;=$Q$39),-1,MOD(S62,$Q$38))</f>
        <v>0</v>
      </c>
      <c r="V62">
        <f>IF(OR(Q62&lt;=0,S62&lt;0,S62&gt;=$Q$39,R62&gt;=$Q$36),1,0)</f>
        <v>0</v>
      </c>
      <c r="W62">
        <f>IF(V62=1,-1,T62)</f>
        <v>6</v>
      </c>
      <c r="X62">
        <f>IF(V62=1,-1,R62)</f>
        <v>0</v>
      </c>
      <c r="Y62" t="str">
        <f>IF(V62=1,"",IF(AND(MOD(W62,3)=0,U62=INT(($Q$38-1)/2)),INDEX($B$34:$M$34,W62+1),""))</f>
        <v>Jul</v>
      </c>
      <c r="Z62">
        <f>IF(V62=1,NA(),IF(INDEX($B$35:$M$50,($Q$32-1-0)*$Q$33+X62+1,0*$Q$34+W62+1)="",NA(),IF(INDEX($B$35:$M$50,($Q$32-1-0)*$Q$33+X62+1,0*$Q$34+W62+1)&gt;=0,0+(INDEX($B$35:$M$50,($Q$32-1-0)*$Q$33+X62+1,0*$Q$34+W62+1)-$Q$46)/$Q$48*$Q$42,NA())))</f>
        <v>0.38999701871972264</v>
      </c>
      <c r="AA62" t="e">
        <f>IF(V62=1,NA(),IF(INDEX($B$35:$M$50,($Q$32-1-0)*$Q$33+X62+1,0*$Q$34+W62+1)="",NA(),IF(INDEX($B$35:$M$50,($Q$32-1-0)*$Q$33+X62+1,0*$Q$34+W62+1)&lt;0,0+(INDEX($B$35:$M$50,($Q$32-1-0)*$Q$33+X62+1,0*$Q$34+W62+1)-$Q$46)/$Q$48*$Q$42,NA())))</f>
        <v>#N/A</v>
      </c>
      <c r="AB62">
        <f>IF(V62=1,NA(),IF(INDEX($B$35:$M$50,($Q$32-1-1)*$Q$33+X62+1,0*$Q$34+W62+1)="",NA(),IF(INDEX($B$35:$M$50,($Q$32-1-1)*$Q$33+X62+1,0*$Q$34+W62+1)&gt;=0,1+(INDEX($B$35:$M$50,($Q$32-1-1)*$Q$33+X62+1,0*$Q$34+W62+1)-$Q$46)/$Q$48*$Q$42,NA())))</f>
        <v>1.2408995953291677</v>
      </c>
      <c r="AC62" t="e">
        <f>IF(V62=1,NA(),IF(INDEX($B$35:$M$50,($Q$32-1-1)*$Q$33+X62+1,0*$Q$34+W62+1)="",NA(),IF(INDEX($B$35:$M$50,($Q$32-1-1)*$Q$33+X62+1,0*$Q$34+W62+1)&lt;0,1+(INDEX($B$35:$M$50,($Q$32-1-1)*$Q$33+X62+1,0*$Q$34+W62+1)-$Q$46)/$Q$48*$Q$42,NA())))</f>
        <v>#N/A</v>
      </c>
      <c r="AD62" t="e">
        <f>IF(V62=1,NA(),IF(INDEX($B$35:$M$50,($Q$32-1-2)*$Q$33+X62+1,0*$Q$34+W62+1)="",NA(),IF(INDEX($B$35:$M$50,($Q$32-1-2)*$Q$33+X62+1,0*$Q$34+W62+1)&gt;=0,2+(INDEX($B$35:$M$50,($Q$32-1-2)*$Q$33+X62+1,0*$Q$34+W62+1)-$Q$46)/$Q$48*$Q$42,NA())))</f>
        <v>#N/A</v>
      </c>
      <c r="AE62">
        <f>IF(V62=1,NA(),IF(INDEX($B$35:$M$50,($Q$32-1-2)*$Q$33+X62+1,0*$Q$34+W62+1)="",NA(),IF(INDEX($B$35:$M$50,($Q$32-1-2)*$Q$33+X62+1,0*$Q$34+W62+1)&lt;0,2+(INDEX($B$35:$M$50,($Q$32-1-2)*$Q$33+X62+1,0*$Q$34+W62+1)-$Q$46)/$Q$48*$Q$42,NA())))</f>
        <v>2.1318341321157419</v>
      </c>
      <c r="AF62" t="e">
        <f>IF(V62=1,NA(),IF(INDEX($B$35:$M$50,($Q$32-1-3)*$Q$33+X62+1,0*$Q$34+W62+1)="",NA(),IF(INDEX($B$35:$M$50,($Q$32-1-3)*$Q$33+X62+1,0*$Q$34+W62+1)&gt;=0,3+(INDEX($B$35:$M$50,($Q$32-1-3)*$Q$33+X62+1,0*$Q$34+W62+1)-$Q$46)/$Q$48*$Q$42,NA())))</f>
        <v>#N/A</v>
      </c>
      <c r="AG62">
        <f>IF(V62=1,NA(),IF(INDEX($B$35:$M$50,($Q$32-1-3)*$Q$33+X62+1,0*$Q$34+W62+1)="",NA(),IF(INDEX($B$35:$M$50,($Q$32-1-3)*$Q$33+X62+1,0*$Q$34+W62+1)&lt;0,3+(INDEX($B$35:$M$50,($Q$32-1-3)*$Q$33+X62+1,0*$Q$34+W62+1)-$Q$46)/$Q$48*$Q$42,NA())))</f>
        <v>3.0980547079584198</v>
      </c>
      <c r="AI62">
        <f>IF(V62=1,0,IF(INDEX($B$35:$M$50,($Q$32-1-0)*$Q$33+X62+1,0*$Q$34+W62+1)="",0,IF(INDEX($B$35:$M$50,($Q$32-1-0)*$Q$33+X62+1,0*$Q$34+W62+1)&gt;=0,ABS(INDEX($B$35:$M$50,($Q$32-1-0)*$Q$33+X62+1,0*$Q$34+W62+1))/$Q$48*$Q$42,0)))</f>
        <v>0.15571130443400832</v>
      </c>
      <c r="AJ62">
        <f>IF(V62=1,0,IF(INDEX($B$35:$M$50,($Q$32-1-0)*$Q$33+X62+1,0*$Q$34+W62+1)="",0,IF(INDEX($B$35:$M$50,($Q$32-1-0)*$Q$33+X62+1,0*$Q$34+W62+1)&lt;0,ABS(INDEX($B$35:$M$50,($Q$32-1-0)*$Q$33+X62+1,0*$Q$34+W62+1))/$Q$48*$Q$42,0)))</f>
        <v>0</v>
      </c>
      <c r="AK62">
        <f>IF(V62=1,0,IF(INDEX($B$35:$M$50,($Q$32-1-1)*$Q$33+X62+1,0*$Q$34+W62+1)="",0,IF(INDEX($B$35:$M$50,($Q$32-1-1)*$Q$33+X62+1,0*$Q$34+W62+1)&gt;=0,ABS(INDEX($B$35:$M$50,($Q$32-1-1)*$Q$33+X62+1,0*$Q$34+W62+1))/$Q$48*$Q$42,0)))</f>
        <v>6.6138810434534312E-3</v>
      </c>
      <c r="AL62">
        <f>IF(V62=1,0,IF(INDEX($B$35:$M$50,($Q$32-1-1)*$Q$33+X62+1,0*$Q$34+W62+1)="",0,IF(INDEX($B$35:$M$50,($Q$32-1-1)*$Q$33+X62+1,0*$Q$34+W62+1)&lt;0,ABS(INDEX($B$35:$M$50,($Q$32-1-1)*$Q$33+X62+1,0*$Q$34+W62+1))/$Q$48*$Q$42,0)))</f>
        <v>0</v>
      </c>
      <c r="AM62">
        <f>IF(V62=1,0,IF(INDEX($B$35:$M$50,($Q$32-1-2)*$Q$33+X62+1,0*$Q$34+W62+1)="",0,IF(INDEX($B$35:$M$50,($Q$32-1-2)*$Q$33+X62+1,0*$Q$34+W62+1)&gt;=0,ABS(INDEX($B$35:$M$50,($Q$32-1-2)*$Q$33+X62+1,0*$Q$34+W62+1))/$Q$48*$Q$42,0)))</f>
        <v>0</v>
      </c>
      <c r="AN62">
        <f>IF(V62=1,0,IF(INDEX($B$35:$M$50,($Q$32-1-2)*$Q$33+X62+1,0*$Q$34+W62+1)="",0,IF(INDEX($B$35:$M$50,($Q$32-1-2)*$Q$33+X62+1,0*$Q$34+W62+1)&lt;0,ABS(INDEX($B$35:$M$50,($Q$32-1-2)*$Q$33+X62+1,0*$Q$34+W62+1))/$Q$48*$Q$42,0)))</f>
        <v>0.10245158216997238</v>
      </c>
      <c r="AO62">
        <f>IF(V62=1,0,IF(INDEX($B$35:$M$50,($Q$32-1-3)*$Q$33+X62+1,0*$Q$34+W62+1)="",0,IF(INDEX($B$35:$M$50,($Q$32-1-3)*$Q$33+X62+1,0*$Q$34+W62+1)&gt;=0,ABS(INDEX($B$35:$M$50,($Q$32-1-3)*$Q$33+X62+1,0*$Q$34+W62+1))/$Q$48*$Q$42,0)))</f>
        <v>0</v>
      </c>
      <c r="AP62">
        <f>IF(V62=1,0,IF(INDEX($B$35:$M$50,($Q$32-1-3)*$Q$33+X62+1,0*$Q$34+W62+1)="",0,IF(INDEX($B$35:$M$50,($Q$32-1-3)*$Q$33+X62+1,0*$Q$34+W62+1)&lt;0,ABS(INDEX($B$35:$M$50,($Q$32-1-3)*$Q$33+X62+1,0*$Q$34+W62+1))/$Q$48*$Q$42,0)))</f>
        <v>0.13623100632729448</v>
      </c>
      <c r="AR62" t="str">
        <f>IF(V62=1,"",IF(INDEX($B$35:$M$50,($Q$32-1-0)*$Q$33+X62+1,0*$Q$34+W62+1)="","",IF(INDEX($B$35:$M$50,($Q$32-1-0)*$Q$33+X62+1,0*$Q$34+W62+1)&gt;=0,TEXT(INDEX($B$35:$M$50,($Q$32-1-0)*$Q$33+X62+1,0*$Q$34+W62+1),"+0;-0;0"),"")))</f>
        <v>+66</v>
      </c>
      <c r="AS62" t="str">
        <f>IF(V62=1,"",IF(INDEX($B$35:$M$50,($Q$32-1-0)*$Q$33+X62+1,0*$Q$34+W62+1)="","",IF(INDEX($B$35:$M$50,($Q$32-1-0)*$Q$33+X62+1,0*$Q$34+W62+1)&lt;0,TEXT(INDEX($B$35:$M$50,($Q$32-1-0)*$Q$33+X62+1,0*$Q$34+W62+1),"+0;-0;0"),"")))</f>
        <v/>
      </c>
      <c r="AT62" t="str">
        <f>IF(V62=1,"",IF(INDEX($B$35:$M$50,($Q$32-1-1)*$Q$33+X62+1,0*$Q$34+W62+1)="","",IF(INDEX($B$35:$M$50,($Q$32-1-1)*$Q$33+X62+1,0*$Q$34+W62+1)&gt;=0,TEXT(INDEX($B$35:$M$50,($Q$32-1-1)*$Q$33+X62+1,0*$Q$34+W62+1),"+0;-0;0"),"")))</f>
        <v>+3</v>
      </c>
      <c r="AU62" t="str">
        <f>IF(V62=1,"",IF(INDEX($B$35:$M$50,($Q$32-1-1)*$Q$33+X62+1,0*$Q$34+W62+1)="","",IF(INDEX($B$35:$M$50,($Q$32-1-1)*$Q$33+X62+1,0*$Q$34+W62+1)&lt;0,TEXT(INDEX($B$35:$M$50,($Q$32-1-1)*$Q$33+X62+1,0*$Q$34+W62+1),"+0;-0;0"),"")))</f>
        <v/>
      </c>
      <c r="AV62" t="str">
        <f>IF(V62=1,"",IF(INDEX($B$35:$M$50,($Q$32-1-2)*$Q$33+X62+1,0*$Q$34+W62+1)="","",IF(INDEX($B$35:$M$50,($Q$32-1-2)*$Q$33+X62+1,0*$Q$34+W62+1)&gt;=0,TEXT(INDEX($B$35:$M$50,($Q$32-1-2)*$Q$33+X62+1,0*$Q$34+W62+1),"+0;-0;0"),"")))</f>
        <v/>
      </c>
      <c r="AW62" t="str">
        <f>IF(V62=1,"",IF(INDEX($B$35:$M$50,($Q$32-1-2)*$Q$33+X62+1,0*$Q$34+W62+1)="","",IF(INDEX($B$35:$M$50,($Q$32-1-2)*$Q$33+X62+1,0*$Q$34+W62+1)&lt;0,TEXT(INDEX($B$35:$M$50,($Q$32-1-2)*$Q$33+X62+1,0*$Q$34+W62+1),"+0;-0;0"),"")))</f>
        <v>-44</v>
      </c>
      <c r="AX62" t="str">
        <f>IF(V62=1,"",IF(INDEX($B$35:$M$50,($Q$32-1-3)*$Q$33+X62+1,0*$Q$34+W62+1)="","",IF(INDEX($B$35:$M$50,($Q$32-1-3)*$Q$33+X62+1,0*$Q$34+W62+1)&gt;=0,TEXT(INDEX($B$35:$M$50,($Q$32-1-3)*$Q$33+X62+1,0*$Q$34+W62+1),"+0;-0;0"),"")))</f>
        <v/>
      </c>
      <c r="AY62" t="str">
        <f>IF(V62=1,"",IF(INDEX($B$35:$M$50,($Q$32-1-3)*$Q$33+X62+1,0*$Q$34+W62+1)="","",IF(INDEX($B$35:$M$50,($Q$32-1-3)*$Q$33+X62+1,0*$Q$34+W62+1)&lt;0,TEXT(INDEX($B$35:$M$50,($Q$32-1-3)*$Q$33+X62+1,0*$Q$34+W62+1),"+0;-0;0"),"")))</f>
        <v>-58</v>
      </c>
      <c r="BG62">
        <v>42.5</v>
      </c>
      <c r="BH62">
        <f>IF(OR($Q$46&gt;0,$Q$47&lt;0),NA(),0+$Q$49)</f>
        <v>0.23428571428571426</v>
      </c>
      <c r="BJ62">
        <v>17</v>
      </c>
      <c r="BK62">
        <f>1+$Q$42+0.03</f>
        <v>1.8499999999999999</v>
      </c>
      <c r="BL62" s="20" t="str">
        <f>'C13D'!$A$44</f>
        <v>2020</v>
      </c>
      <c r="BN62">
        <v>3.35</v>
      </c>
      <c r="BO62">
        <f>3+0*$Q$42</f>
        <v>3</v>
      </c>
      <c r="BP62" t="str">
        <f>TEXT($Q$46+($Q$47-$Q$46)*0,"#,##0")</f>
        <v>-100</v>
      </c>
    </row>
    <row r="63" spans="1:73" x14ac:dyDescent="0.35">
      <c r="P63">
        <v>11</v>
      </c>
      <c r="Q63">
        <f>P63-$Q$41</f>
        <v>8</v>
      </c>
      <c r="R63">
        <f>IF(Q63&lt;=0,-1,INT((Q63-1)/($Q$39+$Q$40)))</f>
        <v>0</v>
      </c>
      <c r="S63">
        <f>IF(Q63&lt;=0,-1,MOD(Q63-1,($Q$39+$Q$40)))</f>
        <v>7</v>
      </c>
      <c r="T63">
        <f>IF(OR(S63&lt;0,S63&gt;=$Q$39),-1,INT(S63/$Q$38))</f>
        <v>7</v>
      </c>
      <c r="U63">
        <f>IF(OR(S63&lt;0,S63&gt;=$Q$39),-1,MOD(S63,$Q$38))</f>
        <v>0</v>
      </c>
      <c r="V63">
        <f>IF(OR(Q63&lt;=0,S63&lt;0,S63&gt;=$Q$39,R63&gt;=$Q$36),1,0)</f>
        <v>0</v>
      </c>
      <c r="W63">
        <f>IF(V63=1,-1,T63)</f>
        <v>7</v>
      </c>
      <c r="X63">
        <f>IF(V63=1,-1,R63)</f>
        <v>0</v>
      </c>
      <c r="Y63" t="str">
        <f>IF(V63=1,"",IF(AND(MOD(W63,3)=0,U63=INT(($Q$38-1)/2)),INDEX($B$34:$M$34,W63+1),""))</f>
        <v/>
      </c>
      <c r="Z63">
        <f>IF(V63=1,NA(),IF(INDEX($B$35:$M$50,($Q$32-1-0)*$Q$33+X63+1,0*$Q$34+W63+1)="",NA(),IF(INDEX($B$35:$M$50,($Q$32-1-0)*$Q$33+X63+1,0*$Q$34+W63+1)&gt;=0,0+(INDEX($B$35:$M$50,($Q$32-1-0)*$Q$33+X63+1,0*$Q$34+W63+1)-$Q$46)/$Q$48*$Q$42,NA())))</f>
        <v>0.35826951168069793</v>
      </c>
      <c r="AA63" t="e">
        <f>IF(V63=1,NA(),IF(INDEX($B$35:$M$50,($Q$32-1-0)*$Q$33+X63+1,0*$Q$34+W63+1)="",NA(),IF(INDEX($B$35:$M$50,($Q$32-1-0)*$Q$33+X63+1,0*$Q$34+W63+1)&lt;0,0+(INDEX($B$35:$M$50,($Q$32-1-0)*$Q$33+X63+1,0*$Q$34+W63+1)-$Q$46)/$Q$48*$Q$42,NA())))</f>
        <v>#N/A</v>
      </c>
      <c r="AB63" t="e">
        <f>IF(V63=1,NA(),IF(INDEX($B$35:$M$50,($Q$32-1-1)*$Q$33+X63+1,0*$Q$34+W63+1)="",NA(),IF(INDEX($B$35:$M$50,($Q$32-1-1)*$Q$33+X63+1,0*$Q$34+W63+1)&gt;=0,1+(INDEX($B$35:$M$50,($Q$32-1-1)*$Q$33+X63+1,0*$Q$34+W63+1)-$Q$46)/$Q$48*$Q$42,NA())))</f>
        <v>#N/A</v>
      </c>
      <c r="AC63">
        <f>IF(V63=1,NA(),IF(INDEX($B$35:$M$50,($Q$32-1-1)*$Q$33+X63+1,0*$Q$34+W63+1)="",NA(),IF(INDEX($B$35:$M$50,($Q$32-1-1)*$Q$33+X63+1,0*$Q$34+W63+1)&lt;0,1+(INDEX($B$35:$M$50,($Q$32-1-1)*$Q$33+X63+1,0*$Q$34+W63+1)-$Q$46)/$Q$48*$Q$42,NA())))</f>
        <v>1.2206274978862564</v>
      </c>
      <c r="AD63" t="e">
        <f>IF(V63=1,NA(),IF(INDEX($B$35:$M$50,($Q$32-1-2)*$Q$33+X63+1,0*$Q$34+W63+1)="",NA(),IF(INDEX($B$35:$M$50,($Q$32-1-2)*$Q$33+X63+1,0*$Q$34+W63+1)&gt;=0,2+(INDEX($B$35:$M$50,($Q$32-1-2)*$Q$33+X63+1,0*$Q$34+W63+1)-$Q$46)/$Q$48*$Q$42,NA())))</f>
        <v>#N/A</v>
      </c>
      <c r="AE63">
        <f>IF(V63=1,NA(),IF(INDEX($B$35:$M$50,($Q$32-1-2)*$Q$33+X63+1,0*$Q$34+W63+1)="",NA(),IF(INDEX($B$35:$M$50,($Q$32-1-2)*$Q$33+X63+1,0*$Q$34+W63+1)&lt;0,2+(INDEX($B$35:$M$50,($Q$32-1-2)*$Q$33+X63+1,0*$Q$34+W63+1)-$Q$46)/$Q$48*$Q$42,NA())))</f>
        <v>2.126736385925077</v>
      </c>
      <c r="AF63" t="e">
        <f>IF(V63=1,NA(),IF(INDEX($B$35:$M$50,($Q$32-1-3)*$Q$33+X63+1,0*$Q$34+W63+1)="",NA(),IF(INDEX($B$35:$M$50,($Q$32-1-3)*$Q$33+X63+1,0*$Q$34+W63+1)&gt;=0,3+(INDEX($B$35:$M$50,($Q$32-1-3)*$Q$33+X63+1,0*$Q$34+W63+1)-$Q$46)/$Q$48*$Q$42,NA())))</f>
        <v>#N/A</v>
      </c>
      <c r="AG63">
        <f>IF(V63=1,NA(),IF(INDEX($B$35:$M$50,($Q$32-1-3)*$Q$33+X63+1,0*$Q$34+W63+1)="",NA(),IF(INDEX($B$35:$M$50,($Q$32-1-3)*$Q$33+X63+1,0*$Q$34+W63+1)&lt;0,3+(INDEX($B$35:$M$50,($Q$32-1-3)*$Q$33+X63+1,0*$Q$34+W63+1)-$Q$46)/$Q$48*$Q$42,NA())))</f>
        <v>3.0911118383767433</v>
      </c>
      <c r="AI63">
        <f>IF(V63=1,0,IF(INDEX($B$35:$M$50,($Q$32-1-0)*$Q$33+X63+1,0*$Q$34+W63+1)="",0,IF(INDEX($B$35:$M$50,($Q$32-1-0)*$Q$33+X63+1,0*$Q$34+W63+1)&gt;=0,ABS(INDEX($B$35:$M$50,($Q$32-1-0)*$Q$33+X63+1,0*$Q$34+W63+1))/$Q$48*$Q$42,0)))</f>
        <v>0.12398379739498365</v>
      </c>
      <c r="AJ63">
        <f>IF(V63=1,0,IF(INDEX($B$35:$M$50,($Q$32-1-0)*$Q$33+X63+1,0*$Q$34+W63+1)="",0,IF(INDEX($B$35:$M$50,($Q$32-1-0)*$Q$33+X63+1,0*$Q$34+W63+1)&lt;0,ABS(INDEX($B$35:$M$50,($Q$32-1-0)*$Q$33+X63+1,0*$Q$34+W63+1))/$Q$48*$Q$42,0)))</f>
        <v>0</v>
      </c>
      <c r="AK63">
        <f>IF(V63=1,0,IF(INDEX($B$35:$M$50,($Q$32-1-1)*$Q$33+X63+1,0*$Q$34+W63+1)="",0,IF(INDEX($B$35:$M$50,($Q$32-1-1)*$Q$33+X63+1,0*$Q$34+W63+1)&gt;=0,ABS(INDEX($B$35:$M$50,($Q$32-1-1)*$Q$33+X63+1,0*$Q$34+W63+1))/$Q$48*$Q$42,0)))</f>
        <v>0</v>
      </c>
      <c r="AL63">
        <f>IF(V63=1,0,IF(INDEX($B$35:$M$50,($Q$32-1-1)*$Q$33+X63+1,0*$Q$34+W63+1)="",0,IF(INDEX($B$35:$M$50,($Q$32-1-1)*$Q$33+X63+1,0*$Q$34+W63+1)&lt;0,ABS(INDEX($B$35:$M$50,($Q$32-1-1)*$Q$33+X63+1,0*$Q$34+W63+1))/$Q$48*$Q$42,0)))</f>
        <v>1.3658216399457924E-2</v>
      </c>
      <c r="AM63">
        <f>IF(V63=1,0,IF(INDEX($B$35:$M$50,($Q$32-1-2)*$Q$33+X63+1,0*$Q$34+W63+1)="",0,IF(INDEX($B$35:$M$50,($Q$32-1-2)*$Q$33+X63+1,0*$Q$34+W63+1)&gt;=0,ABS(INDEX($B$35:$M$50,($Q$32-1-2)*$Q$33+X63+1,0*$Q$34+W63+1))/$Q$48*$Q$42,0)))</f>
        <v>0</v>
      </c>
      <c r="AN63">
        <f>IF(V63=1,0,IF(INDEX($B$35:$M$50,($Q$32-1-2)*$Q$33+X63+1,0*$Q$34+W63+1)="",0,IF(INDEX($B$35:$M$50,($Q$32-1-2)*$Q$33+X63+1,0*$Q$34+W63+1)&lt;0,ABS(INDEX($B$35:$M$50,($Q$32-1-2)*$Q$33+X63+1,0*$Q$34+W63+1))/$Q$48*$Q$42,0)))</f>
        <v>0.10754932836063752</v>
      </c>
      <c r="AO63">
        <f>IF(V63=1,0,IF(INDEX($B$35:$M$50,($Q$32-1-3)*$Q$33+X63+1,0*$Q$34+W63+1)="",0,IF(INDEX($B$35:$M$50,($Q$32-1-3)*$Q$33+X63+1,0*$Q$34+W63+1)&gt;=0,ABS(INDEX($B$35:$M$50,($Q$32-1-3)*$Q$33+X63+1,0*$Q$34+W63+1))/$Q$48*$Q$42,0)))</f>
        <v>0</v>
      </c>
      <c r="AP63">
        <f>IF(V63=1,0,IF(INDEX($B$35:$M$50,($Q$32-1-3)*$Q$33+X63+1,0*$Q$34+W63+1)="",0,IF(INDEX($B$35:$M$50,($Q$32-1-3)*$Q$33+X63+1,0*$Q$34+W63+1)&lt;0,ABS(INDEX($B$35:$M$50,($Q$32-1-3)*$Q$33+X63+1,0*$Q$34+W63+1))/$Q$48*$Q$42,0)))</f>
        <v>0.14317387590897118</v>
      </c>
      <c r="AR63" t="str">
        <f>IF(V63=1,"",IF(INDEX($B$35:$M$50,($Q$32-1-0)*$Q$33+X63+1,0*$Q$34+W63+1)="","",IF(INDEX($B$35:$M$50,($Q$32-1-0)*$Q$33+X63+1,0*$Q$34+W63+1)&gt;=0,TEXT(INDEX($B$35:$M$50,($Q$32-1-0)*$Q$33+X63+1,0*$Q$34+W63+1),"+0;-0;0"),"")))</f>
        <v>+53</v>
      </c>
      <c r="AS63" t="str">
        <f>IF(V63=1,"",IF(INDEX($B$35:$M$50,($Q$32-1-0)*$Q$33+X63+1,0*$Q$34+W63+1)="","",IF(INDEX($B$35:$M$50,($Q$32-1-0)*$Q$33+X63+1,0*$Q$34+W63+1)&lt;0,TEXT(INDEX($B$35:$M$50,($Q$32-1-0)*$Q$33+X63+1,0*$Q$34+W63+1),"+0;-0;0"),"")))</f>
        <v/>
      </c>
      <c r="AT63" t="str">
        <f>IF(V63=1,"",IF(INDEX($B$35:$M$50,($Q$32-1-1)*$Q$33+X63+1,0*$Q$34+W63+1)="","",IF(INDEX($B$35:$M$50,($Q$32-1-1)*$Q$33+X63+1,0*$Q$34+W63+1)&gt;=0,TEXT(INDEX($B$35:$M$50,($Q$32-1-1)*$Q$33+X63+1,0*$Q$34+W63+1),"+0;-0;0"),"")))</f>
        <v/>
      </c>
      <c r="AU63" t="str">
        <f>IF(V63=1,"",IF(INDEX($B$35:$M$50,($Q$32-1-1)*$Q$33+X63+1,0*$Q$34+W63+1)="","",IF(INDEX($B$35:$M$50,($Q$32-1-1)*$Q$33+X63+1,0*$Q$34+W63+1)&lt;0,TEXT(INDEX($B$35:$M$50,($Q$32-1-1)*$Q$33+X63+1,0*$Q$34+W63+1),"+0;-0;0"),"")))</f>
        <v>-6</v>
      </c>
      <c r="AV63" t="str">
        <f>IF(V63=1,"",IF(INDEX($B$35:$M$50,($Q$32-1-2)*$Q$33+X63+1,0*$Q$34+W63+1)="","",IF(INDEX($B$35:$M$50,($Q$32-1-2)*$Q$33+X63+1,0*$Q$34+W63+1)&gt;=0,TEXT(INDEX($B$35:$M$50,($Q$32-1-2)*$Q$33+X63+1,0*$Q$34+W63+1),"+0;-0;0"),"")))</f>
        <v/>
      </c>
      <c r="AW63" t="str">
        <f>IF(V63=1,"",IF(INDEX($B$35:$M$50,($Q$32-1-2)*$Q$33+X63+1,0*$Q$34+W63+1)="","",IF(INDEX($B$35:$M$50,($Q$32-1-2)*$Q$33+X63+1,0*$Q$34+W63+1)&lt;0,TEXT(INDEX($B$35:$M$50,($Q$32-1-2)*$Q$33+X63+1,0*$Q$34+W63+1),"+0;-0;0"),"")))</f>
        <v>-46</v>
      </c>
      <c r="AX63" t="str">
        <f>IF(V63=1,"",IF(INDEX($B$35:$M$50,($Q$32-1-3)*$Q$33+X63+1,0*$Q$34+W63+1)="","",IF(INDEX($B$35:$M$50,($Q$32-1-3)*$Q$33+X63+1,0*$Q$34+W63+1)&gt;=0,TEXT(INDEX($B$35:$M$50,($Q$32-1-3)*$Q$33+X63+1,0*$Q$34+W63+1),"+0;-0;0"),"")))</f>
        <v/>
      </c>
      <c r="AY63" t="str">
        <f>IF(V63=1,"",IF(INDEX($B$35:$M$50,($Q$32-1-3)*$Q$33+X63+1,0*$Q$34+W63+1)="","",IF(INDEX($B$35:$M$50,($Q$32-1-3)*$Q$33+X63+1,0*$Q$34+W63+1)&lt;0,TEXT(INDEX($B$35:$M$50,($Q$32-1-3)*$Q$33+X63+1,0*$Q$34+W63+1),"+0;-0;0"),"")))</f>
        <v>-61</v>
      </c>
      <c r="BG63">
        <v>54.5</v>
      </c>
      <c r="BH63">
        <f>IF(OR($Q$46&gt;0,$Q$47&lt;0),NA(),0+$Q$49)</f>
        <v>0.23428571428571426</v>
      </c>
      <c r="BJ63">
        <v>30</v>
      </c>
      <c r="BK63">
        <f>1+$Q$42+0.03</f>
        <v>1.8499999999999999</v>
      </c>
      <c r="BL63" s="20" t="str">
        <f>'C13D'!$A$45</f>
        <v>2021</v>
      </c>
      <c r="BN63">
        <v>3.35</v>
      </c>
      <c r="BO63">
        <f>3+0.5*$Q$42</f>
        <v>3.41</v>
      </c>
      <c r="BP63" t="str">
        <f>TEXT($Q$46+($Q$47-$Q$46)*0.5,"#,##0")</f>
        <v>75</v>
      </c>
    </row>
    <row r="64" spans="1:73" x14ac:dyDescent="0.35">
      <c r="P64">
        <v>12</v>
      </c>
      <c r="Q64">
        <f>P64-$Q$41</f>
        <v>9</v>
      </c>
      <c r="R64">
        <f>IF(Q64&lt;=0,-1,INT((Q64-1)/($Q$39+$Q$40)))</f>
        <v>0</v>
      </c>
      <c r="S64">
        <f>IF(Q64&lt;=0,-1,MOD(Q64-1,($Q$39+$Q$40)))</f>
        <v>8</v>
      </c>
      <c r="T64">
        <f>IF(OR(S64&lt;0,S64&gt;=$Q$39),-1,INT(S64/$Q$38))</f>
        <v>8</v>
      </c>
      <c r="U64">
        <f>IF(OR(S64&lt;0,S64&gt;=$Q$39),-1,MOD(S64,$Q$38))</f>
        <v>0</v>
      </c>
      <c r="V64">
        <f>IF(OR(Q64&lt;=0,S64&lt;0,S64&gt;=$Q$39,R64&gt;=$Q$36),1,0)</f>
        <v>0</v>
      </c>
      <c r="W64">
        <f>IF(V64=1,-1,T64)</f>
        <v>8</v>
      </c>
      <c r="X64">
        <f>IF(V64=1,-1,R64)</f>
        <v>0</v>
      </c>
      <c r="Y64" t="str">
        <f>IF(V64=1,"",IF(AND(MOD(W64,3)=0,U64=INT(($Q$38-1)/2)),INDEX($B$34:$M$34,W64+1),""))</f>
        <v/>
      </c>
      <c r="Z64">
        <f>IF(V64=1,NA(),IF(INDEX($B$35:$M$50,($Q$32-1-0)*$Q$33+X64+1,0*$Q$34+W64+1)="",NA(),IF(INDEX($B$35:$M$50,($Q$32-1-0)*$Q$33+X64+1,0*$Q$34+W64+1)&gt;=0,0+(INDEX($B$35:$M$50,($Q$32-1-0)*$Q$33+X64+1,0*$Q$34+W64+1)-$Q$46)/$Q$48*$Q$42,NA())))</f>
        <v>0.36720735805822724</v>
      </c>
      <c r="AA64" t="e">
        <f>IF(V64=1,NA(),IF(INDEX($B$35:$M$50,($Q$32-1-0)*$Q$33+X64+1,0*$Q$34+W64+1)="",NA(),IF(INDEX($B$35:$M$50,($Q$32-1-0)*$Q$33+X64+1,0*$Q$34+W64+1)&lt;0,0+(INDEX($B$35:$M$50,($Q$32-1-0)*$Q$33+X64+1,0*$Q$34+W64+1)-$Q$46)/$Q$48*$Q$42,NA())))</f>
        <v>#N/A</v>
      </c>
      <c r="AB64" t="e">
        <f>IF(V64=1,NA(),IF(INDEX($B$35:$M$50,($Q$32-1-1)*$Q$33+X64+1,0*$Q$34+W64+1)="",NA(),IF(INDEX($B$35:$M$50,($Q$32-1-1)*$Q$33+X64+1,0*$Q$34+W64+1)&gt;=0,1+(INDEX($B$35:$M$50,($Q$32-1-1)*$Q$33+X64+1,0*$Q$34+W64+1)-$Q$46)/$Q$48*$Q$42,NA())))</f>
        <v>#N/A</v>
      </c>
      <c r="AC64">
        <f>IF(V64=1,NA(),IF(INDEX($B$35:$M$50,($Q$32-1-1)*$Q$33+X64+1,0*$Q$34+W64+1)="",NA(),IF(INDEX($B$35:$M$50,($Q$32-1-1)*$Q$33+X64+1,0*$Q$34+W64+1)&lt;0,1+(INDEX($B$35:$M$50,($Q$32-1-1)*$Q$33+X64+1,0*$Q$34+W64+1)-$Q$46)/$Q$48*$Q$42,NA())))</f>
        <v>1.2266650092816607</v>
      </c>
      <c r="AD64" t="e">
        <f>IF(V64=1,NA(),IF(INDEX($B$35:$M$50,($Q$32-1-2)*$Q$33+X64+1,0*$Q$34+W64+1)="",NA(),IF(INDEX($B$35:$M$50,($Q$32-1-2)*$Q$33+X64+1,0*$Q$34+W64+1)&gt;=0,2+(INDEX($B$35:$M$50,($Q$32-1-2)*$Q$33+X64+1,0*$Q$34+W64+1)-$Q$46)/$Q$48*$Q$42,NA())))</f>
        <v>#N/A</v>
      </c>
      <c r="AE64">
        <f>IF(V64=1,NA(),IF(INDEX($B$35:$M$50,($Q$32-1-2)*$Q$33+X64+1,0*$Q$34+W64+1)="",NA(),IF(INDEX($B$35:$M$50,($Q$32-1-2)*$Q$33+X64+1,0*$Q$34+W64+1)&lt;0,2+(INDEX($B$35:$M$50,($Q$32-1-2)*$Q$33+X64+1,0*$Q$34+W64+1)-$Q$46)/$Q$48*$Q$42,NA())))</f>
        <v>2.1291352746064547</v>
      </c>
      <c r="AF64" t="e">
        <f>IF(V64=1,NA(),IF(INDEX($B$35:$M$50,($Q$32-1-3)*$Q$33+X64+1,0*$Q$34+W64+1)="",NA(),IF(INDEX($B$35:$M$50,($Q$32-1-3)*$Q$33+X64+1,0*$Q$34+W64+1)&gt;=0,3+(INDEX($B$35:$M$50,($Q$32-1-3)*$Q$33+X64+1,0*$Q$34+W64+1)-$Q$46)/$Q$48*$Q$42,NA())))</f>
        <v>#N/A</v>
      </c>
      <c r="AG64">
        <f>IF(V64=1,NA(),IF(INDEX($B$35:$M$50,($Q$32-1-3)*$Q$33+X64+1,0*$Q$34+W64+1)="",NA(),IF(INDEX($B$35:$M$50,($Q$32-1-3)*$Q$33+X64+1,0*$Q$34+W64+1)&lt;0,3+(INDEX($B$35:$M$50,($Q$32-1-3)*$Q$33+X64+1,0*$Q$34+W64+1)-$Q$46)/$Q$48*$Q$42,NA())))</f>
        <v>3.0876141242106474</v>
      </c>
      <c r="AI64">
        <f>IF(V64=1,0,IF(INDEX($B$35:$M$50,($Q$32-1-0)*$Q$33+X64+1,0*$Q$34+W64+1)="",0,IF(INDEX($B$35:$M$50,($Q$32-1-0)*$Q$33+X64+1,0*$Q$34+W64+1)&gt;=0,ABS(INDEX($B$35:$M$50,($Q$32-1-0)*$Q$33+X64+1,0*$Q$34+W64+1))/$Q$48*$Q$42,0)))</f>
        <v>0.13292164377251295</v>
      </c>
      <c r="AJ64">
        <f>IF(V64=1,0,IF(INDEX($B$35:$M$50,($Q$32-1-0)*$Q$33+X64+1,0*$Q$34+W64+1)="",0,IF(INDEX($B$35:$M$50,($Q$32-1-0)*$Q$33+X64+1,0*$Q$34+W64+1)&lt;0,ABS(INDEX($B$35:$M$50,($Q$32-1-0)*$Q$33+X64+1,0*$Q$34+W64+1))/$Q$48*$Q$42,0)))</f>
        <v>0</v>
      </c>
      <c r="AK64">
        <f>IF(V64=1,0,IF(INDEX($B$35:$M$50,($Q$32-1-1)*$Q$33+X64+1,0*$Q$34+W64+1)="",0,IF(INDEX($B$35:$M$50,($Q$32-1-1)*$Q$33+X64+1,0*$Q$34+W64+1)&gt;=0,ABS(INDEX($B$35:$M$50,($Q$32-1-1)*$Q$33+X64+1,0*$Q$34+W64+1))/$Q$48*$Q$42,0)))</f>
        <v>0</v>
      </c>
      <c r="AL64">
        <f>IF(V64=1,0,IF(INDEX($B$35:$M$50,($Q$32-1-1)*$Q$33+X64+1,0*$Q$34+W64+1)="",0,IF(INDEX($B$35:$M$50,($Q$32-1-1)*$Q$33+X64+1,0*$Q$34+W64+1)&lt;0,ABS(INDEX($B$35:$M$50,($Q$32-1-1)*$Q$33+X64+1,0*$Q$34+W64+1))/$Q$48*$Q$42,0)))</f>
        <v>7.6207050040535719E-3</v>
      </c>
      <c r="AM64">
        <f>IF(V64=1,0,IF(INDEX($B$35:$M$50,($Q$32-1-2)*$Q$33+X64+1,0*$Q$34+W64+1)="",0,IF(INDEX($B$35:$M$50,($Q$32-1-2)*$Q$33+X64+1,0*$Q$34+W64+1)&gt;=0,ABS(INDEX($B$35:$M$50,($Q$32-1-2)*$Q$33+X64+1,0*$Q$34+W64+1))/$Q$48*$Q$42,0)))</f>
        <v>0</v>
      </c>
      <c r="AN64">
        <f>IF(V64=1,0,IF(INDEX($B$35:$M$50,($Q$32-1-2)*$Q$33+X64+1,0*$Q$34+W64+1)="",0,IF(INDEX($B$35:$M$50,($Q$32-1-2)*$Q$33+X64+1,0*$Q$34+W64+1)&lt;0,ABS(INDEX($B$35:$M$50,($Q$32-1-2)*$Q$33+X64+1,0*$Q$34+W64+1))/$Q$48*$Q$42,0)))</f>
        <v>0.10515043967925944</v>
      </c>
      <c r="AO64">
        <f>IF(V64=1,0,IF(INDEX($B$35:$M$50,($Q$32-1-3)*$Q$33+X64+1,0*$Q$34+W64+1)="",0,IF(INDEX($B$35:$M$50,($Q$32-1-3)*$Q$33+X64+1,0*$Q$34+W64+1)&gt;=0,ABS(INDEX($B$35:$M$50,($Q$32-1-3)*$Q$33+X64+1,0*$Q$34+W64+1))/$Q$48*$Q$42,0)))</f>
        <v>0</v>
      </c>
      <c r="AP64">
        <f>IF(V64=1,0,IF(INDEX($B$35:$M$50,($Q$32-1-3)*$Q$33+X64+1,0*$Q$34+W64+1)="",0,IF(INDEX($B$35:$M$50,($Q$32-1-3)*$Q$33+X64+1,0*$Q$34+W64+1)&lt;0,ABS(INDEX($B$35:$M$50,($Q$32-1-3)*$Q$33+X64+1,0*$Q$34+W64+1))/$Q$48*$Q$42,0)))</f>
        <v>0.14667159007506672</v>
      </c>
      <c r="AR64" t="str">
        <f>IF(V64=1,"",IF(INDEX($B$35:$M$50,($Q$32-1-0)*$Q$33+X64+1,0*$Q$34+W64+1)="","",IF(INDEX($B$35:$M$50,($Q$32-1-0)*$Q$33+X64+1,0*$Q$34+W64+1)&gt;=0,TEXT(INDEX($B$35:$M$50,($Q$32-1-0)*$Q$33+X64+1,0*$Q$34+W64+1),"+0;-0;0"),"")))</f>
        <v>+57</v>
      </c>
      <c r="AS64" t="str">
        <f>IF(V64=1,"",IF(INDEX($B$35:$M$50,($Q$32-1-0)*$Q$33+X64+1,0*$Q$34+W64+1)="","",IF(INDEX($B$35:$M$50,($Q$32-1-0)*$Q$33+X64+1,0*$Q$34+W64+1)&lt;0,TEXT(INDEX($B$35:$M$50,($Q$32-1-0)*$Q$33+X64+1,0*$Q$34+W64+1),"+0;-0;0"),"")))</f>
        <v/>
      </c>
      <c r="AT64" t="str">
        <f>IF(V64=1,"",IF(INDEX($B$35:$M$50,($Q$32-1-1)*$Q$33+X64+1,0*$Q$34+W64+1)="","",IF(INDEX($B$35:$M$50,($Q$32-1-1)*$Q$33+X64+1,0*$Q$34+W64+1)&gt;=0,TEXT(INDEX($B$35:$M$50,($Q$32-1-1)*$Q$33+X64+1,0*$Q$34+W64+1),"+0;-0;0"),"")))</f>
        <v/>
      </c>
      <c r="AU64" t="str">
        <f>IF(V64=1,"",IF(INDEX($B$35:$M$50,($Q$32-1-1)*$Q$33+X64+1,0*$Q$34+W64+1)="","",IF(INDEX($B$35:$M$50,($Q$32-1-1)*$Q$33+X64+1,0*$Q$34+W64+1)&lt;0,TEXT(INDEX($B$35:$M$50,($Q$32-1-1)*$Q$33+X64+1,0*$Q$34+W64+1),"+0;-0;0"),"")))</f>
        <v>-3</v>
      </c>
      <c r="AV64" t="str">
        <f>IF(V64=1,"",IF(INDEX($B$35:$M$50,($Q$32-1-2)*$Q$33+X64+1,0*$Q$34+W64+1)="","",IF(INDEX($B$35:$M$50,($Q$32-1-2)*$Q$33+X64+1,0*$Q$34+W64+1)&gt;=0,TEXT(INDEX($B$35:$M$50,($Q$32-1-2)*$Q$33+X64+1,0*$Q$34+W64+1),"+0;-0;0"),"")))</f>
        <v/>
      </c>
      <c r="AW64" t="str">
        <f>IF(V64=1,"",IF(INDEX($B$35:$M$50,($Q$32-1-2)*$Q$33+X64+1,0*$Q$34+W64+1)="","",IF(INDEX($B$35:$M$50,($Q$32-1-2)*$Q$33+X64+1,0*$Q$34+W64+1)&lt;0,TEXT(INDEX($B$35:$M$50,($Q$32-1-2)*$Q$33+X64+1,0*$Q$34+W64+1),"+0;-0;0"),"")))</f>
        <v>-45</v>
      </c>
      <c r="AX64" t="str">
        <f>IF(V64=1,"",IF(INDEX($B$35:$M$50,($Q$32-1-3)*$Q$33+X64+1,0*$Q$34+W64+1)="","",IF(INDEX($B$35:$M$50,($Q$32-1-3)*$Q$33+X64+1,0*$Q$34+W64+1)&gt;=0,TEXT(INDEX($B$35:$M$50,($Q$32-1-3)*$Q$33+X64+1,0*$Q$34+W64+1),"+0;-0;0"),"")))</f>
        <v/>
      </c>
      <c r="AY64" t="str">
        <f>IF(V64=1,"",IF(INDEX($B$35:$M$50,($Q$32-1-3)*$Q$33+X64+1,0*$Q$34+W64+1)="","",IF(INDEX($B$35:$M$50,($Q$32-1-3)*$Q$33+X64+1,0*$Q$34+W64+1)&lt;0,TEXT(INDEX($B$35:$M$50,($Q$32-1-3)*$Q$33+X64+1,0*$Q$34+W64+1),"+0;-0;0"),"")))</f>
        <v>-63</v>
      </c>
      <c r="BG64">
        <v>54.5</v>
      </c>
      <c r="BH64" t="e">
        <f>NA()</f>
        <v>#N/A</v>
      </c>
      <c r="BJ64">
        <v>43</v>
      </c>
      <c r="BK64">
        <f>1+$Q$42+0.03</f>
        <v>1.8499999999999999</v>
      </c>
      <c r="BL64" s="20" t="str">
        <f>'C13D'!$A$46</f>
        <v>2022</v>
      </c>
      <c r="BN64">
        <v>3.35</v>
      </c>
      <c r="BO64">
        <f>3+1*$Q$42</f>
        <v>3.82</v>
      </c>
      <c r="BP64" t="str">
        <f>TEXT($Q$46+($Q$47-$Q$46)*1,"#,##0")</f>
        <v>250</v>
      </c>
    </row>
    <row r="65" spans="16:64" x14ac:dyDescent="0.35">
      <c r="P65">
        <v>13</v>
      </c>
      <c r="Q65">
        <f>P65-$Q$41</f>
        <v>10</v>
      </c>
      <c r="R65">
        <f>IF(Q65&lt;=0,-1,INT((Q65-1)/($Q$39+$Q$40)))</f>
        <v>0</v>
      </c>
      <c r="S65">
        <f>IF(Q65&lt;=0,-1,MOD(Q65-1,($Q$39+$Q$40)))</f>
        <v>9</v>
      </c>
      <c r="T65">
        <f>IF(OR(S65&lt;0,S65&gt;=$Q$39),-1,INT(S65/$Q$38))</f>
        <v>9</v>
      </c>
      <c r="U65">
        <f>IF(OR(S65&lt;0,S65&gt;=$Q$39),-1,MOD(S65,$Q$38))</f>
        <v>0</v>
      </c>
      <c r="V65">
        <f>IF(OR(Q65&lt;=0,S65&lt;0,S65&gt;=$Q$39,R65&gt;=$Q$36),1,0)</f>
        <v>0</v>
      </c>
      <c r="W65">
        <f>IF(V65=1,-1,T65)</f>
        <v>9</v>
      </c>
      <c r="X65">
        <f>IF(V65=1,-1,R65)</f>
        <v>0</v>
      </c>
      <c r="Y65" t="str">
        <f>IF(V65=1,"",IF(AND(MOD(W65,3)=0,U65=INT(($Q$38-1)/2)),INDEX($B$34:$M$34,W65+1),""))</f>
        <v>Oct</v>
      </c>
      <c r="Z65">
        <f>IF(V65=1,NA(),IF(INDEX($B$35:$M$50,($Q$32-1-0)*$Q$33+X65+1,0*$Q$34+W65+1)="",NA(),IF(INDEX($B$35:$M$50,($Q$32-1-0)*$Q$33+X65+1,0*$Q$34+W65+1)&gt;=0,0+(INDEX($B$35:$M$50,($Q$32-1-0)*$Q$33+X65+1,0*$Q$34+W65+1)-$Q$46)/$Q$48*$Q$42,NA())))</f>
        <v>0.36840486036565684</v>
      </c>
      <c r="AA65" t="e">
        <f>IF(V65=1,NA(),IF(INDEX($B$35:$M$50,($Q$32-1-0)*$Q$33+X65+1,0*$Q$34+W65+1)="",NA(),IF(INDEX($B$35:$M$50,($Q$32-1-0)*$Q$33+X65+1,0*$Q$34+W65+1)&lt;0,0+(INDEX($B$35:$M$50,($Q$32-1-0)*$Q$33+X65+1,0*$Q$34+W65+1)-$Q$46)/$Q$48*$Q$42,NA())))</f>
        <v>#N/A</v>
      </c>
      <c r="AB65">
        <f>IF(V65=1,NA(),IF(INDEX($B$35:$M$50,($Q$32-1-1)*$Q$33+X65+1,0*$Q$34+W65+1)="",NA(),IF(INDEX($B$35:$M$50,($Q$32-1-1)*$Q$33+X65+1,0*$Q$34+W65+1)&gt;=0,1+(INDEX($B$35:$M$50,($Q$32-1-1)*$Q$33+X65+1,0*$Q$34+W65+1)-$Q$46)/$Q$48*$Q$42,NA())))</f>
        <v>1.2435931211182774</v>
      </c>
      <c r="AC65" t="e">
        <f>IF(V65=1,NA(),IF(INDEX($B$35:$M$50,($Q$32-1-1)*$Q$33+X65+1,0*$Q$34+W65+1)="",NA(),IF(INDEX($B$35:$M$50,($Q$32-1-1)*$Q$33+X65+1,0*$Q$34+W65+1)&lt;0,1+(INDEX($B$35:$M$50,($Q$32-1-1)*$Q$33+X65+1,0*$Q$34+W65+1)-$Q$46)/$Q$48*$Q$42,NA())))</f>
        <v>#N/A</v>
      </c>
      <c r="AD65" t="e">
        <f>IF(V65=1,NA(),IF(INDEX($B$35:$M$50,($Q$32-1-2)*$Q$33+X65+1,0*$Q$34+W65+1)="",NA(),IF(INDEX($B$35:$M$50,($Q$32-1-2)*$Q$33+X65+1,0*$Q$34+W65+1)&gt;=0,2+(INDEX($B$35:$M$50,($Q$32-1-2)*$Q$33+X65+1,0*$Q$34+W65+1)-$Q$46)/$Q$48*$Q$42,NA())))</f>
        <v>#N/A</v>
      </c>
      <c r="AE65">
        <f>IF(V65=1,NA(),IF(INDEX($B$35:$M$50,($Q$32-1-2)*$Q$33+X65+1,0*$Q$34+W65+1)="",NA(),IF(INDEX($B$35:$M$50,($Q$32-1-2)*$Q$33+X65+1,0*$Q$34+W65+1)&lt;0,2+(INDEX($B$35:$M$50,($Q$32-1-2)*$Q$33+X65+1,0*$Q$34+W65+1)-$Q$46)/$Q$48*$Q$42,NA())))</f>
        <v>2.1296693420401476</v>
      </c>
      <c r="AF65" t="e">
        <f>IF(V65=1,NA(),IF(INDEX($B$35:$M$50,($Q$32-1-3)*$Q$33+X65+1,0*$Q$34+W65+1)="",NA(),IF(INDEX($B$35:$M$50,($Q$32-1-3)*$Q$33+X65+1,0*$Q$34+W65+1)&gt;=0,3+(INDEX($B$35:$M$50,($Q$32-1-3)*$Q$33+X65+1,0*$Q$34+W65+1)-$Q$46)/$Q$48*$Q$42,NA())))</f>
        <v>#N/A</v>
      </c>
      <c r="AG65">
        <f>IF(V65=1,NA(),IF(INDEX($B$35:$M$50,($Q$32-1-3)*$Q$33+X65+1,0*$Q$34+W65+1)="",NA(),IF(INDEX($B$35:$M$50,($Q$32-1-3)*$Q$33+X65+1,0*$Q$34+W65+1)&lt;0,3+(INDEX($B$35:$M$50,($Q$32-1-3)*$Q$33+X65+1,0*$Q$34+W65+1)-$Q$46)/$Q$48*$Q$42,NA())))</f>
        <v>3.0969321643709162</v>
      </c>
      <c r="AI65">
        <f>IF(V65=1,0,IF(INDEX($B$35:$M$50,($Q$32-1-0)*$Q$33+X65+1,0*$Q$34+W65+1)="",0,IF(INDEX($B$35:$M$50,($Q$32-1-0)*$Q$33+X65+1,0*$Q$34+W65+1)&gt;=0,ABS(INDEX($B$35:$M$50,($Q$32-1-0)*$Q$33+X65+1,0*$Q$34+W65+1))/$Q$48*$Q$42,0)))</f>
        <v>0.13411914607994257</v>
      </c>
      <c r="AJ65">
        <f>IF(V65=1,0,IF(INDEX($B$35:$M$50,($Q$32-1-0)*$Q$33+X65+1,0*$Q$34+W65+1)="",0,IF(INDEX($B$35:$M$50,($Q$32-1-0)*$Q$33+X65+1,0*$Q$34+W65+1)&lt;0,ABS(INDEX($B$35:$M$50,($Q$32-1-0)*$Q$33+X65+1,0*$Q$34+W65+1))/$Q$48*$Q$42,0)))</f>
        <v>0</v>
      </c>
      <c r="AK65">
        <f>IF(V65=1,0,IF(INDEX($B$35:$M$50,($Q$32-1-1)*$Q$33+X65+1,0*$Q$34+W65+1)="",0,IF(INDEX($B$35:$M$50,($Q$32-1-1)*$Q$33+X65+1,0*$Q$34+W65+1)&gt;=0,ABS(INDEX($B$35:$M$50,($Q$32-1-1)*$Q$33+X65+1,0*$Q$34+W65+1))/$Q$48*$Q$42,0)))</f>
        <v>9.3074068325630453E-3</v>
      </c>
      <c r="AL65">
        <f>IF(V65=1,0,IF(INDEX($B$35:$M$50,($Q$32-1-1)*$Q$33+X65+1,0*$Q$34+W65+1)="",0,IF(INDEX($B$35:$M$50,($Q$32-1-1)*$Q$33+X65+1,0*$Q$34+W65+1)&lt;0,ABS(INDEX($B$35:$M$50,($Q$32-1-1)*$Q$33+X65+1,0*$Q$34+W65+1))/$Q$48*$Q$42,0)))</f>
        <v>0</v>
      </c>
      <c r="AM65">
        <f>IF(V65=1,0,IF(INDEX($B$35:$M$50,($Q$32-1-2)*$Q$33+X65+1,0*$Q$34+W65+1)="",0,IF(INDEX($B$35:$M$50,($Q$32-1-2)*$Q$33+X65+1,0*$Q$34+W65+1)&gt;=0,ABS(INDEX($B$35:$M$50,($Q$32-1-2)*$Q$33+X65+1,0*$Q$34+W65+1))/$Q$48*$Q$42,0)))</f>
        <v>0</v>
      </c>
      <c r="AN65">
        <f>IF(V65=1,0,IF(INDEX($B$35:$M$50,($Q$32-1-2)*$Q$33+X65+1,0*$Q$34+W65+1)="",0,IF(INDEX($B$35:$M$50,($Q$32-1-2)*$Q$33+X65+1,0*$Q$34+W65+1)&lt;0,ABS(INDEX($B$35:$M$50,($Q$32-1-2)*$Q$33+X65+1,0*$Q$34+W65+1))/$Q$48*$Q$42,0)))</f>
        <v>0.10461637224556666</v>
      </c>
      <c r="AO65">
        <f>IF(V65=1,0,IF(INDEX($B$35:$M$50,($Q$32-1-3)*$Q$33+X65+1,0*$Q$34+W65+1)="",0,IF(INDEX($B$35:$M$50,($Q$32-1-3)*$Q$33+X65+1,0*$Q$34+W65+1)&gt;=0,ABS(INDEX($B$35:$M$50,($Q$32-1-3)*$Q$33+X65+1,0*$Q$34+W65+1))/$Q$48*$Q$42,0)))</f>
        <v>0</v>
      </c>
      <c r="AP65">
        <f>IF(V65=1,0,IF(INDEX($B$35:$M$50,($Q$32-1-3)*$Q$33+X65+1,0*$Q$34+W65+1)="",0,IF(INDEX($B$35:$M$50,($Q$32-1-3)*$Q$33+X65+1,0*$Q$34+W65+1)&lt;0,ABS(INDEX($B$35:$M$50,($Q$32-1-3)*$Q$33+X65+1,0*$Q$34+W65+1))/$Q$48*$Q$42,0)))</f>
        <v>0.13735354991479817</v>
      </c>
      <c r="AR65" t="str">
        <f>IF(V65=1,"",IF(INDEX($B$35:$M$50,($Q$32-1-0)*$Q$33+X65+1,0*$Q$34+W65+1)="","",IF(INDEX($B$35:$M$50,($Q$32-1-0)*$Q$33+X65+1,0*$Q$34+W65+1)&gt;=0,TEXT(INDEX($B$35:$M$50,($Q$32-1-0)*$Q$33+X65+1,0*$Q$34+W65+1),"+0;-0;0"),"")))</f>
        <v>+57</v>
      </c>
      <c r="AS65" t="str">
        <f>IF(V65=1,"",IF(INDEX($B$35:$M$50,($Q$32-1-0)*$Q$33+X65+1,0*$Q$34+W65+1)="","",IF(INDEX($B$35:$M$50,($Q$32-1-0)*$Q$33+X65+1,0*$Q$34+W65+1)&lt;0,TEXT(INDEX($B$35:$M$50,($Q$32-1-0)*$Q$33+X65+1,0*$Q$34+W65+1),"+0;-0;0"),"")))</f>
        <v/>
      </c>
      <c r="AT65" t="str">
        <f>IF(V65=1,"",IF(INDEX($B$35:$M$50,($Q$32-1-1)*$Q$33+X65+1,0*$Q$34+W65+1)="","",IF(INDEX($B$35:$M$50,($Q$32-1-1)*$Q$33+X65+1,0*$Q$34+W65+1)&gt;=0,TEXT(INDEX($B$35:$M$50,($Q$32-1-1)*$Q$33+X65+1,0*$Q$34+W65+1),"+0;-0;0"),"")))</f>
        <v>+4</v>
      </c>
      <c r="AU65" t="str">
        <f>IF(V65=1,"",IF(INDEX($B$35:$M$50,($Q$32-1-1)*$Q$33+X65+1,0*$Q$34+W65+1)="","",IF(INDEX($B$35:$M$50,($Q$32-1-1)*$Q$33+X65+1,0*$Q$34+W65+1)&lt;0,TEXT(INDEX($B$35:$M$50,($Q$32-1-1)*$Q$33+X65+1,0*$Q$34+W65+1),"+0;-0;0"),"")))</f>
        <v/>
      </c>
      <c r="AV65" t="str">
        <f>IF(V65=1,"",IF(INDEX($B$35:$M$50,($Q$32-1-2)*$Q$33+X65+1,0*$Q$34+W65+1)="","",IF(INDEX($B$35:$M$50,($Q$32-1-2)*$Q$33+X65+1,0*$Q$34+W65+1)&gt;=0,TEXT(INDEX($B$35:$M$50,($Q$32-1-2)*$Q$33+X65+1,0*$Q$34+W65+1),"+0;-0;0"),"")))</f>
        <v/>
      </c>
      <c r="AW65" t="str">
        <f>IF(V65=1,"",IF(INDEX($B$35:$M$50,($Q$32-1-2)*$Q$33+X65+1,0*$Q$34+W65+1)="","",IF(INDEX($B$35:$M$50,($Q$32-1-2)*$Q$33+X65+1,0*$Q$34+W65+1)&lt;0,TEXT(INDEX($B$35:$M$50,($Q$32-1-2)*$Q$33+X65+1,0*$Q$34+W65+1),"+0;-0;0"),"")))</f>
        <v>-45</v>
      </c>
      <c r="AX65" t="str">
        <f>IF(V65=1,"",IF(INDEX($B$35:$M$50,($Q$32-1-3)*$Q$33+X65+1,0*$Q$34+W65+1)="","",IF(INDEX($B$35:$M$50,($Q$32-1-3)*$Q$33+X65+1,0*$Q$34+W65+1)&gt;=0,TEXT(INDEX($B$35:$M$50,($Q$32-1-3)*$Q$33+X65+1,0*$Q$34+W65+1),"+0;-0;0"),"")))</f>
        <v/>
      </c>
      <c r="AY65" t="str">
        <f>IF(V65=1,"",IF(INDEX($B$35:$M$50,($Q$32-1-3)*$Q$33+X65+1,0*$Q$34+W65+1)="","",IF(INDEX($B$35:$M$50,($Q$32-1-3)*$Q$33+X65+1,0*$Q$34+W65+1)&lt;0,TEXT(INDEX($B$35:$M$50,($Q$32-1-3)*$Q$33+X65+1,0*$Q$34+W65+1),"+0;-0;0"),"")))</f>
        <v>-59</v>
      </c>
      <c r="BG65">
        <v>3.5</v>
      </c>
      <c r="BH65">
        <f>IF(OR($Q$46&gt;0,$Q$47&lt;0),NA(),1+$Q$49)</f>
        <v>1.2342857142857142</v>
      </c>
      <c r="BJ65">
        <v>4</v>
      </c>
      <c r="BK65">
        <f>0+$Q$42+0.03</f>
        <v>0.85</v>
      </c>
      <c r="BL65" s="20" t="str">
        <f>'C13D'!$A$47</f>
        <v>2023</v>
      </c>
    </row>
    <row r="66" spans="16:64" x14ac:dyDescent="0.35">
      <c r="P66">
        <v>14</v>
      </c>
      <c r="Q66">
        <f>P66-$Q$41</f>
        <v>11</v>
      </c>
      <c r="R66">
        <f>IF(Q66&lt;=0,-1,INT((Q66-1)/($Q$39+$Q$40)))</f>
        <v>0</v>
      </c>
      <c r="S66">
        <f>IF(Q66&lt;=0,-1,MOD(Q66-1,($Q$39+$Q$40)))</f>
        <v>10</v>
      </c>
      <c r="T66">
        <f>IF(OR(S66&lt;0,S66&gt;=$Q$39),-1,INT(S66/$Q$38))</f>
        <v>10</v>
      </c>
      <c r="U66">
        <f>IF(OR(S66&lt;0,S66&gt;=$Q$39),-1,MOD(S66,$Q$38))</f>
        <v>0</v>
      </c>
      <c r="V66">
        <f>IF(OR(Q66&lt;=0,S66&lt;0,S66&gt;=$Q$39,R66&gt;=$Q$36),1,0)</f>
        <v>0</v>
      </c>
      <c r="W66">
        <f>IF(V66=1,-1,T66)</f>
        <v>10</v>
      </c>
      <c r="X66">
        <f>IF(V66=1,-1,R66)</f>
        <v>0</v>
      </c>
      <c r="Y66" t="str">
        <f>IF(V66=1,"",IF(AND(MOD(W66,3)=0,U66=INT(($Q$38-1)/2)),INDEX($B$34:$M$34,W66+1),""))</f>
        <v/>
      </c>
      <c r="Z66">
        <f>IF(V66=1,NA(),IF(INDEX($B$35:$M$50,($Q$32-1-0)*$Q$33+X66+1,0*$Q$34+W66+1)="",NA(),IF(INDEX($B$35:$M$50,($Q$32-1-0)*$Q$33+X66+1,0*$Q$34+W66+1)&gt;=0,0+(INDEX($B$35:$M$50,($Q$32-1-0)*$Q$33+X66+1,0*$Q$34+W66+1)-$Q$46)/$Q$48*$Q$42,NA())))</f>
        <v>0.40252567525122906</v>
      </c>
      <c r="AA66" t="e">
        <f>IF(V66=1,NA(),IF(INDEX($B$35:$M$50,($Q$32-1-0)*$Q$33+X66+1,0*$Q$34+W66+1)="",NA(),IF(INDEX($B$35:$M$50,($Q$32-1-0)*$Q$33+X66+1,0*$Q$34+W66+1)&lt;0,0+(INDEX($B$35:$M$50,($Q$32-1-0)*$Q$33+X66+1,0*$Q$34+W66+1)-$Q$46)/$Q$48*$Q$42,NA())))</f>
        <v>#N/A</v>
      </c>
      <c r="AB66" t="e">
        <f>IF(V66=1,NA(),IF(INDEX($B$35:$M$50,($Q$32-1-1)*$Q$33+X66+1,0*$Q$34+W66+1)="",NA(),IF(INDEX($B$35:$M$50,($Q$32-1-1)*$Q$33+X66+1,0*$Q$34+W66+1)&gt;=0,1+(INDEX($B$35:$M$50,($Q$32-1-1)*$Q$33+X66+1,0*$Q$34+W66+1)-$Q$46)/$Q$48*$Q$42,NA())))</f>
        <v>#N/A</v>
      </c>
      <c r="AC66">
        <f>IF(V66=1,NA(),IF(INDEX($B$35:$M$50,($Q$32-1-1)*$Q$33+X66+1,0*$Q$34+W66+1)="",NA(),IF(INDEX($B$35:$M$50,($Q$32-1-1)*$Q$33+X66+1,0*$Q$34+W66+1)&lt;0,1+(INDEX($B$35:$M$50,($Q$32-1-1)*$Q$33+X66+1,0*$Q$34+W66+1)-$Q$46)/$Q$48*$Q$42,NA())))</f>
        <v>1.2211586856404555</v>
      </c>
      <c r="AD66" t="e">
        <f>IF(V66=1,NA(),IF(INDEX($B$35:$M$50,($Q$32-1-2)*$Q$33+X66+1,0*$Q$34+W66+1)="",NA(),IF(INDEX($B$35:$M$50,($Q$32-1-2)*$Q$33+X66+1,0*$Q$34+W66+1)&gt;=0,2+(INDEX($B$35:$M$50,($Q$32-1-2)*$Q$33+X66+1,0*$Q$34+W66+1)-$Q$46)/$Q$48*$Q$42,NA())))</f>
        <v>#N/A</v>
      </c>
      <c r="AE66">
        <f>IF(V66=1,NA(),IF(INDEX($B$35:$M$50,($Q$32-1-2)*$Q$33+X66+1,0*$Q$34+W66+1)="",NA(),IF(INDEX($B$35:$M$50,($Q$32-1-2)*$Q$33+X66+1,0*$Q$34+W66+1)&lt;0,2+(INDEX($B$35:$M$50,($Q$32-1-2)*$Q$33+X66+1,0*$Q$34+W66+1)-$Q$46)/$Q$48*$Q$42,NA())))</f>
        <v>2.1277917431259379</v>
      </c>
      <c r="AF66" t="e">
        <f>IF(V66=1,NA(),IF(INDEX($B$35:$M$50,($Q$32-1-3)*$Q$33+X66+1,0*$Q$34+W66+1)="",NA(),IF(INDEX($B$35:$M$50,($Q$32-1-3)*$Q$33+X66+1,0*$Q$34+W66+1)&gt;=0,3+(INDEX($B$35:$M$50,($Q$32-1-3)*$Q$33+X66+1,0*$Q$34+W66+1)-$Q$46)/$Q$48*$Q$42,NA())))</f>
        <v>#N/A</v>
      </c>
      <c r="AG66">
        <f>IF(V66=1,NA(),IF(INDEX($B$35:$M$50,($Q$32-1-3)*$Q$33+X66+1,0*$Q$34+W66+1)="",NA(),IF(INDEX($B$35:$M$50,($Q$32-1-3)*$Q$33+X66+1,0*$Q$34+W66+1)&lt;0,3+(INDEX($B$35:$M$50,($Q$32-1-3)*$Q$33+X66+1,0*$Q$34+W66+1)-$Q$46)/$Q$48*$Q$42,NA())))</f>
        <v>3.0913138920449921</v>
      </c>
      <c r="AI66">
        <f>IF(V66=1,0,IF(INDEX($B$35:$M$50,($Q$32-1-0)*$Q$33+X66+1,0*$Q$34+W66+1)="",0,IF(INDEX($B$35:$M$50,($Q$32-1-0)*$Q$33+X66+1,0*$Q$34+W66+1)&gt;=0,ABS(INDEX($B$35:$M$50,($Q$32-1-0)*$Q$33+X66+1,0*$Q$34+W66+1))/$Q$48*$Q$42,0)))</f>
        <v>0.1682399609655148</v>
      </c>
      <c r="AJ66">
        <f>IF(V66=1,0,IF(INDEX($B$35:$M$50,($Q$32-1-0)*$Q$33+X66+1,0*$Q$34+W66+1)="",0,IF(INDEX($B$35:$M$50,($Q$32-1-0)*$Q$33+X66+1,0*$Q$34+W66+1)&lt;0,ABS(INDEX($B$35:$M$50,($Q$32-1-0)*$Q$33+X66+1,0*$Q$34+W66+1))/$Q$48*$Q$42,0)))</f>
        <v>0</v>
      </c>
      <c r="AK66">
        <f>IF(V66=1,0,IF(INDEX($B$35:$M$50,($Q$32-1-1)*$Q$33+X66+1,0*$Q$34+W66+1)="",0,IF(INDEX($B$35:$M$50,($Q$32-1-1)*$Q$33+X66+1,0*$Q$34+W66+1)&gt;=0,ABS(INDEX($B$35:$M$50,($Q$32-1-1)*$Q$33+X66+1,0*$Q$34+W66+1))/$Q$48*$Q$42,0)))</f>
        <v>0</v>
      </c>
      <c r="AL66">
        <f>IF(V66=1,0,IF(INDEX($B$35:$M$50,($Q$32-1-1)*$Q$33+X66+1,0*$Q$34+W66+1)="",0,IF(INDEX($B$35:$M$50,($Q$32-1-1)*$Q$33+X66+1,0*$Q$34+W66+1)&lt;0,ABS(INDEX($B$35:$M$50,($Q$32-1-1)*$Q$33+X66+1,0*$Q$34+W66+1))/$Q$48*$Q$42,0)))</f>
        <v>1.3127028645258906E-2</v>
      </c>
      <c r="AM66">
        <f>IF(V66=1,0,IF(INDEX($B$35:$M$50,($Q$32-1-2)*$Q$33+X66+1,0*$Q$34+W66+1)="",0,IF(INDEX($B$35:$M$50,($Q$32-1-2)*$Q$33+X66+1,0*$Q$34+W66+1)&gt;=0,ABS(INDEX($B$35:$M$50,($Q$32-1-2)*$Q$33+X66+1,0*$Q$34+W66+1))/$Q$48*$Q$42,0)))</f>
        <v>0</v>
      </c>
      <c r="AN66">
        <f>IF(V66=1,0,IF(INDEX($B$35:$M$50,($Q$32-1-2)*$Q$33+X66+1,0*$Q$34+W66+1)="",0,IF(INDEX($B$35:$M$50,($Q$32-1-2)*$Q$33+X66+1,0*$Q$34+W66+1)&lt;0,ABS(INDEX($B$35:$M$50,($Q$32-1-2)*$Q$33+X66+1,0*$Q$34+W66+1))/$Q$48*$Q$42,0)))</f>
        <v>0.10649397115977648</v>
      </c>
      <c r="AO66">
        <f>IF(V66=1,0,IF(INDEX($B$35:$M$50,($Q$32-1-3)*$Q$33+X66+1,0*$Q$34+W66+1)="",0,IF(INDEX($B$35:$M$50,($Q$32-1-3)*$Q$33+X66+1,0*$Q$34+W66+1)&gt;=0,ABS(INDEX($B$35:$M$50,($Q$32-1-3)*$Q$33+X66+1,0*$Q$34+W66+1))/$Q$48*$Q$42,0)))</f>
        <v>0</v>
      </c>
      <c r="AP66">
        <f>IF(V66=1,0,IF(INDEX($B$35:$M$50,($Q$32-1-3)*$Q$33+X66+1,0*$Q$34+W66+1)="",0,IF(INDEX($B$35:$M$50,($Q$32-1-3)*$Q$33+X66+1,0*$Q$34+W66+1)&lt;0,ABS(INDEX($B$35:$M$50,($Q$32-1-3)*$Q$33+X66+1,0*$Q$34+W66+1))/$Q$48*$Q$42,0)))</f>
        <v>0.14297182224072214</v>
      </c>
      <c r="AR66" t="str">
        <f>IF(V66=1,"",IF(INDEX($B$35:$M$50,($Q$32-1-0)*$Q$33+X66+1,0*$Q$34+W66+1)="","",IF(INDEX($B$35:$M$50,($Q$32-1-0)*$Q$33+X66+1,0*$Q$34+W66+1)&gt;=0,TEXT(INDEX($B$35:$M$50,($Q$32-1-0)*$Q$33+X66+1,0*$Q$34+W66+1),"+0;-0;0"),"")))</f>
        <v>+72</v>
      </c>
      <c r="AS66" t="str">
        <f>IF(V66=1,"",IF(INDEX($B$35:$M$50,($Q$32-1-0)*$Q$33+X66+1,0*$Q$34+W66+1)="","",IF(INDEX($B$35:$M$50,($Q$32-1-0)*$Q$33+X66+1,0*$Q$34+W66+1)&lt;0,TEXT(INDEX($B$35:$M$50,($Q$32-1-0)*$Q$33+X66+1,0*$Q$34+W66+1),"+0;-0;0"),"")))</f>
        <v/>
      </c>
      <c r="AT66" t="str">
        <f>IF(V66=1,"",IF(INDEX($B$35:$M$50,($Q$32-1-1)*$Q$33+X66+1,0*$Q$34+W66+1)="","",IF(INDEX($B$35:$M$50,($Q$32-1-1)*$Q$33+X66+1,0*$Q$34+W66+1)&gt;=0,TEXT(INDEX($B$35:$M$50,($Q$32-1-1)*$Q$33+X66+1,0*$Q$34+W66+1),"+0;-0;0"),"")))</f>
        <v/>
      </c>
      <c r="AU66" t="str">
        <f>IF(V66=1,"",IF(INDEX($B$35:$M$50,($Q$32-1-1)*$Q$33+X66+1,0*$Q$34+W66+1)="","",IF(INDEX($B$35:$M$50,($Q$32-1-1)*$Q$33+X66+1,0*$Q$34+W66+1)&lt;0,TEXT(INDEX($B$35:$M$50,($Q$32-1-1)*$Q$33+X66+1,0*$Q$34+W66+1),"+0;-0;0"),"")))</f>
        <v>-6</v>
      </c>
      <c r="AV66" t="str">
        <f>IF(V66=1,"",IF(INDEX($B$35:$M$50,($Q$32-1-2)*$Q$33+X66+1,0*$Q$34+W66+1)="","",IF(INDEX($B$35:$M$50,($Q$32-1-2)*$Q$33+X66+1,0*$Q$34+W66+1)&gt;=0,TEXT(INDEX($B$35:$M$50,($Q$32-1-2)*$Q$33+X66+1,0*$Q$34+W66+1),"+0;-0;0"),"")))</f>
        <v/>
      </c>
      <c r="AW66" t="str">
        <f>IF(V66=1,"",IF(INDEX($B$35:$M$50,($Q$32-1-2)*$Q$33+X66+1,0*$Q$34+W66+1)="","",IF(INDEX($B$35:$M$50,($Q$32-1-2)*$Q$33+X66+1,0*$Q$34+W66+1)&lt;0,TEXT(INDEX($B$35:$M$50,($Q$32-1-2)*$Q$33+X66+1,0*$Q$34+W66+1),"+0;-0;0"),"")))</f>
        <v>-45</v>
      </c>
      <c r="AX66" t="str">
        <f>IF(V66=1,"",IF(INDEX($B$35:$M$50,($Q$32-1-3)*$Q$33+X66+1,0*$Q$34+W66+1)="","",IF(INDEX($B$35:$M$50,($Q$32-1-3)*$Q$33+X66+1,0*$Q$34+W66+1)&gt;=0,TEXT(INDEX($B$35:$M$50,($Q$32-1-3)*$Q$33+X66+1,0*$Q$34+W66+1),"+0;-0;0"),"")))</f>
        <v/>
      </c>
      <c r="AY66" t="str">
        <f>IF(V66=1,"",IF(INDEX($B$35:$M$50,($Q$32-1-3)*$Q$33+X66+1,0*$Q$34+W66+1)="","",IF(INDEX($B$35:$M$50,($Q$32-1-3)*$Q$33+X66+1,0*$Q$34+W66+1)&lt;0,TEXT(INDEX($B$35:$M$50,($Q$32-1-3)*$Q$33+X66+1,0*$Q$34+W66+1),"+0;-0;0"),"")))</f>
        <v>-61</v>
      </c>
      <c r="BG66">
        <v>15.5</v>
      </c>
      <c r="BH66">
        <f>IF(OR($Q$46&gt;0,$Q$47&lt;0),NA(),1+$Q$49)</f>
        <v>1.2342857142857142</v>
      </c>
      <c r="BJ66">
        <v>17</v>
      </c>
      <c r="BK66">
        <f>0+$Q$42+0.03</f>
        <v>0.85</v>
      </c>
      <c r="BL66" s="20" t="str">
        <f>'C13D'!$A$48</f>
        <v>2024</v>
      </c>
    </row>
    <row r="67" spans="16:64" x14ac:dyDescent="0.35">
      <c r="P67">
        <v>15</v>
      </c>
      <c r="Q67">
        <f>P67-$Q$41</f>
        <v>12</v>
      </c>
      <c r="R67">
        <f>IF(Q67&lt;=0,-1,INT((Q67-1)/($Q$39+$Q$40)))</f>
        <v>0</v>
      </c>
      <c r="S67">
        <f>IF(Q67&lt;=0,-1,MOD(Q67-1,($Q$39+$Q$40)))</f>
        <v>11</v>
      </c>
      <c r="T67">
        <f>IF(OR(S67&lt;0,S67&gt;=$Q$39),-1,INT(S67/$Q$38))</f>
        <v>11</v>
      </c>
      <c r="U67">
        <f>IF(OR(S67&lt;0,S67&gt;=$Q$39),-1,MOD(S67,$Q$38))</f>
        <v>0</v>
      </c>
      <c r="V67">
        <f>IF(OR(Q67&lt;=0,S67&lt;0,S67&gt;=$Q$39,R67&gt;=$Q$36),1,0)</f>
        <v>0</v>
      </c>
      <c r="W67">
        <f>IF(V67=1,-1,T67)</f>
        <v>11</v>
      </c>
      <c r="X67">
        <f>IF(V67=1,-1,R67)</f>
        <v>0</v>
      </c>
      <c r="Y67" t="str">
        <f>IF(V67=1,"",IF(AND(MOD(W67,3)=0,U67=INT(($Q$38-1)/2)),INDEX($B$34:$M$34,W67+1),""))</f>
        <v/>
      </c>
      <c r="Z67">
        <f>IF(V67=1,NA(),IF(INDEX($B$35:$M$50,($Q$32-1-0)*$Q$33+X67+1,0*$Q$34+W67+1)="",NA(),IF(INDEX($B$35:$M$50,($Q$32-1-0)*$Q$33+X67+1,0*$Q$34+W67+1)&gt;=0,0+(INDEX($B$35:$M$50,($Q$32-1-0)*$Q$33+X67+1,0*$Q$34+W67+1)-$Q$46)/$Q$48*$Q$42,NA())))</f>
        <v>0.40589792718095385</v>
      </c>
      <c r="AA67" t="e">
        <f>IF(V67=1,NA(),IF(INDEX($B$35:$M$50,($Q$32-1-0)*$Q$33+X67+1,0*$Q$34+W67+1)="",NA(),IF(INDEX($B$35:$M$50,($Q$32-1-0)*$Q$33+X67+1,0*$Q$34+W67+1)&lt;0,0+(INDEX($B$35:$M$50,($Q$32-1-0)*$Q$33+X67+1,0*$Q$34+W67+1)-$Q$46)/$Q$48*$Q$42,NA())))</f>
        <v>#N/A</v>
      </c>
      <c r="AB67">
        <f>IF(V67=1,NA(),IF(INDEX($B$35:$M$50,($Q$32-1-1)*$Q$33+X67+1,0*$Q$34+W67+1)="",NA(),IF(INDEX($B$35:$M$50,($Q$32-1-1)*$Q$33+X67+1,0*$Q$34+W67+1)&gt;=0,1+(INDEX($B$35:$M$50,($Q$32-1-1)*$Q$33+X67+1,0*$Q$34+W67+1)-$Q$46)/$Q$48*$Q$42,NA())))</f>
        <v>1.2779159190905505</v>
      </c>
      <c r="AC67" t="e">
        <f>IF(V67=1,NA(),IF(INDEX($B$35:$M$50,($Q$32-1-1)*$Q$33+X67+1,0*$Q$34+W67+1)="",NA(),IF(INDEX($B$35:$M$50,($Q$32-1-1)*$Q$33+X67+1,0*$Q$34+W67+1)&lt;0,1+(INDEX($B$35:$M$50,($Q$32-1-1)*$Q$33+X67+1,0*$Q$34+W67+1)-$Q$46)/$Q$48*$Q$42,NA())))</f>
        <v>#N/A</v>
      </c>
      <c r="AD67" t="e">
        <f>IF(V67=1,NA(),IF(INDEX($B$35:$M$50,($Q$32-1-2)*$Q$33+X67+1,0*$Q$34+W67+1)="",NA(),IF(INDEX($B$35:$M$50,($Q$32-1-2)*$Q$33+X67+1,0*$Q$34+W67+1)&gt;=0,2+(INDEX($B$35:$M$50,($Q$32-1-2)*$Q$33+X67+1,0*$Q$34+W67+1)-$Q$46)/$Q$48*$Q$42,NA())))</f>
        <v>#N/A</v>
      </c>
      <c r="AE67">
        <f>IF(V67=1,NA(),IF(INDEX($B$35:$M$50,($Q$32-1-2)*$Q$33+X67+1,0*$Q$34+W67+1)="",NA(),IF(INDEX($B$35:$M$50,($Q$32-1-2)*$Q$33+X67+1,0*$Q$34+W67+1)&lt;0,2+(INDEX($B$35:$M$50,($Q$32-1-2)*$Q$33+X67+1,0*$Q$34+W67+1)-$Q$46)/$Q$48*$Q$42,NA())))</f>
        <v>2.1159113750911134</v>
      </c>
      <c r="AF67" t="e">
        <f>IF(V67=1,NA(),IF(INDEX($B$35:$M$50,($Q$32-1-3)*$Q$33+X67+1,0*$Q$34+W67+1)="",NA(),IF(INDEX($B$35:$M$50,($Q$32-1-3)*$Q$33+X67+1,0*$Q$34+W67+1)&gt;=0,3+(INDEX($B$35:$M$50,($Q$32-1-3)*$Q$33+X67+1,0*$Q$34+W67+1)-$Q$46)/$Q$48*$Q$42,NA())))</f>
        <v>#N/A</v>
      </c>
      <c r="AG67">
        <f>IF(V67=1,NA(),IF(INDEX($B$35:$M$50,($Q$32-1-3)*$Q$33+X67+1,0*$Q$34+W67+1)="",NA(),IF(INDEX($B$35:$M$50,($Q$32-1-3)*$Q$33+X67+1,0*$Q$34+W67+1)&lt;0,3+(INDEX($B$35:$M$50,($Q$32-1-3)*$Q$33+X67+1,0*$Q$34+W67+1)-$Q$46)/$Q$48*$Q$42,NA())))</f>
        <v>3.0842030708881509</v>
      </c>
      <c r="AI67">
        <f>IF(V67=1,0,IF(INDEX($B$35:$M$50,($Q$32-1-0)*$Q$33+X67+1,0*$Q$34+W67+1)="",0,IF(INDEX($B$35:$M$50,($Q$32-1-0)*$Q$33+X67+1,0*$Q$34+W67+1)&gt;=0,ABS(INDEX($B$35:$M$50,($Q$32-1-0)*$Q$33+X67+1,0*$Q$34+W67+1))/$Q$48*$Q$42,0)))</f>
        <v>0.17161221289523965</v>
      </c>
      <c r="AJ67">
        <f>IF(V67=1,0,IF(INDEX($B$35:$M$50,($Q$32-1-0)*$Q$33+X67+1,0*$Q$34+W67+1)="",0,IF(INDEX($B$35:$M$50,($Q$32-1-0)*$Q$33+X67+1,0*$Q$34+W67+1)&lt;0,ABS(INDEX($B$35:$M$50,($Q$32-1-0)*$Q$33+X67+1,0*$Q$34+W67+1))/$Q$48*$Q$42,0)))</f>
        <v>0</v>
      </c>
      <c r="AK67">
        <f>IF(V67=1,0,IF(INDEX($B$35:$M$50,($Q$32-1-1)*$Q$33+X67+1,0*$Q$34+W67+1)="",0,IF(INDEX($B$35:$M$50,($Q$32-1-1)*$Q$33+X67+1,0*$Q$34+W67+1)&gt;=0,ABS(INDEX($B$35:$M$50,($Q$32-1-1)*$Q$33+X67+1,0*$Q$34+W67+1))/$Q$48*$Q$42,0)))</f>
        <v>4.3630204804836134E-2</v>
      </c>
      <c r="AL67">
        <f>IF(V67=1,0,IF(INDEX($B$35:$M$50,($Q$32-1-1)*$Q$33+X67+1,0*$Q$34+W67+1)="",0,IF(INDEX($B$35:$M$50,($Q$32-1-1)*$Q$33+X67+1,0*$Q$34+W67+1)&lt;0,ABS(INDEX($B$35:$M$50,($Q$32-1-1)*$Q$33+X67+1,0*$Q$34+W67+1))/$Q$48*$Q$42,0)))</f>
        <v>0</v>
      </c>
      <c r="AM67">
        <f>IF(V67=1,0,IF(INDEX($B$35:$M$50,($Q$32-1-2)*$Q$33+X67+1,0*$Q$34+W67+1)="",0,IF(INDEX($B$35:$M$50,($Q$32-1-2)*$Q$33+X67+1,0*$Q$34+W67+1)&gt;=0,ABS(INDEX($B$35:$M$50,($Q$32-1-2)*$Q$33+X67+1,0*$Q$34+W67+1))/$Q$48*$Q$42,0)))</f>
        <v>0</v>
      </c>
      <c r="AN67">
        <f>IF(V67=1,0,IF(INDEX($B$35:$M$50,($Q$32-1-2)*$Q$33+X67+1,0*$Q$34+W67+1)="",0,IF(INDEX($B$35:$M$50,($Q$32-1-2)*$Q$33+X67+1,0*$Q$34+W67+1)&lt;0,ABS(INDEX($B$35:$M$50,($Q$32-1-2)*$Q$33+X67+1,0*$Q$34+W67+1))/$Q$48*$Q$42,0)))</f>
        <v>0.11837433919460079</v>
      </c>
      <c r="AO67">
        <f>IF(V67=1,0,IF(INDEX($B$35:$M$50,($Q$32-1-3)*$Q$33+X67+1,0*$Q$34+W67+1)="",0,IF(INDEX($B$35:$M$50,($Q$32-1-3)*$Q$33+X67+1,0*$Q$34+W67+1)&gt;=0,ABS(INDEX($B$35:$M$50,($Q$32-1-3)*$Q$33+X67+1,0*$Q$34+W67+1))/$Q$48*$Q$42,0)))</f>
        <v>0</v>
      </c>
      <c r="AP67">
        <f>IF(V67=1,0,IF(INDEX($B$35:$M$50,($Q$32-1-3)*$Q$33+X67+1,0*$Q$34+W67+1)="",0,IF(INDEX($B$35:$M$50,($Q$32-1-3)*$Q$33+X67+1,0*$Q$34+W67+1)&lt;0,ABS(INDEX($B$35:$M$50,($Q$32-1-3)*$Q$33+X67+1,0*$Q$34+W67+1))/$Q$48*$Q$42,0)))</f>
        <v>0.15008264339756336</v>
      </c>
      <c r="AR67" t="str">
        <f>IF(V67=1,"",IF(INDEX($B$35:$M$50,($Q$32-1-0)*$Q$33+X67+1,0*$Q$34+W67+1)="","",IF(INDEX($B$35:$M$50,($Q$32-1-0)*$Q$33+X67+1,0*$Q$34+W67+1)&gt;=0,TEXT(INDEX($B$35:$M$50,($Q$32-1-0)*$Q$33+X67+1,0*$Q$34+W67+1),"+0;-0;0"),"")))</f>
        <v>+73</v>
      </c>
      <c r="AS67" t="str">
        <f>IF(V67=1,"",IF(INDEX($B$35:$M$50,($Q$32-1-0)*$Q$33+X67+1,0*$Q$34+W67+1)="","",IF(INDEX($B$35:$M$50,($Q$32-1-0)*$Q$33+X67+1,0*$Q$34+W67+1)&lt;0,TEXT(INDEX($B$35:$M$50,($Q$32-1-0)*$Q$33+X67+1,0*$Q$34+W67+1),"+0;-0;0"),"")))</f>
        <v/>
      </c>
      <c r="AT67" t="str">
        <f>IF(V67=1,"",IF(INDEX($B$35:$M$50,($Q$32-1-1)*$Q$33+X67+1,0*$Q$34+W67+1)="","",IF(INDEX($B$35:$M$50,($Q$32-1-1)*$Q$33+X67+1,0*$Q$34+W67+1)&gt;=0,TEXT(INDEX($B$35:$M$50,($Q$32-1-1)*$Q$33+X67+1,0*$Q$34+W67+1),"+0;-0;0"),"")))</f>
        <v>+19</v>
      </c>
      <c r="AU67" t="str">
        <f>IF(V67=1,"",IF(INDEX($B$35:$M$50,($Q$32-1-1)*$Q$33+X67+1,0*$Q$34+W67+1)="","",IF(INDEX($B$35:$M$50,($Q$32-1-1)*$Q$33+X67+1,0*$Q$34+W67+1)&lt;0,TEXT(INDEX($B$35:$M$50,($Q$32-1-1)*$Q$33+X67+1,0*$Q$34+W67+1),"+0;-0;0"),"")))</f>
        <v/>
      </c>
      <c r="AV67" t="str">
        <f>IF(V67=1,"",IF(INDEX($B$35:$M$50,($Q$32-1-2)*$Q$33+X67+1,0*$Q$34+W67+1)="","",IF(INDEX($B$35:$M$50,($Q$32-1-2)*$Q$33+X67+1,0*$Q$34+W67+1)&gt;=0,TEXT(INDEX($B$35:$M$50,($Q$32-1-2)*$Q$33+X67+1,0*$Q$34+W67+1),"+0;-0;0"),"")))</f>
        <v/>
      </c>
      <c r="AW67" t="str">
        <f>IF(V67=1,"",IF(INDEX($B$35:$M$50,($Q$32-1-2)*$Q$33+X67+1,0*$Q$34+W67+1)="","",IF(INDEX($B$35:$M$50,($Q$32-1-2)*$Q$33+X67+1,0*$Q$34+W67+1)&lt;0,TEXT(INDEX($B$35:$M$50,($Q$32-1-2)*$Q$33+X67+1,0*$Q$34+W67+1),"+0;-0;0"),"")))</f>
        <v>-51</v>
      </c>
      <c r="AX67" t="str">
        <f>IF(V67=1,"",IF(INDEX($B$35:$M$50,($Q$32-1-3)*$Q$33+X67+1,0*$Q$34+W67+1)="","",IF(INDEX($B$35:$M$50,($Q$32-1-3)*$Q$33+X67+1,0*$Q$34+W67+1)&gt;=0,TEXT(INDEX($B$35:$M$50,($Q$32-1-3)*$Q$33+X67+1,0*$Q$34+W67+1),"+0;-0;0"),"")))</f>
        <v/>
      </c>
      <c r="AY67" t="str">
        <f>IF(V67=1,"",IF(INDEX($B$35:$M$50,($Q$32-1-3)*$Q$33+X67+1,0*$Q$34+W67+1)="","",IF(INDEX($B$35:$M$50,($Q$32-1-3)*$Q$33+X67+1,0*$Q$34+W67+1)&lt;0,TEXT(INDEX($B$35:$M$50,($Q$32-1-3)*$Q$33+X67+1,0*$Q$34+W67+1),"+0;-0;0"),"")))</f>
        <v>-64</v>
      </c>
      <c r="BG67">
        <v>15.5</v>
      </c>
      <c r="BH67" t="e">
        <f>NA()</f>
        <v>#N/A</v>
      </c>
      <c r="BJ67">
        <v>30</v>
      </c>
      <c r="BK67">
        <f>0+$Q$42+0.03</f>
        <v>0.85</v>
      </c>
      <c r="BL67" s="20" t="str">
        <f>'C13D'!$A$49</f>
        <v>2025</v>
      </c>
    </row>
    <row r="68" spans="16:64" x14ac:dyDescent="0.35">
      <c r="P68">
        <v>16</v>
      </c>
      <c r="Q68">
        <f>P68-$Q$41</f>
        <v>13</v>
      </c>
      <c r="R68">
        <f>IF(Q68&lt;=0,-1,INT((Q68-1)/($Q$39+$Q$40)))</f>
        <v>0</v>
      </c>
      <c r="S68">
        <f>IF(Q68&lt;=0,-1,MOD(Q68-1,($Q$39+$Q$40)))</f>
        <v>12</v>
      </c>
      <c r="T68">
        <f>IF(OR(S68&lt;0,S68&gt;=$Q$39),-1,INT(S68/$Q$38))</f>
        <v>-1</v>
      </c>
      <c r="U68">
        <f>IF(OR(S68&lt;0,S68&gt;=$Q$39),-1,MOD(S68,$Q$38))</f>
        <v>-1</v>
      </c>
      <c r="V68">
        <f>IF(OR(Q68&lt;=0,S68&lt;0,S68&gt;=$Q$39,R68&gt;=$Q$36),1,0)</f>
        <v>1</v>
      </c>
      <c r="W68">
        <f>IF(V68=1,-1,T68)</f>
        <v>-1</v>
      </c>
      <c r="X68">
        <f>IF(V68=1,-1,R68)</f>
        <v>-1</v>
      </c>
      <c r="Y68" t="str">
        <f>IF(V68=1,"",IF(AND(MOD(W68,3)=0,U68=INT(($Q$38-1)/2)),INDEX($B$34:$M$34,W68+1),""))</f>
        <v/>
      </c>
      <c r="Z68" t="e">
        <f>IF(V68=1,NA(),IF(INDEX($B$35:$M$50,($Q$32-1-0)*$Q$33+X68+1,0*$Q$34+W68+1)="",NA(),IF(INDEX($B$35:$M$50,($Q$32-1-0)*$Q$33+X68+1,0*$Q$34+W68+1)&gt;=0,0+(INDEX($B$35:$M$50,($Q$32-1-0)*$Q$33+X68+1,0*$Q$34+W68+1)-$Q$46)/$Q$48*$Q$42,NA())))</f>
        <v>#N/A</v>
      </c>
      <c r="AA68" t="e">
        <f>IF(V68=1,NA(),IF(INDEX($B$35:$M$50,($Q$32-1-0)*$Q$33+X68+1,0*$Q$34+W68+1)="",NA(),IF(INDEX($B$35:$M$50,($Q$32-1-0)*$Q$33+X68+1,0*$Q$34+W68+1)&lt;0,0+(INDEX($B$35:$M$50,($Q$32-1-0)*$Q$33+X68+1,0*$Q$34+W68+1)-$Q$46)/$Q$48*$Q$42,NA())))</f>
        <v>#N/A</v>
      </c>
      <c r="AB68" t="e">
        <f>IF(V68=1,NA(),IF(INDEX($B$35:$M$50,($Q$32-1-1)*$Q$33+X68+1,0*$Q$34+W68+1)="",NA(),IF(INDEX($B$35:$M$50,($Q$32-1-1)*$Q$33+X68+1,0*$Q$34+W68+1)&gt;=0,1+(INDEX($B$35:$M$50,($Q$32-1-1)*$Q$33+X68+1,0*$Q$34+W68+1)-$Q$46)/$Q$48*$Q$42,NA())))</f>
        <v>#N/A</v>
      </c>
      <c r="AC68" t="e">
        <f>IF(V68=1,NA(),IF(INDEX($B$35:$M$50,($Q$32-1-1)*$Q$33+X68+1,0*$Q$34+W68+1)="",NA(),IF(INDEX($B$35:$M$50,($Q$32-1-1)*$Q$33+X68+1,0*$Q$34+W68+1)&lt;0,1+(INDEX($B$35:$M$50,($Q$32-1-1)*$Q$33+X68+1,0*$Q$34+W68+1)-$Q$46)/$Q$48*$Q$42,NA())))</f>
        <v>#N/A</v>
      </c>
      <c r="AD68" t="e">
        <f>IF(V68=1,NA(),IF(INDEX($B$35:$M$50,($Q$32-1-2)*$Q$33+X68+1,0*$Q$34+W68+1)="",NA(),IF(INDEX($B$35:$M$50,($Q$32-1-2)*$Q$33+X68+1,0*$Q$34+W68+1)&gt;=0,2+(INDEX($B$35:$M$50,($Q$32-1-2)*$Q$33+X68+1,0*$Q$34+W68+1)-$Q$46)/$Q$48*$Q$42,NA())))</f>
        <v>#N/A</v>
      </c>
      <c r="AE68" t="e">
        <f>IF(V68=1,NA(),IF(INDEX($B$35:$M$50,($Q$32-1-2)*$Q$33+X68+1,0*$Q$34+W68+1)="",NA(),IF(INDEX($B$35:$M$50,($Q$32-1-2)*$Q$33+X68+1,0*$Q$34+W68+1)&lt;0,2+(INDEX($B$35:$M$50,($Q$32-1-2)*$Q$33+X68+1,0*$Q$34+W68+1)-$Q$46)/$Q$48*$Q$42,NA())))</f>
        <v>#N/A</v>
      </c>
      <c r="AF68" t="e">
        <f>IF(V68=1,NA(),IF(INDEX($B$35:$M$50,($Q$32-1-3)*$Q$33+X68+1,0*$Q$34+W68+1)="",NA(),IF(INDEX($B$35:$M$50,($Q$32-1-3)*$Q$33+X68+1,0*$Q$34+W68+1)&gt;=0,3+(INDEX($B$35:$M$50,($Q$32-1-3)*$Q$33+X68+1,0*$Q$34+W68+1)-$Q$46)/$Q$48*$Q$42,NA())))</f>
        <v>#N/A</v>
      </c>
      <c r="AG68" t="e">
        <f>IF(V68=1,NA(),IF(INDEX($B$35:$M$50,($Q$32-1-3)*$Q$33+X68+1,0*$Q$34+W68+1)="",NA(),IF(INDEX($B$35:$M$50,($Q$32-1-3)*$Q$33+X68+1,0*$Q$34+W68+1)&lt;0,3+(INDEX($B$35:$M$50,($Q$32-1-3)*$Q$33+X68+1,0*$Q$34+W68+1)-$Q$46)/$Q$48*$Q$42,NA())))</f>
        <v>#N/A</v>
      </c>
      <c r="AI68">
        <f>IF(V68=1,0,IF(INDEX($B$35:$M$50,($Q$32-1-0)*$Q$33+X68+1,0*$Q$34+W68+1)="",0,IF(INDEX($B$35:$M$50,($Q$32-1-0)*$Q$33+X68+1,0*$Q$34+W68+1)&gt;=0,ABS(INDEX($B$35:$M$50,($Q$32-1-0)*$Q$33+X68+1,0*$Q$34+W68+1))/$Q$48*$Q$42,0)))</f>
        <v>0</v>
      </c>
      <c r="AJ68">
        <f>IF(V68=1,0,IF(INDEX($B$35:$M$50,($Q$32-1-0)*$Q$33+X68+1,0*$Q$34+W68+1)="",0,IF(INDEX($B$35:$M$50,($Q$32-1-0)*$Q$33+X68+1,0*$Q$34+W68+1)&lt;0,ABS(INDEX($B$35:$M$50,($Q$32-1-0)*$Q$33+X68+1,0*$Q$34+W68+1))/$Q$48*$Q$42,0)))</f>
        <v>0</v>
      </c>
      <c r="AK68">
        <f>IF(V68=1,0,IF(INDEX($B$35:$M$50,($Q$32-1-1)*$Q$33+X68+1,0*$Q$34+W68+1)="",0,IF(INDEX($B$35:$M$50,($Q$32-1-1)*$Q$33+X68+1,0*$Q$34+W68+1)&gt;=0,ABS(INDEX($B$35:$M$50,($Q$32-1-1)*$Q$33+X68+1,0*$Q$34+W68+1))/$Q$48*$Q$42,0)))</f>
        <v>0</v>
      </c>
      <c r="AL68">
        <f>IF(V68=1,0,IF(INDEX($B$35:$M$50,($Q$32-1-1)*$Q$33+X68+1,0*$Q$34+W68+1)="",0,IF(INDEX($B$35:$M$50,($Q$32-1-1)*$Q$33+X68+1,0*$Q$34+W68+1)&lt;0,ABS(INDEX($B$35:$M$50,($Q$32-1-1)*$Q$33+X68+1,0*$Q$34+W68+1))/$Q$48*$Q$42,0)))</f>
        <v>0</v>
      </c>
      <c r="AM68">
        <f>IF(V68=1,0,IF(INDEX($B$35:$M$50,($Q$32-1-2)*$Q$33+X68+1,0*$Q$34+W68+1)="",0,IF(INDEX($B$35:$M$50,($Q$32-1-2)*$Q$33+X68+1,0*$Q$34+W68+1)&gt;=0,ABS(INDEX($B$35:$M$50,($Q$32-1-2)*$Q$33+X68+1,0*$Q$34+W68+1))/$Q$48*$Q$42,0)))</f>
        <v>0</v>
      </c>
      <c r="AN68">
        <f>IF(V68=1,0,IF(INDEX($B$35:$M$50,($Q$32-1-2)*$Q$33+X68+1,0*$Q$34+W68+1)="",0,IF(INDEX($B$35:$M$50,($Q$32-1-2)*$Q$33+X68+1,0*$Q$34+W68+1)&lt;0,ABS(INDEX($B$35:$M$50,($Q$32-1-2)*$Q$33+X68+1,0*$Q$34+W68+1))/$Q$48*$Q$42,0)))</f>
        <v>0</v>
      </c>
      <c r="AO68">
        <f>IF(V68=1,0,IF(INDEX($B$35:$M$50,($Q$32-1-3)*$Q$33+X68+1,0*$Q$34+W68+1)="",0,IF(INDEX($B$35:$M$50,($Q$32-1-3)*$Q$33+X68+1,0*$Q$34+W68+1)&gt;=0,ABS(INDEX($B$35:$M$50,($Q$32-1-3)*$Q$33+X68+1,0*$Q$34+W68+1))/$Q$48*$Q$42,0)))</f>
        <v>0</v>
      </c>
      <c r="AP68">
        <f>IF(V68=1,0,IF(INDEX($B$35:$M$50,($Q$32-1-3)*$Q$33+X68+1,0*$Q$34+W68+1)="",0,IF(INDEX($B$35:$M$50,($Q$32-1-3)*$Q$33+X68+1,0*$Q$34+W68+1)&lt;0,ABS(INDEX($B$35:$M$50,($Q$32-1-3)*$Q$33+X68+1,0*$Q$34+W68+1))/$Q$48*$Q$42,0)))</f>
        <v>0</v>
      </c>
      <c r="AR68" t="str">
        <f>IF(V68=1,"",IF(INDEX($B$35:$M$50,($Q$32-1-0)*$Q$33+X68+1,0*$Q$34+W68+1)="","",IF(INDEX($B$35:$M$50,($Q$32-1-0)*$Q$33+X68+1,0*$Q$34+W68+1)&gt;=0,TEXT(INDEX($B$35:$M$50,($Q$32-1-0)*$Q$33+X68+1,0*$Q$34+W68+1),"+0;-0;0"),"")))</f>
        <v/>
      </c>
      <c r="AS68" t="str">
        <f>IF(V68=1,"",IF(INDEX($B$35:$M$50,($Q$32-1-0)*$Q$33+X68+1,0*$Q$34+W68+1)="","",IF(INDEX($B$35:$M$50,($Q$32-1-0)*$Q$33+X68+1,0*$Q$34+W68+1)&lt;0,TEXT(INDEX($B$35:$M$50,($Q$32-1-0)*$Q$33+X68+1,0*$Q$34+W68+1),"+0;-0;0"),"")))</f>
        <v/>
      </c>
      <c r="AT68" t="str">
        <f>IF(V68=1,"",IF(INDEX($B$35:$M$50,($Q$32-1-1)*$Q$33+X68+1,0*$Q$34+W68+1)="","",IF(INDEX($B$35:$M$50,($Q$32-1-1)*$Q$33+X68+1,0*$Q$34+W68+1)&gt;=0,TEXT(INDEX($B$35:$M$50,($Q$32-1-1)*$Q$33+X68+1,0*$Q$34+W68+1),"+0;-0;0"),"")))</f>
        <v/>
      </c>
      <c r="AU68" t="str">
        <f>IF(V68=1,"",IF(INDEX($B$35:$M$50,($Q$32-1-1)*$Q$33+X68+1,0*$Q$34+W68+1)="","",IF(INDEX($B$35:$M$50,($Q$32-1-1)*$Q$33+X68+1,0*$Q$34+W68+1)&lt;0,TEXT(INDEX($B$35:$M$50,($Q$32-1-1)*$Q$33+X68+1,0*$Q$34+W68+1),"+0;-0;0"),"")))</f>
        <v/>
      </c>
      <c r="AV68" t="str">
        <f>IF(V68=1,"",IF(INDEX($B$35:$M$50,($Q$32-1-2)*$Q$33+X68+1,0*$Q$34+W68+1)="","",IF(INDEX($B$35:$M$50,($Q$32-1-2)*$Q$33+X68+1,0*$Q$34+W68+1)&gt;=0,TEXT(INDEX($B$35:$M$50,($Q$32-1-2)*$Q$33+X68+1,0*$Q$34+W68+1),"+0;-0;0"),"")))</f>
        <v/>
      </c>
      <c r="AW68" t="str">
        <f>IF(V68=1,"",IF(INDEX($B$35:$M$50,($Q$32-1-2)*$Q$33+X68+1,0*$Q$34+W68+1)="","",IF(INDEX($B$35:$M$50,($Q$32-1-2)*$Q$33+X68+1,0*$Q$34+W68+1)&lt;0,TEXT(INDEX($B$35:$M$50,($Q$32-1-2)*$Q$33+X68+1,0*$Q$34+W68+1),"+0;-0;0"),"")))</f>
        <v/>
      </c>
      <c r="AX68" t="str">
        <f>IF(V68=1,"",IF(INDEX($B$35:$M$50,($Q$32-1-3)*$Q$33+X68+1,0*$Q$34+W68+1)="","",IF(INDEX($B$35:$M$50,($Q$32-1-3)*$Q$33+X68+1,0*$Q$34+W68+1)&gt;=0,TEXT(INDEX($B$35:$M$50,($Q$32-1-3)*$Q$33+X68+1,0*$Q$34+W68+1),"+0;-0;0"),"")))</f>
        <v/>
      </c>
      <c r="AY68" t="str">
        <f>IF(V68=1,"",IF(INDEX($B$35:$M$50,($Q$32-1-3)*$Q$33+X68+1,0*$Q$34+W68+1)="","",IF(INDEX($B$35:$M$50,($Q$32-1-3)*$Q$33+X68+1,0*$Q$34+W68+1)&lt;0,TEXT(INDEX($B$35:$M$50,($Q$32-1-3)*$Q$33+X68+1,0*$Q$34+W68+1),"+0;-0;0"),"")))</f>
        <v/>
      </c>
      <c r="BG68">
        <v>16.5</v>
      </c>
      <c r="BH68">
        <f>IF(OR($Q$46&gt;0,$Q$47&lt;0),NA(),1+$Q$49)</f>
        <v>1.2342857142857142</v>
      </c>
      <c r="BJ68">
        <v>43</v>
      </c>
      <c r="BK68">
        <f>0+$Q$42+0.03</f>
        <v>0.85</v>
      </c>
      <c r="BL68" s="20" t="str">
        <f>'C13D'!$A$50</f>
        <v/>
      </c>
    </row>
    <row r="69" spans="16:64" x14ac:dyDescent="0.35">
      <c r="P69">
        <v>17</v>
      </c>
      <c r="Q69">
        <f>P69-$Q$41</f>
        <v>14</v>
      </c>
      <c r="R69">
        <f>IF(Q69&lt;=0,-1,INT((Q69-1)/($Q$39+$Q$40)))</f>
        <v>1</v>
      </c>
      <c r="S69">
        <f>IF(Q69&lt;=0,-1,MOD(Q69-1,($Q$39+$Q$40)))</f>
        <v>0</v>
      </c>
      <c r="T69">
        <f>IF(OR(S69&lt;0,S69&gt;=$Q$39),-1,INT(S69/$Q$38))</f>
        <v>0</v>
      </c>
      <c r="U69">
        <f>IF(OR(S69&lt;0,S69&gt;=$Q$39),-1,MOD(S69,$Q$38))</f>
        <v>0</v>
      </c>
      <c r="V69">
        <f>IF(OR(Q69&lt;=0,S69&lt;0,S69&gt;=$Q$39,R69&gt;=$Q$36),1,0)</f>
        <v>0</v>
      </c>
      <c r="W69">
        <f>IF(V69=1,-1,T69)</f>
        <v>0</v>
      </c>
      <c r="X69">
        <f>IF(V69=1,-1,R69)</f>
        <v>1</v>
      </c>
      <c r="Y69" t="str">
        <f>IF(V69=1,"",IF(AND(MOD(W69,3)=0,U69=INT(($Q$38-1)/2)),INDEX($B$34:$M$34,W69+1),""))</f>
        <v>Jan</v>
      </c>
      <c r="Z69">
        <f>IF(V69=1,NA(),IF(INDEX($B$35:$M$50,($Q$32-1-0)*$Q$33+X69+1,0*$Q$34+W69+1)="",NA(),IF(INDEX($B$35:$M$50,($Q$32-1-0)*$Q$33+X69+1,0*$Q$34+W69+1)&gt;=0,0+(INDEX($B$35:$M$50,($Q$32-1-0)*$Q$33+X69+1,0*$Q$34+W69+1)-$Q$46)/$Q$48*$Q$42,NA())))</f>
        <v>0.40661884680731908</v>
      </c>
      <c r="AA69" t="e">
        <f>IF(V69=1,NA(),IF(INDEX($B$35:$M$50,($Q$32-1-0)*$Q$33+X69+1,0*$Q$34+W69+1)="",NA(),IF(INDEX($B$35:$M$50,($Q$32-1-0)*$Q$33+X69+1,0*$Q$34+W69+1)&lt;0,0+(INDEX($B$35:$M$50,($Q$32-1-0)*$Q$33+X69+1,0*$Q$34+W69+1)-$Q$46)/$Q$48*$Q$42,NA())))</f>
        <v>#N/A</v>
      </c>
      <c r="AB69">
        <f>IF(V69=1,NA(),IF(INDEX($B$35:$M$50,($Q$32-1-1)*$Q$33+X69+1,0*$Q$34+W69+1)="",NA(),IF(INDEX($B$35:$M$50,($Q$32-1-1)*$Q$33+X69+1,0*$Q$34+W69+1)&gt;=0,1+(INDEX($B$35:$M$50,($Q$32-1-1)*$Q$33+X69+1,0*$Q$34+W69+1)-$Q$46)/$Q$48*$Q$42,NA())))</f>
        <v>1.2668248898668477</v>
      </c>
      <c r="AC69" t="e">
        <f>IF(V69=1,NA(),IF(INDEX($B$35:$M$50,($Q$32-1-1)*$Q$33+X69+1,0*$Q$34+W69+1)="",NA(),IF(INDEX($B$35:$M$50,($Q$32-1-1)*$Q$33+X69+1,0*$Q$34+W69+1)&lt;0,1+(INDEX($B$35:$M$50,($Q$32-1-1)*$Q$33+X69+1,0*$Q$34+W69+1)-$Q$46)/$Q$48*$Q$42,NA())))</f>
        <v>#N/A</v>
      </c>
      <c r="AD69" t="e">
        <f>IF(V69=1,NA(),IF(INDEX($B$35:$M$50,($Q$32-1-2)*$Q$33+X69+1,0*$Q$34+W69+1)="",NA(),IF(INDEX($B$35:$M$50,($Q$32-1-2)*$Q$33+X69+1,0*$Q$34+W69+1)&gt;=0,2+(INDEX($B$35:$M$50,($Q$32-1-2)*$Q$33+X69+1,0*$Q$34+W69+1)-$Q$46)/$Q$48*$Q$42,NA())))</f>
        <v>#N/A</v>
      </c>
      <c r="AE69">
        <f>IF(V69=1,NA(),IF(INDEX($B$35:$M$50,($Q$32-1-2)*$Q$33+X69+1,0*$Q$34+W69+1)="",NA(),IF(INDEX($B$35:$M$50,($Q$32-1-2)*$Q$33+X69+1,0*$Q$34+W69+1)&lt;0,2+(INDEX($B$35:$M$50,($Q$32-1-2)*$Q$33+X69+1,0*$Q$34+W69+1)-$Q$46)/$Q$48*$Q$42,NA())))</f>
        <v>2.1498859944797326</v>
      </c>
      <c r="AF69" t="e">
        <f>IF(V69=1,NA(),IF(INDEX($B$35:$M$50,($Q$32-1-3)*$Q$33+X69+1,0*$Q$34+W69+1)="",NA(),IF(INDEX($B$35:$M$50,($Q$32-1-3)*$Q$33+X69+1,0*$Q$34+W69+1)&gt;=0,3+(INDEX($B$35:$M$50,($Q$32-1-3)*$Q$33+X69+1,0*$Q$34+W69+1)-$Q$46)/$Q$48*$Q$42,NA())))</f>
        <v>#N/A</v>
      </c>
      <c r="AG69">
        <f>IF(V69=1,NA(),IF(INDEX($B$35:$M$50,($Q$32-1-3)*$Q$33+X69+1,0*$Q$34+W69+1)="",NA(),IF(INDEX($B$35:$M$50,($Q$32-1-3)*$Q$33+X69+1,0*$Q$34+W69+1)&lt;0,3+(INDEX($B$35:$M$50,($Q$32-1-3)*$Q$33+X69+1,0*$Q$34+W69+1)-$Q$46)/$Q$48*$Q$42,NA())))</f>
        <v>3.1078974951869851</v>
      </c>
      <c r="AI69">
        <f>IF(V69=1,0,IF(INDEX($B$35:$M$50,($Q$32-1-0)*$Q$33+X69+1,0*$Q$34+W69+1)="",0,IF(INDEX($B$35:$M$50,($Q$32-1-0)*$Q$33+X69+1,0*$Q$34+W69+1)&gt;=0,ABS(INDEX($B$35:$M$50,($Q$32-1-0)*$Q$33+X69+1,0*$Q$34+W69+1))/$Q$48*$Q$42,0)))</f>
        <v>0.17233313252160479</v>
      </c>
      <c r="AJ69">
        <f>IF(V69=1,0,IF(INDEX($B$35:$M$50,($Q$32-1-0)*$Q$33+X69+1,0*$Q$34+W69+1)="",0,IF(INDEX($B$35:$M$50,($Q$32-1-0)*$Q$33+X69+1,0*$Q$34+W69+1)&lt;0,ABS(INDEX($B$35:$M$50,($Q$32-1-0)*$Q$33+X69+1,0*$Q$34+W69+1))/$Q$48*$Q$42,0)))</f>
        <v>0</v>
      </c>
      <c r="AK69">
        <f>IF(V69=1,0,IF(INDEX($B$35:$M$50,($Q$32-1-1)*$Q$33+X69+1,0*$Q$34+W69+1)="",0,IF(INDEX($B$35:$M$50,($Q$32-1-1)*$Q$33+X69+1,0*$Q$34+W69+1)&gt;=0,ABS(INDEX($B$35:$M$50,($Q$32-1-1)*$Q$33+X69+1,0*$Q$34+W69+1))/$Q$48*$Q$42,0)))</f>
        <v>3.2539175581133416E-2</v>
      </c>
      <c r="AL69">
        <f>IF(V69=1,0,IF(INDEX($B$35:$M$50,($Q$32-1-1)*$Q$33+X69+1,0*$Q$34+W69+1)="",0,IF(INDEX($B$35:$M$50,($Q$32-1-1)*$Q$33+X69+1,0*$Q$34+W69+1)&lt;0,ABS(INDEX($B$35:$M$50,($Q$32-1-1)*$Q$33+X69+1,0*$Q$34+W69+1))/$Q$48*$Q$42,0)))</f>
        <v>0</v>
      </c>
      <c r="AM69">
        <f>IF(V69=1,0,IF(INDEX($B$35:$M$50,($Q$32-1-2)*$Q$33+X69+1,0*$Q$34+W69+1)="",0,IF(INDEX($B$35:$M$50,($Q$32-1-2)*$Q$33+X69+1,0*$Q$34+W69+1)&gt;=0,ABS(INDEX($B$35:$M$50,($Q$32-1-2)*$Q$33+X69+1,0*$Q$34+W69+1))/$Q$48*$Q$42,0)))</f>
        <v>0</v>
      </c>
      <c r="AN69">
        <f>IF(V69=1,0,IF(INDEX($B$35:$M$50,($Q$32-1-2)*$Q$33+X69+1,0*$Q$34+W69+1)="",0,IF(INDEX($B$35:$M$50,($Q$32-1-2)*$Q$33+X69+1,0*$Q$34+W69+1)&lt;0,ABS(INDEX($B$35:$M$50,($Q$32-1-2)*$Q$33+X69+1,0*$Q$34+W69+1))/$Q$48*$Q$42,0)))</f>
        <v>8.4399719805981571E-2</v>
      </c>
      <c r="AO69">
        <f>IF(V69=1,0,IF(INDEX($B$35:$M$50,($Q$32-1-3)*$Q$33+X69+1,0*$Q$34+W69+1)="",0,IF(INDEX($B$35:$M$50,($Q$32-1-3)*$Q$33+X69+1,0*$Q$34+W69+1)&gt;=0,ABS(INDEX($B$35:$M$50,($Q$32-1-3)*$Q$33+X69+1,0*$Q$34+W69+1))/$Q$48*$Q$42,0)))</f>
        <v>0</v>
      </c>
      <c r="AP69">
        <f>IF(V69=1,0,IF(INDEX($B$35:$M$50,($Q$32-1-3)*$Q$33+X69+1,0*$Q$34+W69+1)="",0,IF(INDEX($B$35:$M$50,($Q$32-1-3)*$Q$33+X69+1,0*$Q$34+W69+1)&lt;0,ABS(INDEX($B$35:$M$50,($Q$32-1-3)*$Q$33+X69+1,0*$Q$34+W69+1))/$Q$48*$Q$42,0)))</f>
        <v>0.12638821909872927</v>
      </c>
      <c r="AR69" t="str">
        <f>IF(V69=1,"",IF(INDEX($B$35:$M$50,($Q$32-1-0)*$Q$33+X69+1,0*$Q$34+W69+1)="","",IF(INDEX($B$35:$M$50,($Q$32-1-0)*$Q$33+X69+1,0*$Q$34+W69+1)&gt;=0,TEXT(INDEX($B$35:$M$50,($Q$32-1-0)*$Q$33+X69+1,0*$Q$34+W69+1),"+0;-0;0"),"")))</f>
        <v>+74</v>
      </c>
      <c r="AS69" t="str">
        <f>IF(V69=1,"",IF(INDEX($B$35:$M$50,($Q$32-1-0)*$Q$33+X69+1,0*$Q$34+W69+1)="","",IF(INDEX($B$35:$M$50,($Q$32-1-0)*$Q$33+X69+1,0*$Q$34+W69+1)&lt;0,TEXT(INDEX($B$35:$M$50,($Q$32-1-0)*$Q$33+X69+1,0*$Q$34+W69+1),"+0;-0;0"),"")))</f>
        <v/>
      </c>
      <c r="AT69" t="str">
        <f>IF(V69=1,"",IF(INDEX($B$35:$M$50,($Q$32-1-1)*$Q$33+X69+1,0*$Q$34+W69+1)="","",IF(INDEX($B$35:$M$50,($Q$32-1-1)*$Q$33+X69+1,0*$Q$34+W69+1)&gt;=0,TEXT(INDEX($B$35:$M$50,($Q$32-1-1)*$Q$33+X69+1,0*$Q$34+W69+1),"+0;-0;0"),"")))</f>
        <v>+14</v>
      </c>
      <c r="AU69" t="str">
        <f>IF(V69=1,"",IF(INDEX($B$35:$M$50,($Q$32-1-1)*$Q$33+X69+1,0*$Q$34+W69+1)="","",IF(INDEX($B$35:$M$50,($Q$32-1-1)*$Q$33+X69+1,0*$Q$34+W69+1)&lt;0,TEXT(INDEX($B$35:$M$50,($Q$32-1-1)*$Q$33+X69+1,0*$Q$34+W69+1),"+0;-0;0"),"")))</f>
        <v/>
      </c>
      <c r="AV69" t="str">
        <f>IF(V69=1,"",IF(INDEX($B$35:$M$50,($Q$32-1-2)*$Q$33+X69+1,0*$Q$34+W69+1)="","",IF(INDEX($B$35:$M$50,($Q$32-1-2)*$Q$33+X69+1,0*$Q$34+W69+1)&gt;=0,TEXT(INDEX($B$35:$M$50,($Q$32-1-2)*$Q$33+X69+1,0*$Q$34+W69+1),"+0;-0;0"),"")))</f>
        <v/>
      </c>
      <c r="AW69" t="str">
        <f>IF(V69=1,"",IF(INDEX($B$35:$M$50,($Q$32-1-2)*$Q$33+X69+1,0*$Q$34+W69+1)="","",IF(INDEX($B$35:$M$50,($Q$32-1-2)*$Q$33+X69+1,0*$Q$34+W69+1)&lt;0,TEXT(INDEX($B$35:$M$50,($Q$32-1-2)*$Q$33+X69+1,0*$Q$34+W69+1),"+0;-0;0"),"")))</f>
        <v>-36</v>
      </c>
      <c r="AX69" t="str">
        <f>IF(V69=1,"",IF(INDEX($B$35:$M$50,($Q$32-1-3)*$Q$33+X69+1,0*$Q$34+W69+1)="","",IF(INDEX($B$35:$M$50,($Q$32-1-3)*$Q$33+X69+1,0*$Q$34+W69+1)&gt;=0,TEXT(INDEX($B$35:$M$50,($Q$32-1-3)*$Q$33+X69+1,0*$Q$34+W69+1),"+0;-0;0"),"")))</f>
        <v/>
      </c>
      <c r="AY69" t="str">
        <f>IF(V69=1,"",IF(INDEX($B$35:$M$50,($Q$32-1-3)*$Q$33+X69+1,0*$Q$34+W69+1)="","",IF(INDEX($B$35:$M$50,($Q$32-1-3)*$Q$33+X69+1,0*$Q$34+W69+1)&lt;0,TEXT(INDEX($B$35:$M$50,($Q$32-1-3)*$Q$33+X69+1,0*$Q$34+W69+1),"+0;-0;0"),"")))</f>
        <v>-54</v>
      </c>
      <c r="BG69">
        <v>28.5</v>
      </c>
      <c r="BH69">
        <f>IF(OR($Q$46&gt;0,$Q$47&lt;0),NA(),1+$Q$49)</f>
        <v>1.2342857142857142</v>
      </c>
    </row>
    <row r="70" spans="16:64" x14ac:dyDescent="0.35">
      <c r="P70">
        <v>18</v>
      </c>
      <c r="Q70">
        <f>P70-$Q$41</f>
        <v>15</v>
      </c>
      <c r="R70">
        <f>IF(Q70&lt;=0,-1,INT((Q70-1)/($Q$39+$Q$40)))</f>
        <v>1</v>
      </c>
      <c r="S70">
        <f>IF(Q70&lt;=0,-1,MOD(Q70-1,($Q$39+$Q$40)))</f>
        <v>1</v>
      </c>
      <c r="T70">
        <f>IF(OR(S70&lt;0,S70&gt;=$Q$39),-1,INT(S70/$Q$38))</f>
        <v>1</v>
      </c>
      <c r="U70">
        <f>IF(OR(S70&lt;0,S70&gt;=$Q$39),-1,MOD(S70,$Q$38))</f>
        <v>0</v>
      </c>
      <c r="V70">
        <f>IF(OR(Q70&lt;=0,S70&lt;0,S70&gt;=$Q$39,R70&gt;=$Q$36),1,0)</f>
        <v>0</v>
      </c>
      <c r="W70">
        <f>IF(V70=1,-1,T70)</f>
        <v>1</v>
      </c>
      <c r="X70">
        <f>IF(V70=1,-1,R70)</f>
        <v>1</v>
      </c>
      <c r="Y70" t="str">
        <f>IF(V70=1,"",IF(AND(MOD(W70,3)=0,U70=INT(($Q$38-1)/2)),INDEX($B$34:$M$34,W70+1),""))</f>
        <v/>
      </c>
      <c r="Z70">
        <f>IF(V70=1,NA(),IF(INDEX($B$35:$M$50,($Q$32-1-0)*$Q$33+X70+1,0*$Q$34+W70+1)="",NA(),IF(INDEX($B$35:$M$50,($Q$32-1-0)*$Q$33+X70+1,0*$Q$34+W70+1)&gt;=0,0+(INDEX($B$35:$M$50,($Q$32-1-0)*$Q$33+X70+1,0*$Q$34+W70+1)-$Q$46)/$Q$48*$Q$42,NA())))</f>
        <v>0.42156601356686901</v>
      </c>
      <c r="AA70" t="e">
        <f>IF(V70=1,NA(),IF(INDEX($B$35:$M$50,($Q$32-1-0)*$Q$33+X70+1,0*$Q$34+W70+1)="",NA(),IF(INDEX($B$35:$M$50,($Q$32-1-0)*$Q$33+X70+1,0*$Q$34+W70+1)&lt;0,0+(INDEX($B$35:$M$50,($Q$32-1-0)*$Q$33+X70+1,0*$Q$34+W70+1)-$Q$46)/$Q$48*$Q$42,NA())))</f>
        <v>#N/A</v>
      </c>
      <c r="AB70">
        <f>IF(V70=1,NA(),IF(INDEX($B$35:$M$50,($Q$32-1-1)*$Q$33+X70+1,0*$Q$34+W70+1)="",NA(),IF(INDEX($B$35:$M$50,($Q$32-1-1)*$Q$33+X70+1,0*$Q$34+W70+1)&gt;=0,1+(INDEX($B$35:$M$50,($Q$32-1-1)*$Q$33+X70+1,0*$Q$34+W70+1)-$Q$46)/$Q$48*$Q$42,NA())))</f>
        <v>1.2508688092621862</v>
      </c>
      <c r="AC70" t="e">
        <f>IF(V70=1,NA(),IF(INDEX($B$35:$M$50,($Q$32-1-1)*$Q$33+X70+1,0*$Q$34+W70+1)="",NA(),IF(INDEX($B$35:$M$50,($Q$32-1-1)*$Q$33+X70+1,0*$Q$34+W70+1)&lt;0,1+(INDEX($B$35:$M$50,($Q$32-1-1)*$Q$33+X70+1,0*$Q$34+W70+1)-$Q$46)/$Q$48*$Q$42,NA())))</f>
        <v>#N/A</v>
      </c>
      <c r="AD70" t="e">
        <f>IF(V70=1,NA(),IF(INDEX($B$35:$M$50,($Q$32-1-2)*$Q$33+X70+1,0*$Q$34+W70+1)="",NA(),IF(INDEX($B$35:$M$50,($Q$32-1-2)*$Q$33+X70+1,0*$Q$34+W70+1)&gt;=0,2+(INDEX($B$35:$M$50,($Q$32-1-2)*$Q$33+X70+1,0*$Q$34+W70+1)-$Q$46)/$Q$48*$Q$42,NA())))</f>
        <v>#N/A</v>
      </c>
      <c r="AE70">
        <f>IF(V70=1,NA(),IF(INDEX($B$35:$M$50,($Q$32-1-2)*$Q$33+X70+1,0*$Q$34+W70+1)="",NA(),IF(INDEX($B$35:$M$50,($Q$32-1-2)*$Q$33+X70+1,0*$Q$34+W70+1)&lt;0,2+(INDEX($B$35:$M$50,($Q$32-1-2)*$Q$33+X70+1,0*$Q$34+W70+1)-$Q$46)/$Q$48*$Q$42,NA())))</f>
        <v>2.1424871754622048</v>
      </c>
      <c r="AF70" t="e">
        <f>IF(V70=1,NA(),IF(INDEX($B$35:$M$50,($Q$32-1-3)*$Q$33+X70+1,0*$Q$34+W70+1)="",NA(),IF(INDEX($B$35:$M$50,($Q$32-1-3)*$Q$33+X70+1,0*$Q$34+W70+1)&gt;=0,3+(INDEX($B$35:$M$50,($Q$32-1-3)*$Q$33+X70+1,0*$Q$34+W70+1)-$Q$46)/$Q$48*$Q$42,NA())))</f>
        <v>#N/A</v>
      </c>
      <c r="AG70">
        <f>IF(V70=1,NA(),IF(INDEX($B$35:$M$50,($Q$32-1-3)*$Q$33+X70+1,0*$Q$34+W70+1)="",NA(),IF(INDEX($B$35:$M$50,($Q$32-1-3)*$Q$33+X70+1,0*$Q$34+W70+1)&lt;0,3+(INDEX($B$35:$M$50,($Q$32-1-3)*$Q$33+X70+1,0*$Q$34+W70+1)-$Q$46)/$Q$48*$Q$42,NA())))</f>
        <v>3.1016386410123986</v>
      </c>
      <c r="AI70">
        <f>IF(V70=1,0,IF(INDEX($B$35:$M$50,($Q$32-1-0)*$Q$33+X70+1,0*$Q$34+W70+1)="",0,IF(INDEX($B$35:$M$50,($Q$32-1-0)*$Q$33+X70+1,0*$Q$34+W70+1)&gt;=0,ABS(INDEX($B$35:$M$50,($Q$32-1-0)*$Q$33+X70+1,0*$Q$34+W70+1))/$Q$48*$Q$42,0)))</f>
        <v>0.18728029928115481</v>
      </c>
      <c r="AJ70">
        <f>IF(V70=1,0,IF(INDEX($B$35:$M$50,($Q$32-1-0)*$Q$33+X70+1,0*$Q$34+W70+1)="",0,IF(INDEX($B$35:$M$50,($Q$32-1-0)*$Q$33+X70+1,0*$Q$34+W70+1)&lt;0,ABS(INDEX($B$35:$M$50,($Q$32-1-0)*$Q$33+X70+1,0*$Q$34+W70+1))/$Q$48*$Q$42,0)))</f>
        <v>0</v>
      </c>
      <c r="AK70">
        <f>IF(V70=1,0,IF(INDEX($B$35:$M$50,($Q$32-1-1)*$Q$33+X70+1,0*$Q$34+W70+1)="",0,IF(INDEX($B$35:$M$50,($Q$32-1-1)*$Q$33+X70+1,0*$Q$34+W70+1)&gt;=0,ABS(INDEX($B$35:$M$50,($Q$32-1-1)*$Q$33+X70+1,0*$Q$34+W70+1))/$Q$48*$Q$42,0)))</f>
        <v>1.6583094976471834E-2</v>
      </c>
      <c r="AL70">
        <f>IF(V70=1,0,IF(INDEX($B$35:$M$50,($Q$32-1-1)*$Q$33+X70+1,0*$Q$34+W70+1)="",0,IF(INDEX($B$35:$M$50,($Q$32-1-1)*$Q$33+X70+1,0*$Q$34+W70+1)&lt;0,ABS(INDEX($B$35:$M$50,($Q$32-1-1)*$Q$33+X70+1,0*$Q$34+W70+1))/$Q$48*$Q$42,0)))</f>
        <v>0</v>
      </c>
      <c r="AM70">
        <f>IF(V70=1,0,IF(INDEX($B$35:$M$50,($Q$32-1-2)*$Q$33+X70+1,0*$Q$34+W70+1)="",0,IF(INDEX($B$35:$M$50,($Q$32-1-2)*$Q$33+X70+1,0*$Q$34+W70+1)&gt;=0,ABS(INDEX($B$35:$M$50,($Q$32-1-2)*$Q$33+X70+1,0*$Q$34+W70+1))/$Q$48*$Q$42,0)))</f>
        <v>0</v>
      </c>
      <c r="AN70">
        <f>IF(V70=1,0,IF(INDEX($B$35:$M$50,($Q$32-1-2)*$Q$33+X70+1,0*$Q$34+W70+1)="",0,IF(INDEX($B$35:$M$50,($Q$32-1-2)*$Q$33+X70+1,0*$Q$34+W70+1)&lt;0,ABS(INDEX($B$35:$M$50,($Q$32-1-2)*$Q$33+X70+1,0*$Q$34+W70+1))/$Q$48*$Q$42,0)))</f>
        <v>9.1798538823509676E-2</v>
      </c>
      <c r="AO70">
        <f>IF(V70=1,0,IF(INDEX($B$35:$M$50,($Q$32-1-3)*$Q$33+X70+1,0*$Q$34+W70+1)="",0,IF(INDEX($B$35:$M$50,($Q$32-1-3)*$Q$33+X70+1,0*$Q$34+W70+1)&gt;=0,ABS(INDEX($B$35:$M$50,($Q$32-1-3)*$Q$33+X70+1,0*$Q$34+W70+1))/$Q$48*$Q$42,0)))</f>
        <v>0</v>
      </c>
      <c r="AP70">
        <f>IF(V70=1,0,IF(INDEX($B$35:$M$50,($Q$32-1-3)*$Q$33+X70+1,0*$Q$34+W70+1)="",0,IF(INDEX($B$35:$M$50,($Q$32-1-3)*$Q$33+X70+1,0*$Q$34+W70+1)&lt;0,ABS(INDEX($B$35:$M$50,($Q$32-1-3)*$Q$33+X70+1,0*$Q$34+W70+1))/$Q$48*$Q$42,0)))</f>
        <v>0.13264707327331574</v>
      </c>
      <c r="AR70" t="str">
        <f>IF(V70=1,"",IF(INDEX($B$35:$M$50,($Q$32-1-0)*$Q$33+X70+1,0*$Q$34+W70+1)="","",IF(INDEX($B$35:$M$50,($Q$32-1-0)*$Q$33+X70+1,0*$Q$34+W70+1)&gt;=0,TEXT(INDEX($B$35:$M$50,($Q$32-1-0)*$Q$33+X70+1,0*$Q$34+W70+1),"+0;-0;0"),"")))</f>
        <v>+80</v>
      </c>
      <c r="AS70" t="str">
        <f>IF(V70=1,"",IF(INDEX($B$35:$M$50,($Q$32-1-0)*$Q$33+X70+1,0*$Q$34+W70+1)="","",IF(INDEX($B$35:$M$50,($Q$32-1-0)*$Q$33+X70+1,0*$Q$34+W70+1)&lt;0,TEXT(INDEX($B$35:$M$50,($Q$32-1-0)*$Q$33+X70+1,0*$Q$34+W70+1),"+0;-0;0"),"")))</f>
        <v/>
      </c>
      <c r="AT70" t="str">
        <f>IF(V70=1,"",IF(INDEX($B$35:$M$50,($Q$32-1-1)*$Q$33+X70+1,0*$Q$34+W70+1)="","",IF(INDEX($B$35:$M$50,($Q$32-1-1)*$Q$33+X70+1,0*$Q$34+W70+1)&gt;=0,TEXT(INDEX($B$35:$M$50,($Q$32-1-1)*$Q$33+X70+1,0*$Q$34+W70+1),"+0;-0;0"),"")))</f>
        <v>+7</v>
      </c>
      <c r="AU70" t="str">
        <f>IF(V70=1,"",IF(INDEX($B$35:$M$50,($Q$32-1-1)*$Q$33+X70+1,0*$Q$34+W70+1)="","",IF(INDEX($B$35:$M$50,($Q$32-1-1)*$Q$33+X70+1,0*$Q$34+W70+1)&lt;0,TEXT(INDEX($B$35:$M$50,($Q$32-1-1)*$Q$33+X70+1,0*$Q$34+W70+1),"+0;-0;0"),"")))</f>
        <v/>
      </c>
      <c r="AV70" t="str">
        <f>IF(V70=1,"",IF(INDEX($B$35:$M$50,($Q$32-1-2)*$Q$33+X70+1,0*$Q$34+W70+1)="","",IF(INDEX($B$35:$M$50,($Q$32-1-2)*$Q$33+X70+1,0*$Q$34+W70+1)&gt;=0,TEXT(INDEX($B$35:$M$50,($Q$32-1-2)*$Q$33+X70+1,0*$Q$34+W70+1),"+0;-0;0"),"")))</f>
        <v/>
      </c>
      <c r="AW70" t="str">
        <f>IF(V70=1,"",IF(INDEX($B$35:$M$50,($Q$32-1-2)*$Q$33+X70+1,0*$Q$34+W70+1)="","",IF(INDEX($B$35:$M$50,($Q$32-1-2)*$Q$33+X70+1,0*$Q$34+W70+1)&lt;0,TEXT(INDEX($B$35:$M$50,($Q$32-1-2)*$Q$33+X70+1,0*$Q$34+W70+1),"+0;-0;0"),"")))</f>
        <v>-39</v>
      </c>
      <c r="AX70" t="str">
        <f>IF(V70=1,"",IF(INDEX($B$35:$M$50,($Q$32-1-3)*$Q$33+X70+1,0*$Q$34+W70+1)="","",IF(INDEX($B$35:$M$50,($Q$32-1-3)*$Q$33+X70+1,0*$Q$34+W70+1)&gt;=0,TEXT(INDEX($B$35:$M$50,($Q$32-1-3)*$Q$33+X70+1,0*$Q$34+W70+1),"+0;-0;0"),"")))</f>
        <v/>
      </c>
      <c r="AY70" t="str">
        <f>IF(V70=1,"",IF(INDEX($B$35:$M$50,($Q$32-1-3)*$Q$33+X70+1,0*$Q$34+W70+1)="","",IF(INDEX($B$35:$M$50,($Q$32-1-3)*$Q$33+X70+1,0*$Q$34+W70+1)&lt;0,TEXT(INDEX($B$35:$M$50,($Q$32-1-3)*$Q$33+X70+1,0*$Q$34+W70+1),"+0;-0;0"),"")))</f>
        <v>-57</v>
      </c>
      <c r="BG70">
        <v>28.5</v>
      </c>
      <c r="BH70" t="e">
        <f>NA()</f>
        <v>#N/A</v>
      </c>
    </row>
    <row r="71" spans="16:64" x14ac:dyDescent="0.35">
      <c r="P71">
        <v>19</v>
      </c>
      <c r="Q71">
        <f>P71-$Q$41</f>
        <v>16</v>
      </c>
      <c r="R71">
        <f>IF(Q71&lt;=0,-1,INT((Q71-1)/($Q$39+$Q$40)))</f>
        <v>1</v>
      </c>
      <c r="S71">
        <f>IF(Q71&lt;=0,-1,MOD(Q71-1,($Q$39+$Q$40)))</f>
        <v>2</v>
      </c>
      <c r="T71">
        <f>IF(OR(S71&lt;0,S71&gt;=$Q$39),-1,INT(S71/$Q$38))</f>
        <v>2</v>
      </c>
      <c r="U71">
        <f>IF(OR(S71&lt;0,S71&gt;=$Q$39),-1,MOD(S71,$Q$38))</f>
        <v>0</v>
      </c>
      <c r="V71">
        <f>IF(OR(Q71&lt;=0,S71&lt;0,S71&gt;=$Q$39,R71&gt;=$Q$36),1,0)</f>
        <v>0</v>
      </c>
      <c r="W71">
        <f>IF(V71=1,-1,T71)</f>
        <v>2</v>
      </c>
      <c r="X71">
        <f>IF(V71=1,-1,R71)</f>
        <v>1</v>
      </c>
      <c r="Y71" t="str">
        <f>IF(V71=1,"",IF(AND(MOD(W71,3)=0,U71=INT(($Q$38-1)/2)),INDEX($B$34:$M$34,W71+1),""))</f>
        <v/>
      </c>
      <c r="Z71">
        <f>IF(V71=1,NA(),IF(INDEX($B$35:$M$50,($Q$32-1-0)*$Q$33+X71+1,0*$Q$34+W71+1)="",NA(),IF(INDEX($B$35:$M$50,($Q$32-1-0)*$Q$33+X71+1,0*$Q$34+W71+1)&gt;=0,0+(INDEX($B$35:$M$50,($Q$32-1-0)*$Q$33+X71+1,0*$Q$34+W71+1)-$Q$46)/$Q$48*$Q$42,NA())))</f>
        <v>0.55952004124939148</v>
      </c>
      <c r="AA71" t="e">
        <f>IF(V71=1,NA(),IF(INDEX($B$35:$M$50,($Q$32-1-0)*$Q$33+X71+1,0*$Q$34+W71+1)="",NA(),IF(INDEX($B$35:$M$50,($Q$32-1-0)*$Q$33+X71+1,0*$Q$34+W71+1)&lt;0,0+(INDEX($B$35:$M$50,($Q$32-1-0)*$Q$33+X71+1,0*$Q$34+W71+1)-$Q$46)/$Q$48*$Q$42,NA())))</f>
        <v>#N/A</v>
      </c>
      <c r="AB71" t="e">
        <f>IF(V71=1,NA(),IF(INDEX($B$35:$M$50,($Q$32-1-1)*$Q$33+X71+1,0*$Q$34+W71+1)="",NA(),IF(INDEX($B$35:$M$50,($Q$32-1-1)*$Q$33+X71+1,0*$Q$34+W71+1)&gt;=0,1+(INDEX($B$35:$M$50,($Q$32-1-1)*$Q$33+X71+1,0*$Q$34+W71+1)-$Q$46)/$Q$48*$Q$42,NA())))</f>
        <v>#N/A</v>
      </c>
      <c r="AC71">
        <f>IF(V71=1,NA(),IF(INDEX($B$35:$M$50,($Q$32-1-1)*$Q$33+X71+1,0*$Q$34+W71+1)="",NA(),IF(INDEX($B$35:$M$50,($Q$32-1-1)*$Q$33+X71+1,0*$Q$34+W71+1)&lt;0,1+(INDEX($B$35:$M$50,($Q$32-1-1)*$Q$33+X71+1,0*$Q$34+W71+1)-$Q$46)/$Q$48*$Q$42,NA())))</f>
        <v>1.2066453568301394</v>
      </c>
      <c r="AD71" t="e">
        <f>IF(V71=1,NA(),IF(INDEX($B$35:$M$50,($Q$32-1-2)*$Q$33+X71+1,0*$Q$34+W71+1)="",NA(),IF(INDEX($B$35:$M$50,($Q$32-1-2)*$Q$33+X71+1,0*$Q$34+W71+1)&gt;=0,2+(INDEX($B$35:$M$50,($Q$32-1-2)*$Q$33+X71+1,0*$Q$34+W71+1)-$Q$46)/$Q$48*$Q$42,NA())))</f>
        <v>#N/A</v>
      </c>
      <c r="AE71">
        <f>IF(V71=1,NA(),IF(INDEX($B$35:$M$50,($Q$32-1-2)*$Q$33+X71+1,0*$Q$34+W71+1)="",NA(),IF(INDEX($B$35:$M$50,($Q$32-1-2)*$Q$33+X71+1,0*$Q$34+W71+1)&lt;0,2+(INDEX($B$35:$M$50,($Q$32-1-2)*$Q$33+X71+1,0*$Q$34+W71+1)-$Q$46)/$Q$48*$Q$42,NA())))</f>
        <v>2.1342891439048208</v>
      </c>
      <c r="AF71" t="e">
        <f>IF(V71=1,NA(),IF(INDEX($B$35:$M$50,($Q$32-1-3)*$Q$33+X71+1,0*$Q$34+W71+1)="",NA(),IF(INDEX($B$35:$M$50,($Q$32-1-3)*$Q$33+X71+1,0*$Q$34+W71+1)&gt;=0,3+(INDEX($B$35:$M$50,($Q$32-1-3)*$Q$33+X71+1,0*$Q$34+W71+1)-$Q$46)/$Q$48*$Q$42,NA())))</f>
        <v>#N/A</v>
      </c>
      <c r="AG71">
        <f>IF(V71=1,NA(),IF(INDEX($B$35:$M$50,($Q$32-1-3)*$Q$33+X71+1,0*$Q$34+W71+1)="",NA(),IF(INDEX($B$35:$M$50,($Q$32-1-3)*$Q$33+X71+1,0*$Q$34+W71+1)&lt;0,3+(INDEX($B$35:$M$50,($Q$32-1-3)*$Q$33+X71+1,0*$Q$34+W71+1)-$Q$46)/$Q$48*$Q$42,NA())))</f>
        <v>3.0957092763562413</v>
      </c>
      <c r="AI71">
        <f>IF(V71=1,0,IF(INDEX($B$35:$M$50,($Q$32-1-0)*$Q$33+X71+1,0*$Q$34+W71+1)="",0,IF(INDEX($B$35:$M$50,($Q$32-1-0)*$Q$33+X71+1,0*$Q$34+W71+1)&gt;=0,ABS(INDEX($B$35:$M$50,($Q$32-1-0)*$Q$33+X71+1,0*$Q$34+W71+1))/$Q$48*$Q$42,0)))</f>
        <v>0.32523432696367727</v>
      </c>
      <c r="AJ71">
        <f>IF(V71=1,0,IF(INDEX($B$35:$M$50,($Q$32-1-0)*$Q$33+X71+1,0*$Q$34+W71+1)="",0,IF(INDEX($B$35:$M$50,($Q$32-1-0)*$Q$33+X71+1,0*$Q$34+W71+1)&lt;0,ABS(INDEX($B$35:$M$50,($Q$32-1-0)*$Q$33+X71+1,0*$Q$34+W71+1))/$Q$48*$Q$42,0)))</f>
        <v>0</v>
      </c>
      <c r="AK71">
        <f>IF(V71=1,0,IF(INDEX($B$35:$M$50,($Q$32-1-1)*$Q$33+X71+1,0*$Q$34+W71+1)="",0,IF(INDEX($B$35:$M$50,($Q$32-1-1)*$Q$33+X71+1,0*$Q$34+W71+1)&gt;=0,ABS(INDEX($B$35:$M$50,($Q$32-1-1)*$Q$33+X71+1,0*$Q$34+W71+1))/$Q$48*$Q$42,0)))</f>
        <v>0</v>
      </c>
      <c r="AL71">
        <f>IF(V71=1,0,IF(INDEX($B$35:$M$50,($Q$32-1-1)*$Q$33+X71+1,0*$Q$34+W71+1)="",0,IF(INDEX($B$35:$M$50,($Q$32-1-1)*$Q$33+X71+1,0*$Q$34+W71+1)&lt;0,ABS(INDEX($B$35:$M$50,($Q$32-1-1)*$Q$33+X71+1,0*$Q$34+W71+1))/$Q$48*$Q$42,0)))</f>
        <v>2.7640357455574933E-2</v>
      </c>
      <c r="AM71">
        <f>IF(V71=1,0,IF(INDEX($B$35:$M$50,($Q$32-1-2)*$Q$33+X71+1,0*$Q$34+W71+1)="",0,IF(INDEX($B$35:$M$50,($Q$32-1-2)*$Q$33+X71+1,0*$Q$34+W71+1)&gt;=0,ABS(INDEX($B$35:$M$50,($Q$32-1-2)*$Q$33+X71+1,0*$Q$34+W71+1))/$Q$48*$Q$42,0)))</f>
        <v>0</v>
      </c>
      <c r="AN71">
        <f>IF(V71=1,0,IF(INDEX($B$35:$M$50,($Q$32-1-2)*$Q$33+X71+1,0*$Q$34+W71+1)="",0,IF(INDEX($B$35:$M$50,($Q$32-1-2)*$Q$33+X71+1,0*$Q$34+W71+1)&lt;0,ABS(INDEX($B$35:$M$50,($Q$32-1-2)*$Q$33+X71+1,0*$Q$34+W71+1))/$Q$48*$Q$42,0)))</f>
        <v>9.9996570380893254E-2</v>
      </c>
      <c r="AO71">
        <f>IF(V71=1,0,IF(INDEX($B$35:$M$50,($Q$32-1-3)*$Q$33+X71+1,0*$Q$34+W71+1)="",0,IF(INDEX($B$35:$M$50,($Q$32-1-3)*$Q$33+X71+1,0*$Q$34+W71+1)&gt;=0,ABS(INDEX($B$35:$M$50,($Q$32-1-3)*$Q$33+X71+1,0*$Q$34+W71+1))/$Q$48*$Q$42,0)))</f>
        <v>0</v>
      </c>
      <c r="AP71">
        <f>IF(V71=1,0,IF(INDEX($B$35:$M$50,($Q$32-1-3)*$Q$33+X71+1,0*$Q$34+W71+1)="",0,IF(INDEX($B$35:$M$50,($Q$32-1-3)*$Q$33+X71+1,0*$Q$34+W71+1)&lt;0,ABS(INDEX($B$35:$M$50,($Q$32-1-3)*$Q$33+X71+1,0*$Q$34+W71+1))/$Q$48*$Q$42,0)))</f>
        <v>0.13857643792947316</v>
      </c>
      <c r="AR71" t="str">
        <f>IF(V71=1,"",IF(INDEX($B$35:$M$50,($Q$32-1-0)*$Q$33+X71+1,0*$Q$34+W71+1)="","",IF(INDEX($B$35:$M$50,($Q$32-1-0)*$Q$33+X71+1,0*$Q$34+W71+1)&gt;=0,TEXT(INDEX($B$35:$M$50,($Q$32-1-0)*$Q$33+X71+1,0*$Q$34+W71+1),"+0;-0;0"),"")))</f>
        <v>+139</v>
      </c>
      <c r="AS71" t="str">
        <f>IF(V71=1,"",IF(INDEX($B$35:$M$50,($Q$32-1-0)*$Q$33+X71+1,0*$Q$34+W71+1)="","",IF(INDEX($B$35:$M$50,($Q$32-1-0)*$Q$33+X71+1,0*$Q$34+W71+1)&lt;0,TEXT(INDEX($B$35:$M$50,($Q$32-1-0)*$Q$33+X71+1,0*$Q$34+W71+1),"+0;-0;0"),"")))</f>
        <v/>
      </c>
      <c r="AT71" t="str">
        <f>IF(V71=1,"",IF(INDEX($B$35:$M$50,($Q$32-1-1)*$Q$33+X71+1,0*$Q$34+W71+1)="","",IF(INDEX($B$35:$M$50,($Q$32-1-1)*$Q$33+X71+1,0*$Q$34+W71+1)&gt;=0,TEXT(INDEX($B$35:$M$50,($Q$32-1-1)*$Q$33+X71+1,0*$Q$34+W71+1),"+0;-0;0"),"")))</f>
        <v/>
      </c>
      <c r="AU71" t="str">
        <f>IF(V71=1,"",IF(INDEX($B$35:$M$50,($Q$32-1-1)*$Q$33+X71+1,0*$Q$34+W71+1)="","",IF(INDEX($B$35:$M$50,($Q$32-1-1)*$Q$33+X71+1,0*$Q$34+W71+1)&lt;0,TEXT(INDEX($B$35:$M$50,($Q$32-1-1)*$Q$33+X71+1,0*$Q$34+W71+1),"+0;-0;0"),"")))</f>
        <v>-12</v>
      </c>
      <c r="AV71" t="str">
        <f>IF(V71=1,"",IF(INDEX($B$35:$M$50,($Q$32-1-2)*$Q$33+X71+1,0*$Q$34+W71+1)="","",IF(INDEX($B$35:$M$50,($Q$32-1-2)*$Q$33+X71+1,0*$Q$34+W71+1)&gt;=0,TEXT(INDEX($B$35:$M$50,($Q$32-1-2)*$Q$33+X71+1,0*$Q$34+W71+1),"+0;-0;0"),"")))</f>
        <v/>
      </c>
      <c r="AW71" t="str">
        <f>IF(V71=1,"",IF(INDEX($B$35:$M$50,($Q$32-1-2)*$Q$33+X71+1,0*$Q$34+W71+1)="","",IF(INDEX($B$35:$M$50,($Q$32-1-2)*$Q$33+X71+1,0*$Q$34+W71+1)&lt;0,TEXT(INDEX($B$35:$M$50,($Q$32-1-2)*$Q$33+X71+1,0*$Q$34+W71+1),"+0;-0;0"),"")))</f>
        <v>-43</v>
      </c>
      <c r="AX71" t="str">
        <f>IF(V71=1,"",IF(INDEX($B$35:$M$50,($Q$32-1-3)*$Q$33+X71+1,0*$Q$34+W71+1)="","",IF(INDEX($B$35:$M$50,($Q$32-1-3)*$Q$33+X71+1,0*$Q$34+W71+1)&gt;=0,TEXT(INDEX($B$35:$M$50,($Q$32-1-3)*$Q$33+X71+1,0*$Q$34+W71+1),"+0;-0;0"),"")))</f>
        <v/>
      </c>
      <c r="AY71" t="str">
        <f>IF(V71=1,"",IF(INDEX($B$35:$M$50,($Q$32-1-3)*$Q$33+X71+1,0*$Q$34+W71+1)="","",IF(INDEX($B$35:$M$50,($Q$32-1-3)*$Q$33+X71+1,0*$Q$34+W71+1)&lt;0,TEXT(INDEX($B$35:$M$50,($Q$32-1-3)*$Q$33+X71+1,0*$Q$34+W71+1),"+0;-0;0"),"")))</f>
        <v>-59</v>
      </c>
      <c r="BG71">
        <v>29.5</v>
      </c>
      <c r="BH71">
        <f>IF(OR($Q$46&gt;0,$Q$47&lt;0),NA(),1+$Q$49)</f>
        <v>1.2342857142857142</v>
      </c>
    </row>
    <row r="72" spans="16:64" x14ac:dyDescent="0.35">
      <c r="P72">
        <v>20</v>
      </c>
      <c r="Q72">
        <f>P72-$Q$41</f>
        <v>17</v>
      </c>
      <c r="R72">
        <f>IF(Q72&lt;=0,-1,INT((Q72-1)/($Q$39+$Q$40)))</f>
        <v>1</v>
      </c>
      <c r="S72">
        <f>IF(Q72&lt;=0,-1,MOD(Q72-1,($Q$39+$Q$40)))</f>
        <v>3</v>
      </c>
      <c r="T72">
        <f>IF(OR(S72&lt;0,S72&gt;=$Q$39),-1,INT(S72/$Q$38))</f>
        <v>3</v>
      </c>
      <c r="U72">
        <f>IF(OR(S72&lt;0,S72&gt;=$Q$39),-1,MOD(S72,$Q$38))</f>
        <v>0</v>
      </c>
      <c r="V72">
        <f>IF(OR(Q72&lt;=0,S72&lt;0,S72&gt;=$Q$39,R72&gt;=$Q$36),1,0)</f>
        <v>0</v>
      </c>
      <c r="W72">
        <f>IF(V72=1,-1,T72)</f>
        <v>3</v>
      </c>
      <c r="X72">
        <f>IF(V72=1,-1,R72)</f>
        <v>1</v>
      </c>
      <c r="Y72" t="str">
        <f>IF(V72=1,"",IF(AND(MOD(W72,3)=0,U72=INT(($Q$38-1)/2)),INDEX($B$34:$M$34,W72+1),""))</f>
        <v>Apr</v>
      </c>
      <c r="Z72">
        <f>IF(V72=1,NA(),IF(INDEX($B$35:$M$50,($Q$32-1-0)*$Q$33+X72+1,0*$Q$34+W72+1)="",NA(),IF(INDEX($B$35:$M$50,($Q$32-1-0)*$Q$33+X72+1,0*$Q$34+W72+1)&gt;=0,0+(INDEX($B$35:$M$50,($Q$32-1-0)*$Q$33+X72+1,0*$Q$34+W72+1)-$Q$46)/$Q$48*$Q$42,NA())))</f>
        <v>0.40974995834526351</v>
      </c>
      <c r="AA72" t="e">
        <f>IF(V72=1,NA(),IF(INDEX($B$35:$M$50,($Q$32-1-0)*$Q$33+X72+1,0*$Q$34+W72+1)="",NA(),IF(INDEX($B$35:$M$50,($Q$32-1-0)*$Q$33+X72+1,0*$Q$34+W72+1)&lt;0,0+(INDEX($B$35:$M$50,($Q$32-1-0)*$Q$33+X72+1,0*$Q$34+W72+1)-$Q$46)/$Q$48*$Q$42,NA())))</f>
        <v>#N/A</v>
      </c>
      <c r="AB72">
        <f>IF(V72=1,NA(),IF(INDEX($B$35:$M$50,($Q$32-1-1)*$Q$33+X72+1,0*$Q$34+W72+1)="",NA(),IF(INDEX($B$35:$M$50,($Q$32-1-1)*$Q$33+X72+1,0*$Q$34+W72+1)&gt;=0,1+(INDEX($B$35:$M$50,($Q$32-1-1)*$Q$33+X72+1,0*$Q$34+W72+1)-$Q$46)/$Q$48*$Q$42,NA())))</f>
        <v>1.2496569752676012</v>
      </c>
      <c r="AC72" t="e">
        <f>IF(V72=1,NA(),IF(INDEX($B$35:$M$50,($Q$32-1-1)*$Q$33+X72+1,0*$Q$34+W72+1)="",NA(),IF(INDEX($B$35:$M$50,($Q$32-1-1)*$Q$33+X72+1,0*$Q$34+W72+1)&lt;0,1+(INDEX($B$35:$M$50,($Q$32-1-1)*$Q$33+X72+1,0*$Q$34+W72+1)-$Q$46)/$Q$48*$Q$42,NA())))</f>
        <v>#N/A</v>
      </c>
      <c r="AD72" t="e">
        <f>IF(V72=1,NA(),IF(INDEX($B$35:$M$50,($Q$32-1-2)*$Q$33+X72+1,0*$Q$34+W72+1)="",NA(),IF(INDEX($B$35:$M$50,($Q$32-1-2)*$Q$33+X72+1,0*$Q$34+W72+1)&gt;=0,2+(INDEX($B$35:$M$50,($Q$32-1-2)*$Q$33+X72+1,0*$Q$34+W72+1)-$Q$46)/$Q$48*$Q$42,NA())))</f>
        <v>#N/A</v>
      </c>
      <c r="AE72">
        <f>IF(V72=1,NA(),IF(INDEX($B$35:$M$50,($Q$32-1-2)*$Q$33+X72+1,0*$Q$34+W72+1)="",NA(),IF(INDEX($B$35:$M$50,($Q$32-1-2)*$Q$33+X72+1,0*$Q$34+W72+1)&lt;0,2+(INDEX($B$35:$M$50,($Q$32-1-2)*$Q$33+X72+1,0*$Q$34+W72+1)-$Q$46)/$Q$48*$Q$42,NA())))</f>
        <v>2.1542498345942991</v>
      </c>
      <c r="AF72" t="e">
        <f>IF(V72=1,NA(),IF(INDEX($B$35:$M$50,($Q$32-1-3)*$Q$33+X72+1,0*$Q$34+W72+1)="",NA(),IF(INDEX($B$35:$M$50,($Q$32-1-3)*$Q$33+X72+1,0*$Q$34+W72+1)&gt;=0,3+(INDEX($B$35:$M$50,($Q$32-1-3)*$Q$33+X72+1,0*$Q$34+W72+1)-$Q$46)/$Q$48*$Q$42,NA())))</f>
        <v>#N/A</v>
      </c>
      <c r="AG72">
        <f>IF(V72=1,NA(),IF(INDEX($B$35:$M$50,($Q$32-1-3)*$Q$33+X72+1,0*$Q$34+W72+1)="",NA(),IF(INDEX($B$35:$M$50,($Q$32-1-3)*$Q$33+X72+1,0*$Q$34+W72+1)&lt;0,3+(INDEX($B$35:$M$50,($Q$32-1-3)*$Q$33+X72+1,0*$Q$34+W72+1)-$Q$46)/$Q$48*$Q$42,NA())))</f>
        <v>3.1108938054958371</v>
      </c>
      <c r="AI72">
        <f>IF(V72=1,0,IF(INDEX($B$35:$M$50,($Q$32-1-0)*$Q$33+X72+1,0*$Q$34+W72+1)="",0,IF(INDEX($B$35:$M$50,($Q$32-1-0)*$Q$33+X72+1,0*$Q$34+W72+1)&gt;=0,ABS(INDEX($B$35:$M$50,($Q$32-1-0)*$Q$33+X72+1,0*$Q$34+W72+1))/$Q$48*$Q$42,0)))</f>
        <v>0.17546424405954925</v>
      </c>
      <c r="AJ72">
        <f>IF(V72=1,0,IF(INDEX($B$35:$M$50,($Q$32-1-0)*$Q$33+X72+1,0*$Q$34+W72+1)="",0,IF(INDEX($B$35:$M$50,($Q$32-1-0)*$Q$33+X72+1,0*$Q$34+W72+1)&lt;0,ABS(INDEX($B$35:$M$50,($Q$32-1-0)*$Q$33+X72+1,0*$Q$34+W72+1))/$Q$48*$Q$42,0)))</f>
        <v>0</v>
      </c>
      <c r="AK72">
        <f>IF(V72=1,0,IF(INDEX($B$35:$M$50,($Q$32-1-1)*$Q$33+X72+1,0*$Q$34+W72+1)="",0,IF(INDEX($B$35:$M$50,($Q$32-1-1)*$Q$33+X72+1,0*$Q$34+W72+1)&gt;=0,ABS(INDEX($B$35:$M$50,($Q$32-1-1)*$Q$33+X72+1,0*$Q$34+W72+1))/$Q$48*$Q$42,0)))</f>
        <v>1.5371260981887049E-2</v>
      </c>
      <c r="AL72">
        <f>IF(V72=1,0,IF(INDEX($B$35:$M$50,($Q$32-1-1)*$Q$33+X72+1,0*$Q$34+W72+1)="",0,IF(INDEX($B$35:$M$50,($Q$32-1-1)*$Q$33+X72+1,0*$Q$34+W72+1)&lt;0,ABS(INDEX($B$35:$M$50,($Q$32-1-1)*$Q$33+X72+1,0*$Q$34+W72+1))/$Q$48*$Q$42,0)))</f>
        <v>0</v>
      </c>
      <c r="AM72">
        <f>IF(V72=1,0,IF(INDEX($B$35:$M$50,($Q$32-1-2)*$Q$33+X72+1,0*$Q$34+W72+1)="",0,IF(INDEX($B$35:$M$50,($Q$32-1-2)*$Q$33+X72+1,0*$Q$34+W72+1)&gt;=0,ABS(INDEX($B$35:$M$50,($Q$32-1-2)*$Q$33+X72+1,0*$Q$34+W72+1))/$Q$48*$Q$42,0)))</f>
        <v>0</v>
      </c>
      <c r="AN72">
        <f>IF(V72=1,0,IF(INDEX($B$35:$M$50,($Q$32-1-2)*$Q$33+X72+1,0*$Q$34+W72+1)="",0,IF(INDEX($B$35:$M$50,($Q$32-1-2)*$Q$33+X72+1,0*$Q$34+W72+1)&lt;0,ABS(INDEX($B$35:$M$50,($Q$32-1-2)*$Q$33+X72+1,0*$Q$34+W72+1))/$Q$48*$Q$42,0)))</f>
        <v>8.0035879691415249E-2</v>
      </c>
      <c r="AO72">
        <f>IF(V72=1,0,IF(INDEX($B$35:$M$50,($Q$32-1-3)*$Q$33+X72+1,0*$Q$34+W72+1)="",0,IF(INDEX($B$35:$M$50,($Q$32-1-3)*$Q$33+X72+1,0*$Q$34+W72+1)&gt;=0,ABS(INDEX($B$35:$M$50,($Q$32-1-3)*$Q$33+X72+1,0*$Q$34+W72+1))/$Q$48*$Q$42,0)))</f>
        <v>0</v>
      </c>
      <c r="AP72">
        <f>IF(V72=1,0,IF(INDEX($B$35:$M$50,($Q$32-1-3)*$Q$33+X72+1,0*$Q$34+W72+1)="",0,IF(INDEX($B$35:$M$50,($Q$32-1-3)*$Q$33+X72+1,0*$Q$34+W72+1)&lt;0,ABS(INDEX($B$35:$M$50,($Q$32-1-3)*$Q$33+X72+1,0*$Q$34+W72+1))/$Q$48*$Q$42,0)))</f>
        <v>0.12339190878987732</v>
      </c>
      <c r="AR72" t="str">
        <f>IF(V72=1,"",IF(INDEX($B$35:$M$50,($Q$32-1-0)*$Q$33+X72+1,0*$Q$34+W72+1)="","",IF(INDEX($B$35:$M$50,($Q$32-1-0)*$Q$33+X72+1,0*$Q$34+W72+1)&gt;=0,TEXT(INDEX($B$35:$M$50,($Q$32-1-0)*$Q$33+X72+1,0*$Q$34+W72+1),"+0;-0;0"),"")))</f>
        <v>+75</v>
      </c>
      <c r="AS72" t="str">
        <f>IF(V72=1,"",IF(INDEX($B$35:$M$50,($Q$32-1-0)*$Q$33+X72+1,0*$Q$34+W72+1)="","",IF(INDEX($B$35:$M$50,($Q$32-1-0)*$Q$33+X72+1,0*$Q$34+W72+1)&lt;0,TEXT(INDEX($B$35:$M$50,($Q$32-1-0)*$Q$33+X72+1,0*$Q$34+W72+1),"+0;-0;0"),"")))</f>
        <v/>
      </c>
      <c r="AT72" t="str">
        <f>IF(V72=1,"",IF(INDEX($B$35:$M$50,($Q$32-1-1)*$Q$33+X72+1,0*$Q$34+W72+1)="","",IF(INDEX($B$35:$M$50,($Q$32-1-1)*$Q$33+X72+1,0*$Q$34+W72+1)&gt;=0,TEXT(INDEX($B$35:$M$50,($Q$32-1-1)*$Q$33+X72+1,0*$Q$34+W72+1),"+0;-0;0"),"")))</f>
        <v>+7</v>
      </c>
      <c r="AU72" t="str">
        <f>IF(V72=1,"",IF(INDEX($B$35:$M$50,($Q$32-1-1)*$Q$33+X72+1,0*$Q$34+W72+1)="","",IF(INDEX($B$35:$M$50,($Q$32-1-1)*$Q$33+X72+1,0*$Q$34+W72+1)&lt;0,TEXT(INDEX($B$35:$M$50,($Q$32-1-1)*$Q$33+X72+1,0*$Q$34+W72+1),"+0;-0;0"),"")))</f>
        <v/>
      </c>
      <c r="AV72" t="str">
        <f>IF(V72=1,"",IF(INDEX($B$35:$M$50,($Q$32-1-2)*$Q$33+X72+1,0*$Q$34+W72+1)="","",IF(INDEX($B$35:$M$50,($Q$32-1-2)*$Q$33+X72+1,0*$Q$34+W72+1)&gt;=0,TEXT(INDEX($B$35:$M$50,($Q$32-1-2)*$Q$33+X72+1,0*$Q$34+W72+1),"+0;-0;0"),"")))</f>
        <v/>
      </c>
      <c r="AW72" t="str">
        <f>IF(V72=1,"",IF(INDEX($B$35:$M$50,($Q$32-1-2)*$Q$33+X72+1,0*$Q$34+W72+1)="","",IF(INDEX($B$35:$M$50,($Q$32-1-2)*$Q$33+X72+1,0*$Q$34+W72+1)&lt;0,TEXT(INDEX($B$35:$M$50,($Q$32-1-2)*$Q$33+X72+1,0*$Q$34+W72+1),"+0;-0;0"),"")))</f>
        <v>-34</v>
      </c>
      <c r="AX72" t="str">
        <f>IF(V72=1,"",IF(INDEX($B$35:$M$50,($Q$32-1-3)*$Q$33+X72+1,0*$Q$34+W72+1)="","",IF(INDEX($B$35:$M$50,($Q$32-1-3)*$Q$33+X72+1,0*$Q$34+W72+1)&gt;=0,TEXT(INDEX($B$35:$M$50,($Q$32-1-3)*$Q$33+X72+1,0*$Q$34+W72+1),"+0;-0;0"),"")))</f>
        <v/>
      </c>
      <c r="AY72" t="str">
        <f>IF(V72=1,"",IF(INDEX($B$35:$M$50,($Q$32-1-3)*$Q$33+X72+1,0*$Q$34+W72+1)="","",IF(INDEX($B$35:$M$50,($Q$32-1-3)*$Q$33+X72+1,0*$Q$34+W72+1)&lt;0,TEXT(INDEX($B$35:$M$50,($Q$32-1-3)*$Q$33+X72+1,0*$Q$34+W72+1),"+0;-0;0"),"")))</f>
        <v>-53</v>
      </c>
      <c r="BG72">
        <v>41.5</v>
      </c>
      <c r="BH72">
        <f>IF(OR($Q$46&gt;0,$Q$47&lt;0),NA(),1+$Q$49)</f>
        <v>1.2342857142857142</v>
      </c>
    </row>
    <row r="73" spans="16:64" x14ac:dyDescent="0.35">
      <c r="P73">
        <v>21</v>
      </c>
      <c r="Q73">
        <f>P73-$Q$41</f>
        <v>18</v>
      </c>
      <c r="R73">
        <f>IF(Q73&lt;=0,-1,INT((Q73-1)/($Q$39+$Q$40)))</f>
        <v>1</v>
      </c>
      <c r="S73">
        <f>IF(Q73&lt;=0,-1,MOD(Q73-1,($Q$39+$Q$40)))</f>
        <v>4</v>
      </c>
      <c r="T73">
        <f>IF(OR(S73&lt;0,S73&gt;=$Q$39),-1,INT(S73/$Q$38))</f>
        <v>4</v>
      </c>
      <c r="U73">
        <f>IF(OR(S73&lt;0,S73&gt;=$Q$39),-1,MOD(S73,$Q$38))</f>
        <v>0</v>
      </c>
      <c r="V73">
        <f>IF(OR(Q73&lt;=0,S73&lt;0,S73&gt;=$Q$39,R73&gt;=$Q$36),1,0)</f>
        <v>0</v>
      </c>
      <c r="W73">
        <f>IF(V73=1,-1,T73)</f>
        <v>4</v>
      </c>
      <c r="X73">
        <f>IF(V73=1,-1,R73)</f>
        <v>1</v>
      </c>
      <c r="Y73" t="str">
        <f>IF(V73=1,"",IF(AND(MOD(W73,3)=0,U73=INT(($Q$38-1)/2)),INDEX($B$34:$M$34,W73+1),""))</f>
        <v/>
      </c>
      <c r="Z73">
        <f>IF(V73=1,NA(),IF(INDEX($B$35:$M$50,($Q$32-1-0)*$Q$33+X73+1,0*$Q$34+W73+1)="",NA(),IF(INDEX($B$35:$M$50,($Q$32-1-0)*$Q$33+X73+1,0*$Q$34+W73+1)&gt;=0,0+(INDEX($B$35:$M$50,($Q$32-1-0)*$Q$33+X73+1,0*$Q$34+W73+1)-$Q$46)/$Q$48*$Q$42,NA())))</f>
        <v>0.49227550489336802</v>
      </c>
      <c r="AA73" t="e">
        <f>IF(V73=1,NA(),IF(INDEX($B$35:$M$50,($Q$32-1-0)*$Q$33+X73+1,0*$Q$34+W73+1)="",NA(),IF(INDEX($B$35:$M$50,($Q$32-1-0)*$Q$33+X73+1,0*$Q$34+W73+1)&lt;0,0+(INDEX($B$35:$M$50,($Q$32-1-0)*$Q$33+X73+1,0*$Q$34+W73+1)-$Q$46)/$Q$48*$Q$42,NA())))</f>
        <v>#N/A</v>
      </c>
      <c r="AB73">
        <f>IF(V73=1,NA(),IF(INDEX($B$35:$M$50,($Q$32-1-1)*$Q$33+X73+1,0*$Q$34+W73+1)="",NA(),IF(INDEX($B$35:$M$50,($Q$32-1-1)*$Q$33+X73+1,0*$Q$34+W73+1)&gt;=0,1+(INDEX($B$35:$M$50,($Q$32-1-1)*$Q$33+X73+1,0*$Q$34+W73+1)-$Q$46)/$Q$48*$Q$42,NA())))</f>
        <v>1.2615154403495388</v>
      </c>
      <c r="AC73" t="e">
        <f>IF(V73=1,NA(),IF(INDEX($B$35:$M$50,($Q$32-1-1)*$Q$33+X73+1,0*$Q$34+W73+1)="",NA(),IF(INDEX($B$35:$M$50,($Q$32-1-1)*$Q$33+X73+1,0*$Q$34+W73+1)&lt;0,1+(INDEX($B$35:$M$50,($Q$32-1-1)*$Q$33+X73+1,0*$Q$34+W73+1)-$Q$46)/$Q$48*$Q$42,NA())))</f>
        <v>#N/A</v>
      </c>
      <c r="AD73" t="e">
        <f>IF(V73=1,NA(),IF(INDEX($B$35:$M$50,($Q$32-1-2)*$Q$33+X73+1,0*$Q$34+W73+1)="",NA(),IF(INDEX($B$35:$M$50,($Q$32-1-2)*$Q$33+X73+1,0*$Q$34+W73+1)&gt;=0,2+(INDEX($B$35:$M$50,($Q$32-1-2)*$Q$33+X73+1,0*$Q$34+W73+1)-$Q$46)/$Q$48*$Q$42,NA())))</f>
        <v>#N/A</v>
      </c>
      <c r="AE73">
        <f>IF(V73=1,NA(),IF(INDEX($B$35:$M$50,($Q$32-1-2)*$Q$33+X73+1,0*$Q$34+W73+1)="",NA(),IF(INDEX($B$35:$M$50,($Q$32-1-2)*$Q$33+X73+1,0*$Q$34+W73+1)&lt;0,2+(INDEX($B$35:$M$50,($Q$32-1-2)*$Q$33+X73+1,0*$Q$34+W73+1)-$Q$46)/$Q$48*$Q$42,NA())))</f>
        <v>2.1440386378813869</v>
      </c>
      <c r="AF73" t="e">
        <f>IF(V73=1,NA(),IF(INDEX($B$35:$M$50,($Q$32-1-3)*$Q$33+X73+1,0*$Q$34+W73+1)="",NA(),IF(INDEX($B$35:$M$50,($Q$32-1-3)*$Q$33+X73+1,0*$Q$34+W73+1)&gt;=0,3+(INDEX($B$35:$M$50,($Q$32-1-3)*$Q$33+X73+1,0*$Q$34+W73+1)-$Q$46)/$Q$48*$Q$42,NA())))</f>
        <v>#N/A</v>
      </c>
      <c r="AG73">
        <f>IF(V73=1,NA(),IF(INDEX($B$35:$M$50,($Q$32-1-3)*$Q$33+X73+1,0*$Q$34+W73+1)="",NA(),IF(INDEX($B$35:$M$50,($Q$32-1-3)*$Q$33+X73+1,0*$Q$34+W73+1)&lt;0,3+(INDEX($B$35:$M$50,($Q$32-1-3)*$Q$33+X73+1,0*$Q$34+W73+1)-$Q$46)/$Q$48*$Q$42,NA())))</f>
        <v>3.1002989405461308</v>
      </c>
      <c r="AI73">
        <f>IF(V73=1,0,IF(INDEX($B$35:$M$50,($Q$32-1-0)*$Q$33+X73+1,0*$Q$34+W73+1)="",0,IF(INDEX($B$35:$M$50,($Q$32-1-0)*$Q$33+X73+1,0*$Q$34+W73+1)&gt;=0,ABS(INDEX($B$35:$M$50,($Q$32-1-0)*$Q$33+X73+1,0*$Q$34+W73+1))/$Q$48*$Q$42,0)))</f>
        <v>0.25798979060765376</v>
      </c>
      <c r="AJ73">
        <f>IF(V73=1,0,IF(INDEX($B$35:$M$50,($Q$32-1-0)*$Q$33+X73+1,0*$Q$34+W73+1)="",0,IF(INDEX($B$35:$M$50,($Q$32-1-0)*$Q$33+X73+1,0*$Q$34+W73+1)&lt;0,ABS(INDEX($B$35:$M$50,($Q$32-1-0)*$Q$33+X73+1,0*$Q$34+W73+1))/$Q$48*$Q$42,0)))</f>
        <v>0</v>
      </c>
      <c r="AK73">
        <f>IF(V73=1,0,IF(INDEX($B$35:$M$50,($Q$32-1-1)*$Q$33+X73+1,0*$Q$34+W73+1)="",0,IF(INDEX($B$35:$M$50,($Q$32-1-1)*$Q$33+X73+1,0*$Q$34+W73+1)&gt;=0,ABS(INDEX($B$35:$M$50,($Q$32-1-1)*$Q$33+X73+1,0*$Q$34+W73+1))/$Q$48*$Q$42,0)))</f>
        <v>2.72297260638244E-2</v>
      </c>
      <c r="AL73">
        <f>IF(V73=1,0,IF(INDEX($B$35:$M$50,($Q$32-1-1)*$Q$33+X73+1,0*$Q$34+W73+1)="",0,IF(INDEX($B$35:$M$50,($Q$32-1-1)*$Q$33+X73+1,0*$Q$34+W73+1)&lt;0,ABS(INDEX($B$35:$M$50,($Q$32-1-1)*$Q$33+X73+1,0*$Q$34+W73+1))/$Q$48*$Q$42,0)))</f>
        <v>0</v>
      </c>
      <c r="AM73">
        <f>IF(V73=1,0,IF(INDEX($B$35:$M$50,($Q$32-1-2)*$Q$33+X73+1,0*$Q$34+W73+1)="",0,IF(INDEX($B$35:$M$50,($Q$32-1-2)*$Q$33+X73+1,0*$Q$34+W73+1)&gt;=0,ABS(INDEX($B$35:$M$50,($Q$32-1-2)*$Q$33+X73+1,0*$Q$34+W73+1))/$Q$48*$Q$42,0)))</f>
        <v>0</v>
      </c>
      <c r="AN73">
        <f>IF(V73=1,0,IF(INDEX($B$35:$M$50,($Q$32-1-2)*$Q$33+X73+1,0*$Q$34+W73+1)="",0,IF(INDEX($B$35:$M$50,($Q$32-1-2)*$Q$33+X73+1,0*$Q$34+W73+1)&lt;0,ABS(INDEX($B$35:$M$50,($Q$32-1-2)*$Q$33+X73+1,0*$Q$34+W73+1))/$Q$48*$Q$42,0)))</f>
        <v>9.0247076404327331E-2</v>
      </c>
      <c r="AO73">
        <f>IF(V73=1,0,IF(INDEX($B$35:$M$50,($Q$32-1-3)*$Q$33+X73+1,0*$Q$34+W73+1)="",0,IF(INDEX($B$35:$M$50,($Q$32-1-3)*$Q$33+X73+1,0*$Q$34+W73+1)&gt;=0,ABS(INDEX($B$35:$M$50,($Q$32-1-3)*$Q$33+X73+1,0*$Q$34+W73+1))/$Q$48*$Q$42,0)))</f>
        <v>0</v>
      </c>
      <c r="AP73">
        <f>IF(V73=1,0,IF(INDEX($B$35:$M$50,($Q$32-1-3)*$Q$33+X73+1,0*$Q$34+W73+1)="",0,IF(INDEX($B$35:$M$50,($Q$32-1-3)*$Q$33+X73+1,0*$Q$34+W73+1)&lt;0,ABS(INDEX($B$35:$M$50,($Q$32-1-3)*$Q$33+X73+1,0*$Q$34+W73+1))/$Q$48*$Q$42,0)))</f>
        <v>0.13398677373958345</v>
      </c>
      <c r="AR73" t="str">
        <f>IF(V73=1,"",IF(INDEX($B$35:$M$50,($Q$32-1-0)*$Q$33+X73+1,0*$Q$34+W73+1)="","",IF(INDEX($B$35:$M$50,($Q$32-1-0)*$Q$33+X73+1,0*$Q$34+W73+1)&gt;=0,TEXT(INDEX($B$35:$M$50,($Q$32-1-0)*$Q$33+X73+1,0*$Q$34+W73+1),"+0;-0;0"),"")))</f>
        <v>+110</v>
      </c>
      <c r="AS73" t="str">
        <f>IF(V73=1,"",IF(INDEX($B$35:$M$50,($Q$32-1-0)*$Q$33+X73+1,0*$Q$34+W73+1)="","",IF(INDEX($B$35:$M$50,($Q$32-1-0)*$Q$33+X73+1,0*$Q$34+W73+1)&lt;0,TEXT(INDEX($B$35:$M$50,($Q$32-1-0)*$Q$33+X73+1,0*$Q$34+W73+1),"+0;-0;0"),"")))</f>
        <v/>
      </c>
      <c r="AT73" t="str">
        <f>IF(V73=1,"",IF(INDEX($B$35:$M$50,($Q$32-1-1)*$Q$33+X73+1,0*$Q$34+W73+1)="","",IF(INDEX($B$35:$M$50,($Q$32-1-1)*$Q$33+X73+1,0*$Q$34+W73+1)&gt;=0,TEXT(INDEX($B$35:$M$50,($Q$32-1-1)*$Q$33+X73+1,0*$Q$34+W73+1),"+0;-0;0"),"")))</f>
        <v>+12</v>
      </c>
      <c r="AU73" t="str">
        <f>IF(V73=1,"",IF(INDEX($B$35:$M$50,($Q$32-1-1)*$Q$33+X73+1,0*$Q$34+W73+1)="","",IF(INDEX($B$35:$M$50,($Q$32-1-1)*$Q$33+X73+1,0*$Q$34+W73+1)&lt;0,TEXT(INDEX($B$35:$M$50,($Q$32-1-1)*$Q$33+X73+1,0*$Q$34+W73+1),"+0;-0;0"),"")))</f>
        <v/>
      </c>
      <c r="AV73" t="str">
        <f>IF(V73=1,"",IF(INDEX($B$35:$M$50,($Q$32-1-2)*$Q$33+X73+1,0*$Q$34+W73+1)="","",IF(INDEX($B$35:$M$50,($Q$32-1-2)*$Q$33+X73+1,0*$Q$34+W73+1)&gt;=0,TEXT(INDEX($B$35:$M$50,($Q$32-1-2)*$Q$33+X73+1,0*$Q$34+W73+1),"+0;-0;0"),"")))</f>
        <v/>
      </c>
      <c r="AW73" t="str">
        <f>IF(V73=1,"",IF(INDEX($B$35:$M$50,($Q$32-1-2)*$Q$33+X73+1,0*$Q$34+W73+1)="","",IF(INDEX($B$35:$M$50,($Q$32-1-2)*$Q$33+X73+1,0*$Q$34+W73+1)&lt;0,TEXT(INDEX($B$35:$M$50,($Q$32-1-2)*$Q$33+X73+1,0*$Q$34+W73+1),"+0;-0;0"),"")))</f>
        <v>-39</v>
      </c>
      <c r="AX73" t="str">
        <f>IF(V73=1,"",IF(INDEX($B$35:$M$50,($Q$32-1-3)*$Q$33+X73+1,0*$Q$34+W73+1)="","",IF(INDEX($B$35:$M$50,($Q$32-1-3)*$Q$33+X73+1,0*$Q$34+W73+1)&gt;=0,TEXT(INDEX($B$35:$M$50,($Q$32-1-3)*$Q$33+X73+1,0*$Q$34+W73+1),"+0;-0;0"),"")))</f>
        <v/>
      </c>
      <c r="AY73" t="str">
        <f>IF(V73=1,"",IF(INDEX($B$35:$M$50,($Q$32-1-3)*$Q$33+X73+1,0*$Q$34+W73+1)="","",IF(INDEX($B$35:$M$50,($Q$32-1-3)*$Q$33+X73+1,0*$Q$34+W73+1)&lt;0,TEXT(INDEX($B$35:$M$50,($Q$32-1-3)*$Q$33+X73+1,0*$Q$34+W73+1),"+0;-0;0"),"")))</f>
        <v>-57</v>
      </c>
      <c r="BG73">
        <v>41.5</v>
      </c>
      <c r="BH73" t="e">
        <f>NA()</f>
        <v>#N/A</v>
      </c>
    </row>
    <row r="74" spans="16:64" x14ac:dyDescent="0.35">
      <c r="P74">
        <v>22</v>
      </c>
      <c r="Q74">
        <f>P74-$Q$41</f>
        <v>19</v>
      </c>
      <c r="R74">
        <f>IF(Q74&lt;=0,-1,INT((Q74-1)/($Q$39+$Q$40)))</f>
        <v>1</v>
      </c>
      <c r="S74">
        <f>IF(Q74&lt;=0,-1,MOD(Q74-1,($Q$39+$Q$40)))</f>
        <v>5</v>
      </c>
      <c r="T74">
        <f>IF(OR(S74&lt;0,S74&gt;=$Q$39),-1,INT(S74/$Q$38))</f>
        <v>5</v>
      </c>
      <c r="U74">
        <f>IF(OR(S74&lt;0,S74&gt;=$Q$39),-1,MOD(S74,$Q$38))</f>
        <v>0</v>
      </c>
      <c r="V74">
        <f>IF(OR(Q74&lt;=0,S74&lt;0,S74&gt;=$Q$39,R74&gt;=$Q$36),1,0)</f>
        <v>0</v>
      </c>
      <c r="W74">
        <f>IF(V74=1,-1,T74)</f>
        <v>5</v>
      </c>
      <c r="X74">
        <f>IF(V74=1,-1,R74)</f>
        <v>1</v>
      </c>
      <c r="Y74" t="str">
        <f>IF(V74=1,"",IF(AND(MOD(W74,3)=0,U74=INT(($Q$38-1)/2)),INDEX($B$34:$M$34,W74+1),""))</f>
        <v/>
      </c>
      <c r="Z74">
        <f>IF(V74=1,NA(),IF(INDEX($B$35:$M$50,($Q$32-1-0)*$Q$33+X74+1,0*$Q$34+W74+1)="",NA(),IF(INDEX($B$35:$M$50,($Q$32-1-0)*$Q$33+X74+1,0*$Q$34+W74+1)&gt;=0,0+(INDEX($B$35:$M$50,($Q$32-1-0)*$Q$33+X74+1,0*$Q$34+W74+1)-$Q$46)/$Q$48*$Q$42,NA())))</f>
        <v>0.46737193410600103</v>
      </c>
      <c r="AA74" t="e">
        <f>IF(V74=1,NA(),IF(INDEX($B$35:$M$50,($Q$32-1-0)*$Q$33+X74+1,0*$Q$34+W74+1)="",NA(),IF(INDEX($B$35:$M$50,($Q$32-1-0)*$Q$33+X74+1,0*$Q$34+W74+1)&lt;0,0+(INDEX($B$35:$M$50,($Q$32-1-0)*$Q$33+X74+1,0*$Q$34+W74+1)-$Q$46)/$Q$48*$Q$42,NA())))</f>
        <v>#N/A</v>
      </c>
      <c r="AB74">
        <f>IF(V74=1,NA(),IF(INDEX($B$35:$M$50,($Q$32-1-1)*$Q$33+X74+1,0*$Q$34+W74+1)="",NA(),IF(INDEX($B$35:$M$50,($Q$32-1-1)*$Q$33+X74+1,0*$Q$34+W74+1)&gt;=0,1+(INDEX($B$35:$M$50,($Q$32-1-1)*$Q$33+X74+1,0*$Q$34+W74+1)-$Q$46)/$Q$48*$Q$42,NA())))</f>
        <v>1.2603005974138946</v>
      </c>
      <c r="AC74" t="e">
        <f>IF(V74=1,NA(),IF(INDEX($B$35:$M$50,($Q$32-1-1)*$Q$33+X74+1,0*$Q$34+W74+1)="",NA(),IF(INDEX($B$35:$M$50,($Q$32-1-1)*$Q$33+X74+1,0*$Q$34+W74+1)&lt;0,1+(INDEX($B$35:$M$50,($Q$32-1-1)*$Q$33+X74+1,0*$Q$34+W74+1)-$Q$46)/$Q$48*$Q$42,NA())))</f>
        <v>#N/A</v>
      </c>
      <c r="AD74" t="e">
        <f>IF(V74=1,NA(),IF(INDEX($B$35:$M$50,($Q$32-1-2)*$Q$33+X74+1,0*$Q$34+W74+1)="",NA(),IF(INDEX($B$35:$M$50,($Q$32-1-2)*$Q$33+X74+1,0*$Q$34+W74+1)&gt;=0,2+(INDEX($B$35:$M$50,($Q$32-1-2)*$Q$33+X74+1,0*$Q$34+W74+1)-$Q$46)/$Q$48*$Q$42,NA())))</f>
        <v>#N/A</v>
      </c>
      <c r="AE74">
        <f>IF(V74=1,NA(),IF(INDEX($B$35:$M$50,($Q$32-1-2)*$Q$33+X74+1,0*$Q$34+W74+1)="",NA(),IF(INDEX($B$35:$M$50,($Q$32-1-2)*$Q$33+X74+1,0*$Q$34+W74+1)&lt;0,2+(INDEX($B$35:$M$50,($Q$32-1-2)*$Q$33+X74+1,0*$Q$34+W74+1)-$Q$46)/$Q$48*$Q$42,NA())))</f>
        <v>2.1512728921627597</v>
      </c>
      <c r="AF74" t="e">
        <f>IF(V74=1,NA(),IF(INDEX($B$35:$M$50,($Q$32-1-3)*$Q$33+X74+1,0*$Q$34+W74+1)="",NA(),IF(INDEX($B$35:$M$50,($Q$32-1-3)*$Q$33+X74+1,0*$Q$34+W74+1)&gt;=0,3+(INDEX($B$35:$M$50,($Q$32-1-3)*$Q$33+X74+1,0*$Q$34+W74+1)-$Q$46)/$Q$48*$Q$42,NA())))</f>
        <v>#N/A</v>
      </c>
      <c r="AG74">
        <f>IF(V74=1,NA(),IF(INDEX($B$35:$M$50,($Q$32-1-3)*$Q$33+X74+1,0*$Q$34+W74+1)="",NA(),IF(INDEX($B$35:$M$50,($Q$32-1-3)*$Q$33+X74+1,0*$Q$34+W74+1)&lt;0,3+(INDEX($B$35:$M$50,($Q$32-1-3)*$Q$33+X74+1,0*$Q$34+W74+1)-$Q$46)/$Q$48*$Q$42,NA())))</f>
        <v>3.1007916824756387</v>
      </c>
      <c r="AI74">
        <f>IF(V74=1,0,IF(INDEX($B$35:$M$50,($Q$32-1-0)*$Q$33+X74+1,0*$Q$34+W74+1)="",0,IF(INDEX($B$35:$M$50,($Q$32-1-0)*$Q$33+X74+1,0*$Q$34+W74+1)&gt;=0,ABS(INDEX($B$35:$M$50,($Q$32-1-0)*$Q$33+X74+1,0*$Q$34+W74+1))/$Q$48*$Q$42,0)))</f>
        <v>0.23308621982028674</v>
      </c>
      <c r="AJ74">
        <f>IF(V74=1,0,IF(INDEX($B$35:$M$50,($Q$32-1-0)*$Q$33+X74+1,0*$Q$34+W74+1)="",0,IF(INDEX($B$35:$M$50,($Q$32-1-0)*$Q$33+X74+1,0*$Q$34+W74+1)&lt;0,ABS(INDEX($B$35:$M$50,($Q$32-1-0)*$Q$33+X74+1,0*$Q$34+W74+1))/$Q$48*$Q$42,0)))</f>
        <v>0</v>
      </c>
      <c r="AK74">
        <f>IF(V74=1,0,IF(INDEX($B$35:$M$50,($Q$32-1-1)*$Q$33+X74+1,0*$Q$34+W74+1)="",0,IF(INDEX($B$35:$M$50,($Q$32-1-1)*$Q$33+X74+1,0*$Q$34+W74+1)&gt;=0,ABS(INDEX($B$35:$M$50,($Q$32-1-1)*$Q$33+X74+1,0*$Q$34+W74+1))/$Q$48*$Q$42,0)))</f>
        <v>2.6014883128180288E-2</v>
      </c>
      <c r="AL74">
        <f>IF(V74=1,0,IF(INDEX($B$35:$M$50,($Q$32-1-1)*$Q$33+X74+1,0*$Q$34+W74+1)="",0,IF(INDEX($B$35:$M$50,($Q$32-1-1)*$Q$33+X74+1,0*$Q$34+W74+1)&lt;0,ABS(INDEX($B$35:$M$50,($Q$32-1-1)*$Q$33+X74+1,0*$Q$34+W74+1))/$Q$48*$Q$42,0)))</f>
        <v>0</v>
      </c>
      <c r="AM74">
        <f>IF(V74=1,0,IF(INDEX($B$35:$M$50,($Q$32-1-2)*$Q$33+X74+1,0*$Q$34+W74+1)="",0,IF(INDEX($B$35:$M$50,($Q$32-1-2)*$Q$33+X74+1,0*$Q$34+W74+1)&gt;=0,ABS(INDEX($B$35:$M$50,($Q$32-1-2)*$Q$33+X74+1,0*$Q$34+W74+1))/$Q$48*$Q$42,0)))</f>
        <v>0</v>
      </c>
      <c r="AN74">
        <f>IF(V74=1,0,IF(INDEX($B$35:$M$50,($Q$32-1-2)*$Q$33+X74+1,0*$Q$34+W74+1)="",0,IF(INDEX($B$35:$M$50,($Q$32-1-2)*$Q$33+X74+1,0*$Q$34+W74+1)&lt;0,ABS(INDEX($B$35:$M$50,($Q$32-1-2)*$Q$33+X74+1,0*$Q$34+W74+1))/$Q$48*$Q$42,0)))</f>
        <v>8.3012822122954327E-2</v>
      </c>
      <c r="AO74">
        <f>IF(V74=1,0,IF(INDEX($B$35:$M$50,($Q$32-1-3)*$Q$33+X74+1,0*$Q$34+W74+1)="",0,IF(INDEX($B$35:$M$50,($Q$32-1-3)*$Q$33+X74+1,0*$Q$34+W74+1)&gt;=0,ABS(INDEX($B$35:$M$50,($Q$32-1-3)*$Q$33+X74+1,0*$Q$34+W74+1))/$Q$48*$Q$42,0)))</f>
        <v>0</v>
      </c>
      <c r="AP74">
        <f>IF(V74=1,0,IF(INDEX($B$35:$M$50,($Q$32-1-3)*$Q$33+X74+1,0*$Q$34+W74+1)="",0,IF(INDEX($B$35:$M$50,($Q$32-1-3)*$Q$33+X74+1,0*$Q$34+W74+1)&lt;0,ABS(INDEX($B$35:$M$50,($Q$32-1-3)*$Q$33+X74+1,0*$Q$34+W74+1))/$Q$48*$Q$42,0)))</f>
        <v>0.13349403181007549</v>
      </c>
      <c r="AR74" t="str">
        <f>IF(V74=1,"",IF(INDEX($B$35:$M$50,($Q$32-1-0)*$Q$33+X74+1,0*$Q$34+W74+1)="","",IF(INDEX($B$35:$M$50,($Q$32-1-0)*$Q$33+X74+1,0*$Q$34+W74+1)&gt;=0,TEXT(INDEX($B$35:$M$50,($Q$32-1-0)*$Q$33+X74+1,0*$Q$34+W74+1),"+0;-0;0"),"")))</f>
        <v>+99</v>
      </c>
      <c r="AS74" t="str">
        <f>IF(V74=1,"",IF(INDEX($B$35:$M$50,($Q$32-1-0)*$Q$33+X74+1,0*$Q$34+W74+1)="","",IF(INDEX($B$35:$M$50,($Q$32-1-0)*$Q$33+X74+1,0*$Q$34+W74+1)&lt;0,TEXT(INDEX($B$35:$M$50,($Q$32-1-0)*$Q$33+X74+1,0*$Q$34+W74+1),"+0;-0;0"),"")))</f>
        <v/>
      </c>
      <c r="AT74" t="str">
        <f>IF(V74=1,"",IF(INDEX($B$35:$M$50,($Q$32-1-1)*$Q$33+X74+1,0*$Q$34+W74+1)="","",IF(INDEX($B$35:$M$50,($Q$32-1-1)*$Q$33+X74+1,0*$Q$34+W74+1)&gt;=0,TEXT(INDEX($B$35:$M$50,($Q$32-1-1)*$Q$33+X74+1,0*$Q$34+W74+1),"+0;-0;0"),"")))</f>
        <v>+11</v>
      </c>
      <c r="AU74" t="str">
        <f>IF(V74=1,"",IF(INDEX($B$35:$M$50,($Q$32-1-1)*$Q$33+X74+1,0*$Q$34+W74+1)="","",IF(INDEX($B$35:$M$50,($Q$32-1-1)*$Q$33+X74+1,0*$Q$34+W74+1)&lt;0,TEXT(INDEX($B$35:$M$50,($Q$32-1-1)*$Q$33+X74+1,0*$Q$34+W74+1),"+0;-0;0"),"")))</f>
        <v/>
      </c>
      <c r="AV74" t="str">
        <f>IF(V74=1,"",IF(INDEX($B$35:$M$50,($Q$32-1-2)*$Q$33+X74+1,0*$Q$34+W74+1)="","",IF(INDEX($B$35:$M$50,($Q$32-1-2)*$Q$33+X74+1,0*$Q$34+W74+1)&gt;=0,TEXT(INDEX($B$35:$M$50,($Q$32-1-2)*$Q$33+X74+1,0*$Q$34+W74+1),"+0;-0;0"),"")))</f>
        <v/>
      </c>
      <c r="AW74" t="str">
        <f>IF(V74=1,"",IF(INDEX($B$35:$M$50,($Q$32-1-2)*$Q$33+X74+1,0*$Q$34+W74+1)="","",IF(INDEX($B$35:$M$50,($Q$32-1-2)*$Q$33+X74+1,0*$Q$34+W74+1)&lt;0,TEXT(INDEX($B$35:$M$50,($Q$32-1-2)*$Q$33+X74+1,0*$Q$34+W74+1),"+0;-0;0"),"")))</f>
        <v>-35</v>
      </c>
      <c r="AX74" t="str">
        <f>IF(V74=1,"",IF(INDEX($B$35:$M$50,($Q$32-1-3)*$Q$33+X74+1,0*$Q$34+W74+1)="","",IF(INDEX($B$35:$M$50,($Q$32-1-3)*$Q$33+X74+1,0*$Q$34+W74+1)&gt;=0,TEXT(INDEX($B$35:$M$50,($Q$32-1-3)*$Q$33+X74+1,0*$Q$34+W74+1),"+0;-0;0"),"")))</f>
        <v/>
      </c>
      <c r="AY74" t="str">
        <f>IF(V74=1,"",IF(INDEX($B$35:$M$50,($Q$32-1-3)*$Q$33+X74+1,0*$Q$34+W74+1)="","",IF(INDEX($B$35:$M$50,($Q$32-1-3)*$Q$33+X74+1,0*$Q$34+W74+1)&lt;0,TEXT(INDEX($B$35:$M$50,($Q$32-1-3)*$Q$33+X74+1,0*$Q$34+W74+1),"+0;-0;0"),"")))</f>
        <v>-57</v>
      </c>
      <c r="BG74">
        <v>42.5</v>
      </c>
      <c r="BH74">
        <f>IF(OR($Q$46&gt;0,$Q$47&lt;0),NA(),1+$Q$49)</f>
        <v>1.2342857142857142</v>
      </c>
    </row>
    <row r="75" spans="16:64" x14ac:dyDescent="0.35">
      <c r="P75">
        <v>23</v>
      </c>
      <c r="Q75">
        <f>P75-$Q$41</f>
        <v>20</v>
      </c>
      <c r="R75">
        <f>IF(Q75&lt;=0,-1,INT((Q75-1)/($Q$39+$Q$40)))</f>
        <v>1</v>
      </c>
      <c r="S75">
        <f>IF(Q75&lt;=0,-1,MOD(Q75-1,($Q$39+$Q$40)))</f>
        <v>6</v>
      </c>
      <c r="T75">
        <f>IF(OR(S75&lt;0,S75&gt;=$Q$39),-1,INT(S75/$Q$38))</f>
        <v>6</v>
      </c>
      <c r="U75">
        <f>IF(OR(S75&lt;0,S75&gt;=$Q$39),-1,MOD(S75,$Q$38))</f>
        <v>0</v>
      </c>
      <c r="V75">
        <f>IF(OR(Q75&lt;=0,S75&lt;0,S75&gt;=$Q$39,R75&gt;=$Q$36),1,0)</f>
        <v>0</v>
      </c>
      <c r="W75">
        <f>IF(V75=1,-1,T75)</f>
        <v>6</v>
      </c>
      <c r="X75">
        <f>IF(V75=1,-1,R75)</f>
        <v>1</v>
      </c>
      <c r="Y75" t="str">
        <f>IF(V75=1,"",IF(AND(MOD(W75,3)=0,U75=INT(($Q$38-1)/2)),INDEX($B$34:$M$34,W75+1),""))</f>
        <v>Jul</v>
      </c>
      <c r="Z75">
        <f>IF(V75=1,NA(),IF(INDEX($B$35:$M$50,($Q$32-1-0)*$Q$33+X75+1,0*$Q$34+W75+1)="",NA(),IF(INDEX($B$35:$M$50,($Q$32-1-0)*$Q$33+X75+1,0*$Q$34+W75+1)&gt;=0,0+(INDEX($B$35:$M$50,($Q$32-1-0)*$Q$33+X75+1,0*$Q$34+W75+1)-$Q$46)/$Q$48*$Q$42,NA())))</f>
        <v>0.41804822853604745</v>
      </c>
      <c r="AA75" t="e">
        <f>IF(V75=1,NA(),IF(INDEX($B$35:$M$50,($Q$32-1-0)*$Q$33+X75+1,0*$Q$34+W75+1)="",NA(),IF(INDEX($B$35:$M$50,($Q$32-1-0)*$Q$33+X75+1,0*$Q$34+W75+1)&lt;0,0+(INDEX($B$35:$M$50,($Q$32-1-0)*$Q$33+X75+1,0*$Q$34+W75+1)-$Q$46)/$Q$48*$Q$42,NA())))</f>
        <v>#N/A</v>
      </c>
      <c r="AB75">
        <f>IF(V75=1,NA(),IF(INDEX($B$35:$M$50,($Q$32-1-1)*$Q$33+X75+1,0*$Q$34+W75+1)="",NA(),IF(INDEX($B$35:$M$50,($Q$32-1-1)*$Q$33+X75+1,0*$Q$34+W75+1)&gt;=0,1+(INDEX($B$35:$M$50,($Q$32-1-1)*$Q$33+X75+1,0*$Q$34+W75+1)-$Q$46)/$Q$48*$Q$42,NA())))</f>
        <v>1.2693243843416446</v>
      </c>
      <c r="AC75" t="e">
        <f>IF(V75=1,NA(),IF(INDEX($B$35:$M$50,($Q$32-1-1)*$Q$33+X75+1,0*$Q$34+W75+1)="",NA(),IF(INDEX($B$35:$M$50,($Q$32-1-1)*$Q$33+X75+1,0*$Q$34+W75+1)&lt;0,1+(INDEX($B$35:$M$50,($Q$32-1-1)*$Q$33+X75+1,0*$Q$34+W75+1)-$Q$46)/$Q$48*$Q$42,NA())))</f>
        <v>#N/A</v>
      </c>
      <c r="AD75" t="e">
        <f>IF(V75=1,NA(),IF(INDEX($B$35:$M$50,($Q$32-1-2)*$Q$33+X75+1,0*$Q$34+W75+1)="",NA(),IF(INDEX($B$35:$M$50,($Q$32-1-2)*$Q$33+X75+1,0*$Q$34+W75+1)&gt;=0,2+(INDEX($B$35:$M$50,($Q$32-1-2)*$Q$33+X75+1,0*$Q$34+W75+1)-$Q$46)/$Q$48*$Q$42,NA())))</f>
        <v>#N/A</v>
      </c>
      <c r="AE75">
        <f>IF(V75=1,NA(),IF(INDEX($B$35:$M$50,($Q$32-1-2)*$Q$33+X75+1,0*$Q$34+W75+1)="",NA(),IF(INDEX($B$35:$M$50,($Q$32-1-2)*$Q$33+X75+1,0*$Q$34+W75+1)&lt;0,2+(INDEX($B$35:$M$50,($Q$32-1-2)*$Q$33+X75+1,0*$Q$34+W75+1)-$Q$46)/$Q$48*$Q$42,NA())))</f>
        <v>2.1491957337053318</v>
      </c>
      <c r="AF75" t="e">
        <f>IF(V75=1,NA(),IF(INDEX($B$35:$M$50,($Q$32-1-3)*$Q$33+X75+1,0*$Q$34+W75+1)="",NA(),IF(INDEX($B$35:$M$50,($Q$32-1-3)*$Q$33+X75+1,0*$Q$34+W75+1)&gt;=0,3+(INDEX($B$35:$M$50,($Q$32-1-3)*$Q$33+X75+1,0*$Q$34+W75+1)-$Q$46)/$Q$48*$Q$42,NA())))</f>
        <v>#N/A</v>
      </c>
      <c r="AG75">
        <f>IF(V75=1,NA(),IF(INDEX($B$35:$M$50,($Q$32-1-3)*$Q$33+X75+1,0*$Q$34+W75+1)="",NA(),IF(INDEX($B$35:$M$50,($Q$32-1-3)*$Q$33+X75+1,0*$Q$34+W75+1)&lt;0,3+(INDEX($B$35:$M$50,($Q$32-1-3)*$Q$33+X75+1,0*$Q$34+W75+1)-$Q$46)/$Q$48*$Q$42,NA())))</f>
        <v>3.108010265834821</v>
      </c>
      <c r="AI75">
        <f>IF(V75=1,0,IF(INDEX($B$35:$M$50,($Q$32-1-0)*$Q$33+X75+1,0*$Q$34+W75+1)="",0,IF(INDEX($B$35:$M$50,($Q$32-1-0)*$Q$33+X75+1,0*$Q$34+W75+1)&gt;=0,ABS(INDEX($B$35:$M$50,($Q$32-1-0)*$Q$33+X75+1,0*$Q$34+W75+1))/$Q$48*$Q$42,0)))</f>
        <v>0.18376251425033321</v>
      </c>
      <c r="AJ75">
        <f>IF(V75=1,0,IF(INDEX($B$35:$M$50,($Q$32-1-0)*$Q$33+X75+1,0*$Q$34+W75+1)="",0,IF(INDEX($B$35:$M$50,($Q$32-1-0)*$Q$33+X75+1,0*$Q$34+W75+1)&lt;0,ABS(INDEX($B$35:$M$50,($Q$32-1-0)*$Q$33+X75+1,0*$Q$34+W75+1))/$Q$48*$Q$42,0)))</f>
        <v>0</v>
      </c>
      <c r="AK75">
        <f>IF(V75=1,0,IF(INDEX($B$35:$M$50,($Q$32-1-1)*$Q$33+X75+1,0*$Q$34+W75+1)="",0,IF(INDEX($B$35:$M$50,($Q$32-1-1)*$Q$33+X75+1,0*$Q$34+W75+1)&gt;=0,ABS(INDEX($B$35:$M$50,($Q$32-1-1)*$Q$33+X75+1,0*$Q$34+W75+1))/$Q$48*$Q$42,0)))</f>
        <v>3.5038670055930331E-2</v>
      </c>
      <c r="AL75">
        <f>IF(V75=1,0,IF(INDEX($B$35:$M$50,($Q$32-1-1)*$Q$33+X75+1,0*$Q$34+W75+1)="",0,IF(INDEX($B$35:$M$50,($Q$32-1-1)*$Q$33+X75+1,0*$Q$34+W75+1)&lt;0,ABS(INDEX($B$35:$M$50,($Q$32-1-1)*$Q$33+X75+1,0*$Q$34+W75+1))/$Q$48*$Q$42,0)))</f>
        <v>0</v>
      </c>
      <c r="AM75">
        <f>IF(V75=1,0,IF(INDEX($B$35:$M$50,($Q$32-1-2)*$Q$33+X75+1,0*$Q$34+W75+1)="",0,IF(INDEX($B$35:$M$50,($Q$32-1-2)*$Q$33+X75+1,0*$Q$34+W75+1)&gt;=0,ABS(INDEX($B$35:$M$50,($Q$32-1-2)*$Q$33+X75+1,0*$Q$34+W75+1))/$Q$48*$Q$42,0)))</f>
        <v>0</v>
      </c>
      <c r="AN75">
        <f>IF(V75=1,0,IF(INDEX($B$35:$M$50,($Q$32-1-2)*$Q$33+X75+1,0*$Q$34+W75+1)="",0,IF(INDEX($B$35:$M$50,($Q$32-1-2)*$Q$33+X75+1,0*$Q$34+W75+1)&lt;0,ABS(INDEX($B$35:$M$50,($Q$32-1-2)*$Q$33+X75+1,0*$Q$34+W75+1))/$Q$48*$Q$42,0)))</f>
        <v>8.5089980580382529E-2</v>
      </c>
      <c r="AO75">
        <f>IF(V75=1,0,IF(INDEX($B$35:$M$50,($Q$32-1-3)*$Q$33+X75+1,0*$Q$34+W75+1)="",0,IF(INDEX($B$35:$M$50,($Q$32-1-3)*$Q$33+X75+1,0*$Q$34+W75+1)&gt;=0,ABS(INDEX($B$35:$M$50,($Q$32-1-3)*$Q$33+X75+1,0*$Q$34+W75+1))/$Q$48*$Q$42,0)))</f>
        <v>0</v>
      </c>
      <c r="AP75">
        <f>IF(V75=1,0,IF(INDEX($B$35:$M$50,($Q$32-1-3)*$Q$33+X75+1,0*$Q$34+W75+1)="",0,IF(INDEX($B$35:$M$50,($Q$32-1-3)*$Q$33+X75+1,0*$Q$34+W75+1)&lt;0,ABS(INDEX($B$35:$M$50,($Q$32-1-3)*$Q$33+X75+1,0*$Q$34+W75+1))/$Q$48*$Q$42,0)))</f>
        <v>0.1262754484508932</v>
      </c>
      <c r="AR75" t="str">
        <f>IF(V75=1,"",IF(INDEX($B$35:$M$50,($Q$32-1-0)*$Q$33+X75+1,0*$Q$34+W75+1)="","",IF(INDEX($B$35:$M$50,($Q$32-1-0)*$Q$33+X75+1,0*$Q$34+W75+1)&gt;=0,TEXT(INDEX($B$35:$M$50,($Q$32-1-0)*$Q$33+X75+1,0*$Q$34+W75+1),"+0;-0;0"),"")))</f>
        <v>+78</v>
      </c>
      <c r="AS75" t="str">
        <f>IF(V75=1,"",IF(INDEX($B$35:$M$50,($Q$32-1-0)*$Q$33+X75+1,0*$Q$34+W75+1)="","",IF(INDEX($B$35:$M$50,($Q$32-1-0)*$Q$33+X75+1,0*$Q$34+W75+1)&lt;0,TEXT(INDEX($B$35:$M$50,($Q$32-1-0)*$Q$33+X75+1,0*$Q$34+W75+1),"+0;-0;0"),"")))</f>
        <v/>
      </c>
      <c r="AT75" t="str">
        <f>IF(V75=1,"",IF(INDEX($B$35:$M$50,($Q$32-1-1)*$Q$33+X75+1,0*$Q$34+W75+1)="","",IF(INDEX($B$35:$M$50,($Q$32-1-1)*$Q$33+X75+1,0*$Q$34+W75+1)&gt;=0,TEXT(INDEX($B$35:$M$50,($Q$32-1-1)*$Q$33+X75+1,0*$Q$34+W75+1),"+0;-0;0"),"")))</f>
        <v>+15</v>
      </c>
      <c r="AU75" t="str">
        <f>IF(V75=1,"",IF(INDEX($B$35:$M$50,($Q$32-1-1)*$Q$33+X75+1,0*$Q$34+W75+1)="","",IF(INDEX($B$35:$M$50,($Q$32-1-1)*$Q$33+X75+1,0*$Q$34+W75+1)&lt;0,TEXT(INDEX($B$35:$M$50,($Q$32-1-1)*$Q$33+X75+1,0*$Q$34+W75+1),"+0;-0;0"),"")))</f>
        <v/>
      </c>
      <c r="AV75" t="str">
        <f>IF(V75=1,"",IF(INDEX($B$35:$M$50,($Q$32-1-2)*$Q$33+X75+1,0*$Q$34+W75+1)="","",IF(INDEX($B$35:$M$50,($Q$32-1-2)*$Q$33+X75+1,0*$Q$34+W75+1)&gt;=0,TEXT(INDEX($B$35:$M$50,($Q$32-1-2)*$Q$33+X75+1,0*$Q$34+W75+1),"+0;-0;0"),"")))</f>
        <v/>
      </c>
      <c r="AW75" t="str">
        <f>IF(V75=1,"",IF(INDEX($B$35:$M$50,($Q$32-1-2)*$Q$33+X75+1,0*$Q$34+W75+1)="","",IF(INDEX($B$35:$M$50,($Q$32-1-2)*$Q$33+X75+1,0*$Q$34+W75+1)&lt;0,TEXT(INDEX($B$35:$M$50,($Q$32-1-2)*$Q$33+X75+1,0*$Q$34+W75+1),"+0;-0;0"),"")))</f>
        <v>-36</v>
      </c>
      <c r="AX75" t="str">
        <f>IF(V75=1,"",IF(INDEX($B$35:$M$50,($Q$32-1-3)*$Q$33+X75+1,0*$Q$34+W75+1)="","",IF(INDEX($B$35:$M$50,($Q$32-1-3)*$Q$33+X75+1,0*$Q$34+W75+1)&gt;=0,TEXT(INDEX($B$35:$M$50,($Q$32-1-3)*$Q$33+X75+1,0*$Q$34+W75+1),"+0;-0;0"),"")))</f>
        <v/>
      </c>
      <c r="AY75" t="str">
        <f>IF(V75=1,"",IF(INDEX($B$35:$M$50,($Q$32-1-3)*$Q$33+X75+1,0*$Q$34+W75+1)="","",IF(INDEX($B$35:$M$50,($Q$32-1-3)*$Q$33+X75+1,0*$Q$34+W75+1)&lt;0,TEXT(INDEX($B$35:$M$50,($Q$32-1-3)*$Q$33+X75+1,0*$Q$34+W75+1),"+0;-0;0"),"")))</f>
        <v>-54</v>
      </c>
      <c r="BG75">
        <v>54.5</v>
      </c>
      <c r="BH75">
        <f>IF(OR($Q$46&gt;0,$Q$47&lt;0),NA(),1+$Q$49)</f>
        <v>1.2342857142857142</v>
      </c>
    </row>
    <row r="76" spans="16:64" x14ac:dyDescent="0.35">
      <c r="P76">
        <v>24</v>
      </c>
      <c r="Q76">
        <f>P76-$Q$41</f>
        <v>21</v>
      </c>
      <c r="R76">
        <f>IF(Q76&lt;=0,-1,INT((Q76-1)/($Q$39+$Q$40)))</f>
        <v>1</v>
      </c>
      <c r="S76">
        <f>IF(Q76&lt;=0,-1,MOD(Q76-1,($Q$39+$Q$40)))</f>
        <v>7</v>
      </c>
      <c r="T76">
        <f>IF(OR(S76&lt;0,S76&gt;=$Q$39),-1,INT(S76/$Q$38))</f>
        <v>7</v>
      </c>
      <c r="U76">
        <f>IF(OR(S76&lt;0,S76&gt;=$Q$39),-1,MOD(S76,$Q$38))</f>
        <v>0</v>
      </c>
      <c r="V76">
        <f>IF(OR(Q76&lt;=0,S76&lt;0,S76&gt;=$Q$39,R76&gt;=$Q$36),1,0)</f>
        <v>0</v>
      </c>
      <c r="W76">
        <f>IF(V76=1,-1,T76)</f>
        <v>7</v>
      </c>
      <c r="X76">
        <f>IF(V76=1,-1,R76)</f>
        <v>1</v>
      </c>
      <c r="Y76" t="str">
        <f>IF(V76=1,"",IF(AND(MOD(W76,3)=0,U76=INT(($Q$38-1)/2)),INDEX($B$34:$M$34,W76+1),""))</f>
        <v/>
      </c>
      <c r="Z76">
        <f>IF(V76=1,NA(),IF(INDEX($B$35:$M$50,($Q$32-1-0)*$Q$33+X76+1,0*$Q$34+W76+1)="",NA(),IF(INDEX($B$35:$M$50,($Q$32-1-0)*$Q$33+X76+1,0*$Q$34+W76+1)&gt;=0,0+(INDEX($B$35:$M$50,($Q$32-1-0)*$Q$33+X76+1,0*$Q$34+W76+1)-$Q$46)/$Q$48*$Q$42,NA())))</f>
        <v>0.4914405201436548</v>
      </c>
      <c r="AA76" t="e">
        <f>IF(V76=1,NA(),IF(INDEX($B$35:$M$50,($Q$32-1-0)*$Q$33+X76+1,0*$Q$34+W76+1)="",NA(),IF(INDEX($B$35:$M$50,($Q$32-1-0)*$Q$33+X76+1,0*$Q$34+W76+1)&lt;0,0+(INDEX($B$35:$M$50,($Q$32-1-0)*$Q$33+X76+1,0*$Q$34+W76+1)-$Q$46)/$Q$48*$Q$42,NA())))</f>
        <v>#N/A</v>
      </c>
      <c r="AB76">
        <f>IF(V76=1,NA(),IF(INDEX($B$35:$M$50,($Q$32-1-1)*$Q$33+X76+1,0*$Q$34+W76+1)="",NA(),IF(INDEX($B$35:$M$50,($Q$32-1-1)*$Q$33+X76+1,0*$Q$34+W76+1)&gt;=0,1+(INDEX($B$35:$M$50,($Q$32-1-1)*$Q$33+X76+1,0*$Q$34+W76+1)-$Q$46)/$Q$48*$Q$42,NA())))</f>
        <v>1.2596279565548159</v>
      </c>
      <c r="AC76" t="e">
        <f>IF(V76=1,NA(),IF(INDEX($B$35:$M$50,($Q$32-1-1)*$Q$33+X76+1,0*$Q$34+W76+1)="",NA(),IF(INDEX($B$35:$M$50,($Q$32-1-1)*$Q$33+X76+1,0*$Q$34+W76+1)&lt;0,1+(INDEX($B$35:$M$50,($Q$32-1-1)*$Q$33+X76+1,0*$Q$34+W76+1)-$Q$46)/$Q$48*$Q$42,NA())))</f>
        <v>#N/A</v>
      </c>
      <c r="AD76" t="e">
        <f>IF(V76=1,NA(),IF(INDEX($B$35:$M$50,($Q$32-1-2)*$Q$33+X76+1,0*$Q$34+W76+1)="",NA(),IF(INDEX($B$35:$M$50,($Q$32-1-2)*$Q$33+X76+1,0*$Q$34+W76+1)&gt;=0,2+(INDEX($B$35:$M$50,($Q$32-1-2)*$Q$33+X76+1,0*$Q$34+W76+1)-$Q$46)/$Q$48*$Q$42,NA())))</f>
        <v>#N/A</v>
      </c>
      <c r="AE76">
        <f>IF(V76=1,NA(),IF(INDEX($B$35:$M$50,($Q$32-1-2)*$Q$33+X76+1,0*$Q$34+W76+1)="",NA(),IF(INDEX($B$35:$M$50,($Q$32-1-2)*$Q$33+X76+1,0*$Q$34+W76+1)&lt;0,2+(INDEX($B$35:$M$50,($Q$32-1-2)*$Q$33+X76+1,0*$Q$34+W76+1)-$Q$46)/$Q$48*$Q$42,NA())))</f>
        <v>2.1443032075484441</v>
      </c>
      <c r="AF76" t="e">
        <f>IF(V76=1,NA(),IF(INDEX($B$35:$M$50,($Q$32-1-3)*$Q$33+X76+1,0*$Q$34+W76+1)="",NA(),IF(INDEX($B$35:$M$50,($Q$32-1-3)*$Q$33+X76+1,0*$Q$34+W76+1)&gt;=0,3+(INDEX($B$35:$M$50,($Q$32-1-3)*$Q$33+X76+1,0*$Q$34+W76+1)-$Q$46)/$Q$48*$Q$42,NA())))</f>
        <v>#N/A</v>
      </c>
      <c r="AG76">
        <f>IF(V76=1,NA(),IF(INDEX($B$35:$M$50,($Q$32-1-3)*$Q$33+X76+1,0*$Q$34+W76+1)="",NA(),IF(INDEX($B$35:$M$50,($Q$32-1-3)*$Q$33+X76+1,0*$Q$34+W76+1)&lt;0,3+(INDEX($B$35:$M$50,($Q$32-1-3)*$Q$33+X76+1,0*$Q$34+W76+1)-$Q$46)/$Q$48*$Q$42,NA())))</f>
        <v>3.0970857661085072</v>
      </c>
      <c r="AI76">
        <f>IF(V76=1,0,IF(INDEX($B$35:$M$50,($Q$32-1-0)*$Q$33+X76+1,0*$Q$34+W76+1)="",0,IF(INDEX($B$35:$M$50,($Q$32-1-0)*$Q$33+X76+1,0*$Q$34+W76+1)&gt;=0,ABS(INDEX($B$35:$M$50,($Q$32-1-0)*$Q$33+X76+1,0*$Q$34+W76+1))/$Q$48*$Q$42,0)))</f>
        <v>0.25715480585794048</v>
      </c>
      <c r="AJ76">
        <f>IF(V76=1,0,IF(INDEX($B$35:$M$50,($Q$32-1-0)*$Q$33+X76+1,0*$Q$34+W76+1)="",0,IF(INDEX($B$35:$M$50,($Q$32-1-0)*$Q$33+X76+1,0*$Q$34+W76+1)&lt;0,ABS(INDEX($B$35:$M$50,($Q$32-1-0)*$Q$33+X76+1,0*$Q$34+W76+1))/$Q$48*$Q$42,0)))</f>
        <v>0</v>
      </c>
      <c r="AK76">
        <f>IF(V76=1,0,IF(INDEX($B$35:$M$50,($Q$32-1-1)*$Q$33+X76+1,0*$Q$34+W76+1)="",0,IF(INDEX($B$35:$M$50,($Q$32-1-1)*$Q$33+X76+1,0*$Q$34+W76+1)&gt;=0,ABS(INDEX($B$35:$M$50,($Q$32-1-1)*$Q$33+X76+1,0*$Q$34+W76+1))/$Q$48*$Q$42,0)))</f>
        <v>2.5342242269101513E-2</v>
      </c>
      <c r="AL76">
        <f>IF(V76=1,0,IF(INDEX($B$35:$M$50,($Q$32-1-1)*$Q$33+X76+1,0*$Q$34+W76+1)="",0,IF(INDEX($B$35:$M$50,($Q$32-1-1)*$Q$33+X76+1,0*$Q$34+W76+1)&lt;0,ABS(INDEX($B$35:$M$50,($Q$32-1-1)*$Q$33+X76+1,0*$Q$34+W76+1))/$Q$48*$Q$42,0)))</f>
        <v>0</v>
      </c>
      <c r="AM76">
        <f>IF(V76=1,0,IF(INDEX($B$35:$M$50,($Q$32-1-2)*$Q$33+X76+1,0*$Q$34+W76+1)="",0,IF(INDEX($B$35:$M$50,($Q$32-1-2)*$Q$33+X76+1,0*$Q$34+W76+1)&gt;=0,ABS(INDEX($B$35:$M$50,($Q$32-1-2)*$Q$33+X76+1,0*$Q$34+W76+1))/$Q$48*$Q$42,0)))</f>
        <v>0</v>
      </c>
      <c r="AN76">
        <f>IF(V76=1,0,IF(INDEX($B$35:$M$50,($Q$32-1-2)*$Q$33+X76+1,0*$Q$34+W76+1)="",0,IF(INDEX($B$35:$M$50,($Q$32-1-2)*$Q$33+X76+1,0*$Q$34+W76+1)&lt;0,ABS(INDEX($B$35:$M$50,($Q$32-1-2)*$Q$33+X76+1,0*$Q$34+W76+1))/$Q$48*$Q$42,0)))</f>
        <v>8.9982506737270082E-2</v>
      </c>
      <c r="AO76">
        <f>IF(V76=1,0,IF(INDEX($B$35:$M$50,($Q$32-1-3)*$Q$33+X76+1,0*$Q$34+W76+1)="",0,IF(INDEX($B$35:$M$50,($Q$32-1-3)*$Q$33+X76+1,0*$Q$34+W76+1)&gt;=0,ABS(INDEX($B$35:$M$50,($Q$32-1-3)*$Q$33+X76+1,0*$Q$34+W76+1))/$Q$48*$Q$42,0)))</f>
        <v>0</v>
      </c>
      <c r="AP76">
        <f>IF(V76=1,0,IF(INDEX($B$35:$M$50,($Q$32-1-3)*$Q$33+X76+1,0*$Q$34+W76+1)="",0,IF(INDEX($B$35:$M$50,($Q$32-1-3)*$Q$33+X76+1,0*$Q$34+W76+1)&lt;0,ABS(INDEX($B$35:$M$50,($Q$32-1-3)*$Q$33+X76+1,0*$Q$34+W76+1))/$Q$48*$Q$42,0)))</f>
        <v>0.13719994817720693</v>
      </c>
      <c r="AR76" t="str">
        <f>IF(V76=1,"",IF(INDEX($B$35:$M$50,($Q$32-1-0)*$Q$33+X76+1,0*$Q$34+W76+1)="","",IF(INDEX($B$35:$M$50,($Q$32-1-0)*$Q$33+X76+1,0*$Q$34+W76+1)&gt;=0,TEXT(INDEX($B$35:$M$50,($Q$32-1-0)*$Q$33+X76+1,0*$Q$34+W76+1),"+0;-0;0"),"")))</f>
        <v>+110</v>
      </c>
      <c r="AS76" t="str">
        <f>IF(V76=1,"",IF(INDEX($B$35:$M$50,($Q$32-1-0)*$Q$33+X76+1,0*$Q$34+W76+1)="","",IF(INDEX($B$35:$M$50,($Q$32-1-0)*$Q$33+X76+1,0*$Q$34+W76+1)&lt;0,TEXT(INDEX($B$35:$M$50,($Q$32-1-0)*$Q$33+X76+1,0*$Q$34+W76+1),"+0;-0;0"),"")))</f>
        <v/>
      </c>
      <c r="AT76" t="str">
        <f>IF(V76=1,"",IF(INDEX($B$35:$M$50,($Q$32-1-1)*$Q$33+X76+1,0*$Q$34+W76+1)="","",IF(INDEX($B$35:$M$50,($Q$32-1-1)*$Q$33+X76+1,0*$Q$34+W76+1)&gt;=0,TEXT(INDEX($B$35:$M$50,($Q$32-1-1)*$Q$33+X76+1,0*$Q$34+W76+1),"+0;-0;0"),"")))</f>
        <v>+11</v>
      </c>
      <c r="AU76" t="str">
        <f>IF(V76=1,"",IF(INDEX($B$35:$M$50,($Q$32-1-1)*$Q$33+X76+1,0*$Q$34+W76+1)="","",IF(INDEX($B$35:$M$50,($Q$32-1-1)*$Q$33+X76+1,0*$Q$34+W76+1)&lt;0,TEXT(INDEX($B$35:$M$50,($Q$32-1-1)*$Q$33+X76+1,0*$Q$34+W76+1),"+0;-0;0"),"")))</f>
        <v/>
      </c>
      <c r="AV76" t="str">
        <f>IF(V76=1,"",IF(INDEX($B$35:$M$50,($Q$32-1-2)*$Q$33+X76+1,0*$Q$34+W76+1)="","",IF(INDEX($B$35:$M$50,($Q$32-1-2)*$Q$33+X76+1,0*$Q$34+W76+1)&gt;=0,TEXT(INDEX($B$35:$M$50,($Q$32-1-2)*$Q$33+X76+1,0*$Q$34+W76+1),"+0;-0;0"),"")))</f>
        <v/>
      </c>
      <c r="AW76" t="str">
        <f>IF(V76=1,"",IF(INDEX($B$35:$M$50,($Q$32-1-2)*$Q$33+X76+1,0*$Q$34+W76+1)="","",IF(INDEX($B$35:$M$50,($Q$32-1-2)*$Q$33+X76+1,0*$Q$34+W76+1)&lt;0,TEXT(INDEX($B$35:$M$50,($Q$32-1-2)*$Q$33+X76+1,0*$Q$34+W76+1),"+0;-0;0"),"")))</f>
        <v>-38</v>
      </c>
      <c r="AX76" t="str">
        <f>IF(V76=1,"",IF(INDEX($B$35:$M$50,($Q$32-1-3)*$Q$33+X76+1,0*$Q$34+W76+1)="","",IF(INDEX($B$35:$M$50,($Q$32-1-3)*$Q$33+X76+1,0*$Q$34+W76+1)&gt;=0,TEXT(INDEX($B$35:$M$50,($Q$32-1-3)*$Q$33+X76+1,0*$Q$34+W76+1),"+0;-0;0"),"")))</f>
        <v/>
      </c>
      <c r="AY76" t="str">
        <f>IF(V76=1,"",IF(INDEX($B$35:$M$50,($Q$32-1-3)*$Q$33+X76+1,0*$Q$34+W76+1)="","",IF(INDEX($B$35:$M$50,($Q$32-1-3)*$Q$33+X76+1,0*$Q$34+W76+1)&lt;0,TEXT(INDEX($B$35:$M$50,($Q$32-1-3)*$Q$33+X76+1,0*$Q$34+W76+1),"+0;-0;0"),"")))</f>
        <v>-59</v>
      </c>
      <c r="BG76">
        <v>54.5</v>
      </c>
      <c r="BH76" t="e">
        <f>NA()</f>
        <v>#N/A</v>
      </c>
    </row>
    <row r="77" spans="16:64" x14ac:dyDescent="0.35">
      <c r="P77">
        <v>25</v>
      </c>
      <c r="Q77">
        <f>P77-$Q$41</f>
        <v>22</v>
      </c>
      <c r="R77">
        <f>IF(Q77&lt;=0,-1,INT((Q77-1)/($Q$39+$Q$40)))</f>
        <v>1</v>
      </c>
      <c r="S77">
        <f>IF(Q77&lt;=0,-1,MOD(Q77-1,($Q$39+$Q$40)))</f>
        <v>8</v>
      </c>
      <c r="T77">
        <f>IF(OR(S77&lt;0,S77&gt;=$Q$39),-1,INT(S77/$Q$38))</f>
        <v>8</v>
      </c>
      <c r="U77">
        <f>IF(OR(S77&lt;0,S77&gt;=$Q$39),-1,MOD(S77,$Q$38))</f>
        <v>0</v>
      </c>
      <c r="V77">
        <f>IF(OR(Q77&lt;=0,S77&lt;0,S77&gt;=$Q$39,R77&gt;=$Q$36),1,0)</f>
        <v>0</v>
      </c>
      <c r="W77">
        <f>IF(V77=1,-1,T77)</f>
        <v>8</v>
      </c>
      <c r="X77">
        <f>IF(V77=1,-1,R77)</f>
        <v>1</v>
      </c>
      <c r="Y77" t="str">
        <f>IF(V77=1,"",IF(AND(MOD(W77,3)=0,U77=INT(($Q$38-1)/2)),INDEX($B$34:$M$34,W77+1),""))</f>
        <v/>
      </c>
      <c r="Z77">
        <f>IF(V77=1,NA(),IF(INDEX($B$35:$M$50,($Q$32-1-0)*$Q$33+X77+1,0*$Q$34+W77+1)="",NA(),IF(INDEX($B$35:$M$50,($Q$32-1-0)*$Q$33+X77+1,0*$Q$34+W77+1)&gt;=0,0+(INDEX($B$35:$M$50,($Q$32-1-0)*$Q$33+X77+1,0*$Q$34+W77+1)-$Q$46)/$Q$48*$Q$42,NA())))</f>
        <v>0.49240786660731767</v>
      </c>
      <c r="AA77" t="e">
        <f>IF(V77=1,NA(),IF(INDEX($B$35:$M$50,($Q$32-1-0)*$Q$33+X77+1,0*$Q$34+W77+1)="",NA(),IF(INDEX($B$35:$M$50,($Q$32-1-0)*$Q$33+X77+1,0*$Q$34+W77+1)&lt;0,0+(INDEX($B$35:$M$50,($Q$32-1-0)*$Q$33+X77+1,0*$Q$34+W77+1)-$Q$46)/$Q$48*$Q$42,NA())))</f>
        <v>#N/A</v>
      </c>
      <c r="AB77">
        <f>IF(V77=1,NA(),IF(INDEX($B$35:$M$50,($Q$32-1-1)*$Q$33+X77+1,0*$Q$34+W77+1)="",NA(),IF(INDEX($B$35:$M$50,($Q$32-1-1)*$Q$33+X77+1,0*$Q$34+W77+1)&gt;=0,1+(INDEX($B$35:$M$50,($Q$32-1-1)*$Q$33+X77+1,0*$Q$34+W77+1)-$Q$46)/$Q$48*$Q$42,NA())))</f>
        <v>1.2599268983532479</v>
      </c>
      <c r="AC77" t="e">
        <f>IF(V77=1,NA(),IF(INDEX($B$35:$M$50,($Q$32-1-1)*$Q$33+X77+1,0*$Q$34+W77+1)="",NA(),IF(INDEX($B$35:$M$50,($Q$32-1-1)*$Q$33+X77+1,0*$Q$34+W77+1)&lt;0,1+(INDEX($B$35:$M$50,($Q$32-1-1)*$Q$33+X77+1,0*$Q$34+W77+1)-$Q$46)/$Q$48*$Q$42,NA())))</f>
        <v>#N/A</v>
      </c>
      <c r="AD77" t="e">
        <f>IF(V77=1,NA(),IF(INDEX($B$35:$M$50,($Q$32-1-2)*$Q$33+X77+1,0*$Q$34+W77+1)="",NA(),IF(INDEX($B$35:$M$50,($Q$32-1-2)*$Q$33+X77+1,0*$Q$34+W77+1)&gt;=0,2+(INDEX($B$35:$M$50,($Q$32-1-2)*$Q$33+X77+1,0*$Q$34+W77+1)-$Q$46)/$Q$48*$Q$42,NA())))</f>
        <v>#N/A</v>
      </c>
      <c r="AE77">
        <f>IF(V77=1,NA(),IF(INDEX($B$35:$M$50,($Q$32-1-2)*$Q$33+X77+1,0*$Q$34+W77+1)="",NA(),IF(INDEX($B$35:$M$50,($Q$32-1-2)*$Q$33+X77+1,0*$Q$34+W77+1)&lt;0,2+(INDEX($B$35:$M$50,($Q$32-1-2)*$Q$33+X77+1,0*$Q$34+W77+1)-$Q$46)/$Q$48*$Q$42,NA())))</f>
        <v>2.1395455413753677</v>
      </c>
      <c r="AF77" t="e">
        <f>IF(V77=1,NA(),IF(INDEX($B$35:$M$50,($Q$32-1-3)*$Q$33+X77+1,0*$Q$34+W77+1)="",NA(),IF(INDEX($B$35:$M$50,($Q$32-1-3)*$Q$33+X77+1,0*$Q$34+W77+1)&gt;=0,3+(INDEX($B$35:$M$50,($Q$32-1-3)*$Q$33+X77+1,0*$Q$34+W77+1)-$Q$46)/$Q$48*$Q$42,NA())))</f>
        <v>#N/A</v>
      </c>
      <c r="AG77">
        <f>IF(V77=1,NA(),IF(INDEX($B$35:$M$50,($Q$32-1-3)*$Q$33+X77+1,0*$Q$34+W77+1)="",NA(),IF(INDEX($B$35:$M$50,($Q$32-1-3)*$Q$33+X77+1,0*$Q$34+W77+1)&lt;0,3+(INDEX($B$35:$M$50,($Q$32-1-3)*$Q$33+X77+1,0*$Q$34+W77+1)-$Q$46)/$Q$48*$Q$42,NA())))</f>
        <v>3.0980543701495211</v>
      </c>
      <c r="AI77">
        <f>IF(V77=1,0,IF(INDEX($B$35:$M$50,($Q$32-1-0)*$Q$33+X77+1,0*$Q$34+W77+1)="",0,IF(INDEX($B$35:$M$50,($Q$32-1-0)*$Q$33+X77+1,0*$Q$34+W77+1)&gt;=0,ABS(INDEX($B$35:$M$50,($Q$32-1-0)*$Q$33+X77+1,0*$Q$34+W77+1))/$Q$48*$Q$42,0)))</f>
        <v>0.25812215232160335</v>
      </c>
      <c r="AJ77">
        <f>IF(V77=1,0,IF(INDEX($B$35:$M$50,($Q$32-1-0)*$Q$33+X77+1,0*$Q$34+W77+1)="",0,IF(INDEX($B$35:$M$50,($Q$32-1-0)*$Q$33+X77+1,0*$Q$34+W77+1)&lt;0,ABS(INDEX($B$35:$M$50,($Q$32-1-0)*$Q$33+X77+1,0*$Q$34+W77+1))/$Q$48*$Q$42,0)))</f>
        <v>0</v>
      </c>
      <c r="AK77">
        <f>IF(V77=1,0,IF(INDEX($B$35:$M$50,($Q$32-1-1)*$Q$33+X77+1,0*$Q$34+W77+1)="",0,IF(INDEX($B$35:$M$50,($Q$32-1-1)*$Q$33+X77+1,0*$Q$34+W77+1)&gt;=0,ABS(INDEX($B$35:$M$50,($Q$32-1-1)*$Q$33+X77+1,0*$Q$34+W77+1))/$Q$48*$Q$42,0)))</f>
        <v>2.5641184067533553E-2</v>
      </c>
      <c r="AL77">
        <f>IF(V77=1,0,IF(INDEX($B$35:$M$50,($Q$32-1-1)*$Q$33+X77+1,0*$Q$34+W77+1)="",0,IF(INDEX($B$35:$M$50,($Q$32-1-1)*$Q$33+X77+1,0*$Q$34+W77+1)&lt;0,ABS(INDEX($B$35:$M$50,($Q$32-1-1)*$Q$33+X77+1,0*$Q$34+W77+1))/$Q$48*$Q$42,0)))</f>
        <v>0</v>
      </c>
      <c r="AM77">
        <f>IF(V77=1,0,IF(INDEX($B$35:$M$50,($Q$32-1-2)*$Q$33+X77+1,0*$Q$34+W77+1)="",0,IF(INDEX($B$35:$M$50,($Q$32-1-2)*$Q$33+X77+1,0*$Q$34+W77+1)&gt;=0,ABS(INDEX($B$35:$M$50,($Q$32-1-2)*$Q$33+X77+1,0*$Q$34+W77+1))/$Q$48*$Q$42,0)))</f>
        <v>0</v>
      </c>
      <c r="AN77">
        <f>IF(V77=1,0,IF(INDEX($B$35:$M$50,($Q$32-1-2)*$Q$33+X77+1,0*$Q$34+W77+1)="",0,IF(INDEX($B$35:$M$50,($Q$32-1-2)*$Q$33+X77+1,0*$Q$34+W77+1)&lt;0,ABS(INDEX($B$35:$M$50,($Q$32-1-2)*$Q$33+X77+1,0*$Q$34+W77+1))/$Q$48*$Q$42,0)))</f>
        <v>9.4740172910346726E-2</v>
      </c>
      <c r="AO77">
        <f>IF(V77=1,0,IF(INDEX($B$35:$M$50,($Q$32-1-3)*$Q$33+X77+1,0*$Q$34+W77+1)="",0,IF(INDEX($B$35:$M$50,($Q$32-1-3)*$Q$33+X77+1,0*$Q$34+W77+1)&gt;=0,ABS(INDEX($B$35:$M$50,($Q$32-1-3)*$Q$33+X77+1,0*$Q$34+W77+1))/$Q$48*$Q$42,0)))</f>
        <v>0</v>
      </c>
      <c r="AP77">
        <f>IF(V77=1,0,IF(INDEX($B$35:$M$50,($Q$32-1-3)*$Q$33+X77+1,0*$Q$34+W77+1)="",0,IF(INDEX($B$35:$M$50,($Q$32-1-3)*$Q$33+X77+1,0*$Q$34+W77+1)&lt;0,ABS(INDEX($B$35:$M$50,($Q$32-1-3)*$Q$33+X77+1,0*$Q$34+W77+1))/$Q$48*$Q$42,0)))</f>
        <v>0.13623134413619317</v>
      </c>
      <c r="AR77" t="str">
        <f>IF(V77=1,"",IF(INDEX($B$35:$M$50,($Q$32-1-0)*$Q$33+X77+1,0*$Q$34+W77+1)="","",IF(INDEX($B$35:$M$50,($Q$32-1-0)*$Q$33+X77+1,0*$Q$34+W77+1)&gt;=0,TEXT(INDEX($B$35:$M$50,($Q$32-1-0)*$Q$33+X77+1,0*$Q$34+W77+1),"+0;-0;0"),"")))</f>
        <v>+110</v>
      </c>
      <c r="AS77" t="str">
        <f>IF(V77=1,"",IF(INDEX($B$35:$M$50,($Q$32-1-0)*$Q$33+X77+1,0*$Q$34+W77+1)="","",IF(INDEX($B$35:$M$50,($Q$32-1-0)*$Q$33+X77+1,0*$Q$34+W77+1)&lt;0,TEXT(INDEX($B$35:$M$50,($Q$32-1-0)*$Q$33+X77+1,0*$Q$34+W77+1),"+0;-0;0"),"")))</f>
        <v/>
      </c>
      <c r="AT77" t="str">
        <f>IF(V77=1,"",IF(INDEX($B$35:$M$50,($Q$32-1-1)*$Q$33+X77+1,0*$Q$34+W77+1)="","",IF(INDEX($B$35:$M$50,($Q$32-1-1)*$Q$33+X77+1,0*$Q$34+W77+1)&gt;=0,TEXT(INDEX($B$35:$M$50,($Q$32-1-1)*$Q$33+X77+1,0*$Q$34+W77+1),"+0;-0;0"),"")))</f>
        <v>+11</v>
      </c>
      <c r="AU77" t="str">
        <f>IF(V77=1,"",IF(INDEX($B$35:$M$50,($Q$32-1-1)*$Q$33+X77+1,0*$Q$34+W77+1)="","",IF(INDEX($B$35:$M$50,($Q$32-1-1)*$Q$33+X77+1,0*$Q$34+W77+1)&lt;0,TEXT(INDEX($B$35:$M$50,($Q$32-1-1)*$Q$33+X77+1,0*$Q$34+W77+1),"+0;-0;0"),"")))</f>
        <v/>
      </c>
      <c r="AV77" t="str">
        <f>IF(V77=1,"",IF(INDEX($B$35:$M$50,($Q$32-1-2)*$Q$33+X77+1,0*$Q$34+W77+1)="","",IF(INDEX($B$35:$M$50,($Q$32-1-2)*$Q$33+X77+1,0*$Q$34+W77+1)&gt;=0,TEXT(INDEX($B$35:$M$50,($Q$32-1-2)*$Q$33+X77+1,0*$Q$34+W77+1),"+0;-0;0"),"")))</f>
        <v/>
      </c>
      <c r="AW77" t="str">
        <f>IF(V77=1,"",IF(INDEX($B$35:$M$50,($Q$32-1-2)*$Q$33+X77+1,0*$Q$34+W77+1)="","",IF(INDEX($B$35:$M$50,($Q$32-1-2)*$Q$33+X77+1,0*$Q$34+W77+1)&lt;0,TEXT(INDEX($B$35:$M$50,($Q$32-1-2)*$Q$33+X77+1,0*$Q$34+W77+1),"+0;-0;0"),"")))</f>
        <v>-40</v>
      </c>
      <c r="AX77" t="str">
        <f>IF(V77=1,"",IF(INDEX($B$35:$M$50,($Q$32-1-3)*$Q$33+X77+1,0*$Q$34+W77+1)="","",IF(INDEX($B$35:$M$50,($Q$32-1-3)*$Q$33+X77+1,0*$Q$34+W77+1)&gt;=0,TEXT(INDEX($B$35:$M$50,($Q$32-1-3)*$Q$33+X77+1,0*$Q$34+W77+1),"+0;-0;0"),"")))</f>
        <v/>
      </c>
      <c r="AY77" t="str">
        <f>IF(V77=1,"",IF(INDEX($B$35:$M$50,($Q$32-1-3)*$Q$33+X77+1,0*$Q$34+W77+1)="","",IF(INDEX($B$35:$M$50,($Q$32-1-3)*$Q$33+X77+1,0*$Q$34+W77+1)&lt;0,TEXT(INDEX($B$35:$M$50,($Q$32-1-3)*$Q$33+X77+1,0*$Q$34+W77+1),"+0;-0;0"),"")))</f>
        <v>-58</v>
      </c>
      <c r="BG77">
        <v>3.5</v>
      </c>
      <c r="BH77">
        <f>IF(OR($Q$46&gt;0,$Q$47&lt;0),NA(),2+$Q$49)</f>
        <v>2.2342857142857144</v>
      </c>
    </row>
    <row r="78" spans="16:64" x14ac:dyDescent="0.35">
      <c r="P78">
        <v>26</v>
      </c>
      <c r="Q78">
        <f>P78-$Q$41</f>
        <v>23</v>
      </c>
      <c r="R78">
        <f>IF(Q78&lt;=0,-1,INT((Q78-1)/($Q$39+$Q$40)))</f>
        <v>1</v>
      </c>
      <c r="S78">
        <f>IF(Q78&lt;=0,-1,MOD(Q78-1,($Q$39+$Q$40)))</f>
        <v>9</v>
      </c>
      <c r="T78">
        <f>IF(OR(S78&lt;0,S78&gt;=$Q$39),-1,INT(S78/$Q$38))</f>
        <v>9</v>
      </c>
      <c r="U78">
        <f>IF(OR(S78&lt;0,S78&gt;=$Q$39),-1,MOD(S78,$Q$38))</f>
        <v>0</v>
      </c>
      <c r="V78">
        <f>IF(OR(Q78&lt;=0,S78&lt;0,S78&gt;=$Q$39,R78&gt;=$Q$36),1,0)</f>
        <v>0</v>
      </c>
      <c r="W78">
        <f>IF(V78=1,-1,T78)</f>
        <v>9</v>
      </c>
      <c r="X78">
        <f>IF(V78=1,-1,R78)</f>
        <v>1</v>
      </c>
      <c r="Y78" t="str">
        <f>IF(V78=1,"",IF(AND(MOD(W78,3)=0,U78=INT(($Q$38-1)/2)),INDEX($B$34:$M$34,W78+1),""))</f>
        <v>Oct</v>
      </c>
      <c r="Z78">
        <f>IF(V78=1,NA(),IF(INDEX($B$35:$M$50,($Q$32-1-0)*$Q$33+X78+1,0*$Q$34+W78+1)="",NA(),IF(INDEX($B$35:$M$50,($Q$32-1-0)*$Q$33+X78+1,0*$Q$34+W78+1)&gt;=0,0+(INDEX($B$35:$M$50,($Q$32-1-0)*$Q$33+X78+1,0*$Q$34+W78+1)-$Q$46)/$Q$48*$Q$42,NA())))</f>
        <v>0.43830369890631193</v>
      </c>
      <c r="AA78" t="e">
        <f>IF(V78=1,NA(),IF(INDEX($B$35:$M$50,($Q$32-1-0)*$Q$33+X78+1,0*$Q$34+W78+1)="",NA(),IF(INDEX($B$35:$M$50,($Q$32-1-0)*$Q$33+X78+1,0*$Q$34+W78+1)&lt;0,0+(INDEX($B$35:$M$50,($Q$32-1-0)*$Q$33+X78+1,0*$Q$34+W78+1)-$Q$46)/$Q$48*$Q$42,NA())))</f>
        <v>#N/A</v>
      </c>
      <c r="AB78">
        <f>IF(V78=1,NA(),IF(INDEX($B$35:$M$50,($Q$32-1-1)*$Q$33+X78+1,0*$Q$34+W78+1)="",NA(),IF(INDEX($B$35:$M$50,($Q$32-1-1)*$Q$33+X78+1,0*$Q$34+W78+1)&gt;=0,1+(INDEX($B$35:$M$50,($Q$32-1-1)*$Q$33+X78+1,0*$Q$34+W78+1)-$Q$46)/$Q$48*$Q$42,NA())))</f>
        <v>1.2528951972481872</v>
      </c>
      <c r="AC78" t="e">
        <f>IF(V78=1,NA(),IF(INDEX($B$35:$M$50,($Q$32-1-1)*$Q$33+X78+1,0*$Q$34+W78+1)="",NA(),IF(INDEX($B$35:$M$50,($Q$32-1-1)*$Q$33+X78+1,0*$Q$34+W78+1)&lt;0,1+(INDEX($B$35:$M$50,($Q$32-1-1)*$Q$33+X78+1,0*$Q$34+W78+1)-$Q$46)/$Q$48*$Q$42,NA())))</f>
        <v>#N/A</v>
      </c>
      <c r="AD78" t="e">
        <f>IF(V78=1,NA(),IF(INDEX($B$35:$M$50,($Q$32-1-2)*$Q$33+X78+1,0*$Q$34+W78+1)="",NA(),IF(INDEX($B$35:$M$50,($Q$32-1-2)*$Q$33+X78+1,0*$Q$34+W78+1)&gt;=0,2+(INDEX($B$35:$M$50,($Q$32-1-2)*$Q$33+X78+1,0*$Q$34+W78+1)-$Q$46)/$Q$48*$Q$42,NA())))</f>
        <v>#N/A</v>
      </c>
      <c r="AE78">
        <f>IF(V78=1,NA(),IF(INDEX($B$35:$M$50,($Q$32-1-2)*$Q$33+X78+1,0*$Q$34+W78+1)="",NA(),IF(INDEX($B$35:$M$50,($Q$32-1-2)*$Q$33+X78+1,0*$Q$34+W78+1)&lt;0,2+(INDEX($B$35:$M$50,($Q$32-1-2)*$Q$33+X78+1,0*$Q$34+W78+1)-$Q$46)/$Q$48*$Q$42,NA())))</f>
        <v>2.1505390429275959</v>
      </c>
      <c r="AF78" t="e">
        <f>IF(V78=1,NA(),IF(INDEX($B$35:$M$50,($Q$32-1-3)*$Q$33+X78+1,0*$Q$34+W78+1)="",NA(),IF(INDEX($B$35:$M$50,($Q$32-1-3)*$Q$33+X78+1,0*$Q$34+W78+1)&gt;=0,3+(INDEX($B$35:$M$50,($Q$32-1-3)*$Q$33+X78+1,0*$Q$34+W78+1)-$Q$46)/$Q$48*$Q$42,NA())))</f>
        <v>#N/A</v>
      </c>
      <c r="AG78">
        <f>IF(V78=1,NA(),IF(INDEX($B$35:$M$50,($Q$32-1-3)*$Q$33+X78+1,0*$Q$34+W78+1)="",NA(),IF(INDEX($B$35:$M$50,($Q$32-1-3)*$Q$33+X78+1,0*$Q$34+W78+1)&lt;0,3+(INDEX($B$35:$M$50,($Q$32-1-3)*$Q$33+X78+1,0*$Q$34+W78+1)-$Q$46)/$Q$48*$Q$42,NA())))</f>
        <v>3.1047416437579178</v>
      </c>
      <c r="AI78">
        <f>IF(V78=1,0,IF(INDEX($B$35:$M$50,($Q$32-1-0)*$Q$33+X78+1,0*$Q$34+W78+1)="",0,IF(INDEX($B$35:$M$50,($Q$32-1-0)*$Q$33+X78+1,0*$Q$34+W78+1)&gt;=0,ABS(INDEX($B$35:$M$50,($Q$32-1-0)*$Q$33+X78+1,0*$Q$34+W78+1))/$Q$48*$Q$42,0)))</f>
        <v>0.20401798462059767</v>
      </c>
      <c r="AJ78">
        <f>IF(V78=1,0,IF(INDEX($B$35:$M$50,($Q$32-1-0)*$Q$33+X78+1,0*$Q$34+W78+1)="",0,IF(INDEX($B$35:$M$50,($Q$32-1-0)*$Q$33+X78+1,0*$Q$34+W78+1)&lt;0,ABS(INDEX($B$35:$M$50,($Q$32-1-0)*$Q$33+X78+1,0*$Q$34+W78+1))/$Q$48*$Q$42,0)))</f>
        <v>0</v>
      </c>
      <c r="AK78">
        <f>IF(V78=1,0,IF(INDEX($B$35:$M$50,($Q$32-1-1)*$Q$33+X78+1,0*$Q$34+W78+1)="",0,IF(INDEX($B$35:$M$50,($Q$32-1-1)*$Q$33+X78+1,0*$Q$34+W78+1)&gt;=0,ABS(INDEX($B$35:$M$50,($Q$32-1-1)*$Q$33+X78+1,0*$Q$34+W78+1))/$Q$48*$Q$42,0)))</f>
        <v>1.8609482962472938E-2</v>
      </c>
      <c r="AL78">
        <f>IF(V78=1,0,IF(INDEX($B$35:$M$50,($Q$32-1-1)*$Q$33+X78+1,0*$Q$34+W78+1)="",0,IF(INDEX($B$35:$M$50,($Q$32-1-1)*$Q$33+X78+1,0*$Q$34+W78+1)&lt;0,ABS(INDEX($B$35:$M$50,($Q$32-1-1)*$Q$33+X78+1,0*$Q$34+W78+1))/$Q$48*$Q$42,0)))</f>
        <v>0</v>
      </c>
      <c r="AM78">
        <f>IF(V78=1,0,IF(INDEX($B$35:$M$50,($Q$32-1-2)*$Q$33+X78+1,0*$Q$34+W78+1)="",0,IF(INDEX($B$35:$M$50,($Q$32-1-2)*$Q$33+X78+1,0*$Q$34+W78+1)&gt;=0,ABS(INDEX($B$35:$M$50,($Q$32-1-2)*$Q$33+X78+1,0*$Q$34+W78+1))/$Q$48*$Q$42,0)))</f>
        <v>0</v>
      </c>
      <c r="AN78">
        <f>IF(V78=1,0,IF(INDEX($B$35:$M$50,($Q$32-1-2)*$Q$33+X78+1,0*$Q$34+W78+1)="",0,IF(INDEX($B$35:$M$50,($Q$32-1-2)*$Q$33+X78+1,0*$Q$34+W78+1)&lt;0,ABS(INDEX($B$35:$M$50,($Q$32-1-2)*$Q$33+X78+1,0*$Q$34+W78+1))/$Q$48*$Q$42,0)))</f>
        <v>8.3746671358118432E-2</v>
      </c>
      <c r="AO78">
        <f>IF(V78=1,0,IF(INDEX($B$35:$M$50,($Q$32-1-3)*$Q$33+X78+1,0*$Q$34+W78+1)="",0,IF(INDEX($B$35:$M$50,($Q$32-1-3)*$Q$33+X78+1,0*$Q$34+W78+1)&gt;=0,ABS(INDEX($B$35:$M$50,($Q$32-1-3)*$Q$33+X78+1,0*$Q$34+W78+1))/$Q$48*$Q$42,0)))</f>
        <v>0</v>
      </c>
      <c r="AP78">
        <f>IF(V78=1,0,IF(INDEX($B$35:$M$50,($Q$32-1-3)*$Q$33+X78+1,0*$Q$34+W78+1)="",0,IF(INDEX($B$35:$M$50,($Q$32-1-3)*$Q$33+X78+1,0*$Q$34+W78+1)&lt;0,ABS(INDEX($B$35:$M$50,($Q$32-1-3)*$Q$33+X78+1,0*$Q$34+W78+1))/$Q$48*$Q$42,0)))</f>
        <v>0.12954407052779646</v>
      </c>
      <c r="AR78" t="str">
        <f>IF(V78=1,"",IF(INDEX($B$35:$M$50,($Q$32-1-0)*$Q$33+X78+1,0*$Q$34+W78+1)="","",IF(INDEX($B$35:$M$50,($Q$32-1-0)*$Q$33+X78+1,0*$Q$34+W78+1)&gt;=0,TEXT(INDEX($B$35:$M$50,($Q$32-1-0)*$Q$33+X78+1,0*$Q$34+W78+1),"+0;-0;0"),"")))</f>
        <v>+87</v>
      </c>
      <c r="AS78" t="str">
        <f>IF(V78=1,"",IF(INDEX($B$35:$M$50,($Q$32-1-0)*$Q$33+X78+1,0*$Q$34+W78+1)="","",IF(INDEX($B$35:$M$50,($Q$32-1-0)*$Q$33+X78+1,0*$Q$34+W78+1)&lt;0,TEXT(INDEX($B$35:$M$50,($Q$32-1-0)*$Q$33+X78+1,0*$Q$34+W78+1),"+0;-0;0"),"")))</f>
        <v/>
      </c>
      <c r="AT78" t="str">
        <f>IF(V78=1,"",IF(INDEX($B$35:$M$50,($Q$32-1-1)*$Q$33+X78+1,0*$Q$34+W78+1)="","",IF(INDEX($B$35:$M$50,($Q$32-1-1)*$Q$33+X78+1,0*$Q$34+W78+1)&gt;=0,TEXT(INDEX($B$35:$M$50,($Q$32-1-1)*$Q$33+X78+1,0*$Q$34+W78+1),"+0;-0;0"),"")))</f>
        <v>+8</v>
      </c>
      <c r="AU78" t="str">
        <f>IF(V78=1,"",IF(INDEX($B$35:$M$50,($Q$32-1-1)*$Q$33+X78+1,0*$Q$34+W78+1)="","",IF(INDEX($B$35:$M$50,($Q$32-1-1)*$Q$33+X78+1,0*$Q$34+W78+1)&lt;0,TEXT(INDEX($B$35:$M$50,($Q$32-1-1)*$Q$33+X78+1,0*$Q$34+W78+1),"+0;-0;0"),"")))</f>
        <v/>
      </c>
      <c r="AV78" t="str">
        <f>IF(V78=1,"",IF(INDEX($B$35:$M$50,($Q$32-1-2)*$Q$33+X78+1,0*$Q$34+W78+1)="","",IF(INDEX($B$35:$M$50,($Q$32-1-2)*$Q$33+X78+1,0*$Q$34+W78+1)&gt;=0,TEXT(INDEX($B$35:$M$50,($Q$32-1-2)*$Q$33+X78+1,0*$Q$34+W78+1),"+0;-0;0"),"")))</f>
        <v/>
      </c>
      <c r="AW78" t="str">
        <f>IF(V78=1,"",IF(INDEX($B$35:$M$50,($Q$32-1-2)*$Q$33+X78+1,0*$Q$34+W78+1)="","",IF(INDEX($B$35:$M$50,($Q$32-1-2)*$Q$33+X78+1,0*$Q$34+W78+1)&lt;0,TEXT(INDEX($B$35:$M$50,($Q$32-1-2)*$Q$33+X78+1,0*$Q$34+W78+1),"+0;-0;0"),"")))</f>
        <v>-36</v>
      </c>
      <c r="AX78" t="str">
        <f>IF(V78=1,"",IF(INDEX($B$35:$M$50,($Q$32-1-3)*$Q$33+X78+1,0*$Q$34+W78+1)="","",IF(INDEX($B$35:$M$50,($Q$32-1-3)*$Q$33+X78+1,0*$Q$34+W78+1)&gt;=0,TEXT(INDEX($B$35:$M$50,($Q$32-1-3)*$Q$33+X78+1,0*$Q$34+W78+1),"+0;-0;0"),"")))</f>
        <v/>
      </c>
      <c r="AY78" t="str">
        <f>IF(V78=1,"",IF(INDEX($B$35:$M$50,($Q$32-1-3)*$Q$33+X78+1,0*$Q$34+W78+1)="","",IF(INDEX($B$35:$M$50,($Q$32-1-3)*$Q$33+X78+1,0*$Q$34+W78+1)&lt;0,TEXT(INDEX($B$35:$M$50,($Q$32-1-3)*$Q$33+X78+1,0*$Q$34+W78+1),"+0;-0;0"),"")))</f>
        <v>-55</v>
      </c>
      <c r="BG78">
        <v>15.5</v>
      </c>
      <c r="BH78">
        <f>IF(OR($Q$46&gt;0,$Q$47&lt;0),NA(),2+$Q$49)</f>
        <v>2.2342857142857144</v>
      </c>
    </row>
    <row r="79" spans="16:64" x14ac:dyDescent="0.35">
      <c r="P79">
        <v>27</v>
      </c>
      <c r="Q79">
        <f>P79-$Q$41</f>
        <v>24</v>
      </c>
      <c r="R79">
        <f>IF(Q79&lt;=0,-1,INT((Q79-1)/($Q$39+$Q$40)))</f>
        <v>1</v>
      </c>
      <c r="S79">
        <f>IF(Q79&lt;=0,-1,MOD(Q79-1,($Q$39+$Q$40)))</f>
        <v>10</v>
      </c>
      <c r="T79">
        <f>IF(OR(S79&lt;0,S79&gt;=$Q$39),-1,INT(S79/$Q$38))</f>
        <v>10</v>
      </c>
      <c r="U79">
        <f>IF(OR(S79&lt;0,S79&gt;=$Q$39),-1,MOD(S79,$Q$38))</f>
        <v>0</v>
      </c>
      <c r="V79">
        <f>IF(OR(Q79&lt;=0,S79&lt;0,S79&gt;=$Q$39,R79&gt;=$Q$36),1,0)</f>
        <v>0</v>
      </c>
      <c r="W79">
        <f>IF(V79=1,-1,T79)</f>
        <v>10</v>
      </c>
      <c r="X79">
        <f>IF(V79=1,-1,R79)</f>
        <v>1</v>
      </c>
      <c r="Y79" t="str">
        <f>IF(V79=1,"",IF(AND(MOD(W79,3)=0,U79=INT(($Q$38-1)/2)),INDEX($B$34:$M$34,W79+1),""))</f>
        <v/>
      </c>
      <c r="Z79">
        <f>IF(V79=1,NA(),IF(INDEX($B$35:$M$50,($Q$32-1-0)*$Q$33+X79+1,0*$Q$34+W79+1)="",NA(),IF(INDEX($B$35:$M$50,($Q$32-1-0)*$Q$33+X79+1,0*$Q$34+W79+1)&gt;=0,0+(INDEX($B$35:$M$50,($Q$32-1-0)*$Q$33+X79+1,0*$Q$34+W79+1)-$Q$46)/$Q$48*$Q$42,NA())))</f>
        <v>0.47393094095895588</v>
      </c>
      <c r="AA79" t="e">
        <f>IF(V79=1,NA(),IF(INDEX($B$35:$M$50,($Q$32-1-0)*$Q$33+X79+1,0*$Q$34+W79+1)="",NA(),IF(INDEX($B$35:$M$50,($Q$32-1-0)*$Q$33+X79+1,0*$Q$34+W79+1)&lt;0,0+(INDEX($B$35:$M$50,($Q$32-1-0)*$Q$33+X79+1,0*$Q$34+W79+1)-$Q$46)/$Q$48*$Q$42,NA())))</f>
        <v>#N/A</v>
      </c>
      <c r="AB79">
        <f>IF(V79=1,NA(),IF(INDEX($B$35:$M$50,($Q$32-1-1)*$Q$33+X79+1,0*$Q$34+W79+1)="",NA(),IF(INDEX($B$35:$M$50,($Q$32-1-1)*$Q$33+X79+1,0*$Q$34+W79+1)&gt;=0,1+(INDEX($B$35:$M$50,($Q$32-1-1)*$Q$33+X79+1,0*$Q$34+W79+1)-$Q$46)/$Q$48*$Q$42,NA())))</f>
        <v>1.2519799993281857</v>
      </c>
      <c r="AC79" t="e">
        <f>IF(V79=1,NA(),IF(INDEX($B$35:$M$50,($Q$32-1-1)*$Q$33+X79+1,0*$Q$34+W79+1)="",NA(),IF(INDEX($B$35:$M$50,($Q$32-1-1)*$Q$33+X79+1,0*$Q$34+W79+1)&lt;0,1+(INDEX($B$35:$M$50,($Q$32-1-1)*$Q$33+X79+1,0*$Q$34+W79+1)-$Q$46)/$Q$48*$Q$42,NA())))</f>
        <v>#N/A</v>
      </c>
      <c r="AD79" t="e">
        <f>IF(V79=1,NA(),IF(INDEX($B$35:$M$50,($Q$32-1-2)*$Q$33+X79+1,0*$Q$34+W79+1)="",NA(),IF(INDEX($B$35:$M$50,($Q$32-1-2)*$Q$33+X79+1,0*$Q$34+W79+1)&gt;=0,2+(INDEX($B$35:$M$50,($Q$32-1-2)*$Q$33+X79+1,0*$Q$34+W79+1)-$Q$46)/$Q$48*$Q$42,NA())))</f>
        <v>#N/A</v>
      </c>
      <c r="AE79">
        <f>IF(V79=1,NA(),IF(INDEX($B$35:$M$50,($Q$32-1-2)*$Q$33+X79+1,0*$Q$34+W79+1)="",NA(),IF(INDEX($B$35:$M$50,($Q$32-1-2)*$Q$33+X79+1,0*$Q$34+W79+1)&lt;0,2+(INDEX($B$35:$M$50,($Q$32-1-2)*$Q$33+X79+1,0*$Q$34+W79+1)-$Q$46)/$Q$48*$Q$42,NA())))</f>
        <v>2.1433983342469776</v>
      </c>
      <c r="AF79" t="e">
        <f>IF(V79=1,NA(),IF(INDEX($B$35:$M$50,($Q$32-1-3)*$Q$33+X79+1,0*$Q$34+W79+1)="",NA(),IF(INDEX($B$35:$M$50,($Q$32-1-3)*$Q$33+X79+1,0*$Q$34+W79+1)&gt;=0,3+(INDEX($B$35:$M$50,($Q$32-1-3)*$Q$33+X79+1,0*$Q$34+W79+1)-$Q$46)/$Q$48*$Q$42,NA())))</f>
        <v>#N/A</v>
      </c>
      <c r="AG79">
        <f>IF(V79=1,NA(),IF(INDEX($B$35:$M$50,($Q$32-1-3)*$Q$33+X79+1,0*$Q$34+W79+1)="",NA(),IF(INDEX($B$35:$M$50,($Q$32-1-3)*$Q$33+X79+1,0*$Q$34+W79+1)&lt;0,3+(INDEX($B$35:$M$50,($Q$32-1-3)*$Q$33+X79+1,0*$Q$34+W79+1)-$Q$46)/$Q$48*$Q$42,NA())))</f>
        <v>3.0962548433824391</v>
      </c>
      <c r="AI79">
        <f>IF(V79=1,0,IF(INDEX($B$35:$M$50,($Q$32-1-0)*$Q$33+X79+1,0*$Q$34+W79+1)="",0,IF(INDEX($B$35:$M$50,($Q$32-1-0)*$Q$33+X79+1,0*$Q$34+W79+1)&gt;=0,ABS(INDEX($B$35:$M$50,($Q$32-1-0)*$Q$33+X79+1,0*$Q$34+W79+1))/$Q$48*$Q$42,0)))</f>
        <v>0.23964522667324165</v>
      </c>
      <c r="AJ79">
        <f>IF(V79=1,0,IF(INDEX($B$35:$M$50,($Q$32-1-0)*$Q$33+X79+1,0*$Q$34+W79+1)="",0,IF(INDEX($B$35:$M$50,($Q$32-1-0)*$Q$33+X79+1,0*$Q$34+W79+1)&lt;0,ABS(INDEX($B$35:$M$50,($Q$32-1-0)*$Q$33+X79+1,0*$Q$34+W79+1))/$Q$48*$Q$42,0)))</f>
        <v>0</v>
      </c>
      <c r="AK79">
        <f>IF(V79=1,0,IF(INDEX($B$35:$M$50,($Q$32-1-1)*$Q$33+X79+1,0*$Q$34+W79+1)="",0,IF(INDEX($B$35:$M$50,($Q$32-1-1)*$Q$33+X79+1,0*$Q$34+W79+1)&gt;=0,ABS(INDEX($B$35:$M$50,($Q$32-1-1)*$Q$33+X79+1,0*$Q$34+W79+1))/$Q$48*$Q$42,0)))</f>
        <v>1.7694285042471454E-2</v>
      </c>
      <c r="AL79">
        <f>IF(V79=1,0,IF(INDEX($B$35:$M$50,($Q$32-1-1)*$Q$33+X79+1,0*$Q$34+W79+1)="",0,IF(INDEX($B$35:$M$50,($Q$32-1-1)*$Q$33+X79+1,0*$Q$34+W79+1)&lt;0,ABS(INDEX($B$35:$M$50,($Q$32-1-1)*$Q$33+X79+1,0*$Q$34+W79+1))/$Q$48*$Q$42,0)))</f>
        <v>0</v>
      </c>
      <c r="AM79">
        <f>IF(V79=1,0,IF(INDEX($B$35:$M$50,($Q$32-1-2)*$Q$33+X79+1,0*$Q$34+W79+1)="",0,IF(INDEX($B$35:$M$50,($Q$32-1-2)*$Q$33+X79+1,0*$Q$34+W79+1)&gt;=0,ABS(INDEX($B$35:$M$50,($Q$32-1-2)*$Q$33+X79+1,0*$Q$34+W79+1))/$Q$48*$Q$42,0)))</f>
        <v>0</v>
      </c>
      <c r="AN79">
        <f>IF(V79=1,0,IF(INDEX($B$35:$M$50,($Q$32-1-2)*$Q$33+X79+1,0*$Q$34+W79+1)="",0,IF(INDEX($B$35:$M$50,($Q$32-1-2)*$Q$33+X79+1,0*$Q$34+W79+1)&lt;0,ABS(INDEX($B$35:$M$50,($Q$32-1-2)*$Q$33+X79+1,0*$Q$34+W79+1))/$Q$48*$Q$42,0)))</f>
        <v>9.0887380038736698E-2</v>
      </c>
      <c r="AO79">
        <f>IF(V79=1,0,IF(INDEX($B$35:$M$50,($Q$32-1-3)*$Q$33+X79+1,0*$Q$34+W79+1)="",0,IF(INDEX($B$35:$M$50,($Q$32-1-3)*$Q$33+X79+1,0*$Q$34+W79+1)&gt;=0,ABS(INDEX($B$35:$M$50,($Q$32-1-3)*$Q$33+X79+1,0*$Q$34+W79+1))/$Q$48*$Q$42,0)))</f>
        <v>0</v>
      </c>
      <c r="AP79">
        <f>IF(V79=1,0,IF(INDEX($B$35:$M$50,($Q$32-1-3)*$Q$33+X79+1,0*$Q$34+W79+1)="",0,IF(INDEX($B$35:$M$50,($Q$32-1-3)*$Q$33+X79+1,0*$Q$34+W79+1)&lt;0,ABS(INDEX($B$35:$M$50,($Q$32-1-3)*$Q$33+X79+1,0*$Q$34+W79+1))/$Q$48*$Q$42,0)))</f>
        <v>0.13803087090327501</v>
      </c>
      <c r="AR79" t="str">
        <f>IF(V79=1,"",IF(INDEX($B$35:$M$50,($Q$32-1-0)*$Q$33+X79+1,0*$Q$34+W79+1)="","",IF(INDEX($B$35:$M$50,($Q$32-1-0)*$Q$33+X79+1,0*$Q$34+W79+1)&gt;=0,TEXT(INDEX($B$35:$M$50,($Q$32-1-0)*$Q$33+X79+1,0*$Q$34+W79+1),"+0;-0;0"),"")))</f>
        <v>+102</v>
      </c>
      <c r="AS79" t="str">
        <f>IF(V79=1,"",IF(INDEX($B$35:$M$50,($Q$32-1-0)*$Q$33+X79+1,0*$Q$34+W79+1)="","",IF(INDEX($B$35:$M$50,($Q$32-1-0)*$Q$33+X79+1,0*$Q$34+W79+1)&lt;0,TEXT(INDEX($B$35:$M$50,($Q$32-1-0)*$Q$33+X79+1,0*$Q$34+W79+1),"+0;-0;0"),"")))</f>
        <v/>
      </c>
      <c r="AT79" t="str">
        <f>IF(V79=1,"",IF(INDEX($B$35:$M$50,($Q$32-1-1)*$Q$33+X79+1,0*$Q$34+W79+1)="","",IF(INDEX($B$35:$M$50,($Q$32-1-1)*$Q$33+X79+1,0*$Q$34+W79+1)&gt;=0,TEXT(INDEX($B$35:$M$50,($Q$32-1-1)*$Q$33+X79+1,0*$Q$34+W79+1),"+0;-0;0"),"")))</f>
        <v>+8</v>
      </c>
      <c r="AU79" t="str">
        <f>IF(V79=1,"",IF(INDEX($B$35:$M$50,($Q$32-1-1)*$Q$33+X79+1,0*$Q$34+W79+1)="","",IF(INDEX($B$35:$M$50,($Q$32-1-1)*$Q$33+X79+1,0*$Q$34+W79+1)&lt;0,TEXT(INDEX($B$35:$M$50,($Q$32-1-1)*$Q$33+X79+1,0*$Q$34+W79+1),"+0;-0;0"),"")))</f>
        <v/>
      </c>
      <c r="AV79" t="str">
        <f>IF(V79=1,"",IF(INDEX($B$35:$M$50,($Q$32-1-2)*$Q$33+X79+1,0*$Q$34+W79+1)="","",IF(INDEX($B$35:$M$50,($Q$32-1-2)*$Q$33+X79+1,0*$Q$34+W79+1)&gt;=0,TEXT(INDEX($B$35:$M$50,($Q$32-1-2)*$Q$33+X79+1,0*$Q$34+W79+1),"+0;-0;0"),"")))</f>
        <v/>
      </c>
      <c r="AW79" t="str">
        <f>IF(V79=1,"",IF(INDEX($B$35:$M$50,($Q$32-1-2)*$Q$33+X79+1,0*$Q$34+W79+1)="","",IF(INDEX($B$35:$M$50,($Q$32-1-2)*$Q$33+X79+1,0*$Q$34+W79+1)&lt;0,TEXT(INDEX($B$35:$M$50,($Q$32-1-2)*$Q$33+X79+1,0*$Q$34+W79+1),"+0;-0;0"),"")))</f>
        <v>-39</v>
      </c>
      <c r="AX79" t="str">
        <f>IF(V79=1,"",IF(INDEX($B$35:$M$50,($Q$32-1-3)*$Q$33+X79+1,0*$Q$34+W79+1)="","",IF(INDEX($B$35:$M$50,($Q$32-1-3)*$Q$33+X79+1,0*$Q$34+W79+1)&gt;=0,TEXT(INDEX($B$35:$M$50,($Q$32-1-3)*$Q$33+X79+1,0*$Q$34+W79+1),"+0;-0;0"),"")))</f>
        <v/>
      </c>
      <c r="AY79" t="str">
        <f>IF(V79=1,"",IF(INDEX($B$35:$M$50,($Q$32-1-3)*$Q$33+X79+1,0*$Q$34+W79+1)="","",IF(INDEX($B$35:$M$50,($Q$32-1-3)*$Q$33+X79+1,0*$Q$34+W79+1)&lt;0,TEXT(INDEX($B$35:$M$50,($Q$32-1-3)*$Q$33+X79+1,0*$Q$34+W79+1),"+0;-0;0"),"")))</f>
        <v>-59</v>
      </c>
      <c r="BG79">
        <v>15.5</v>
      </c>
      <c r="BH79" t="e">
        <f>NA()</f>
        <v>#N/A</v>
      </c>
    </row>
    <row r="80" spans="16:64" x14ac:dyDescent="0.35">
      <c r="P80">
        <v>28</v>
      </c>
      <c r="Q80">
        <f>P80-$Q$41</f>
        <v>25</v>
      </c>
      <c r="R80">
        <f>IF(Q80&lt;=0,-1,INT((Q80-1)/($Q$39+$Q$40)))</f>
        <v>1</v>
      </c>
      <c r="S80">
        <f>IF(Q80&lt;=0,-1,MOD(Q80-1,($Q$39+$Q$40)))</f>
        <v>11</v>
      </c>
      <c r="T80">
        <f>IF(OR(S80&lt;0,S80&gt;=$Q$39),-1,INT(S80/$Q$38))</f>
        <v>11</v>
      </c>
      <c r="U80">
        <f>IF(OR(S80&lt;0,S80&gt;=$Q$39),-1,MOD(S80,$Q$38))</f>
        <v>0</v>
      </c>
      <c r="V80">
        <f>IF(OR(Q80&lt;=0,S80&lt;0,S80&gt;=$Q$39,R80&gt;=$Q$36),1,0)</f>
        <v>0</v>
      </c>
      <c r="W80">
        <f>IF(V80=1,-1,T80)</f>
        <v>11</v>
      </c>
      <c r="X80">
        <f>IF(V80=1,-1,R80)</f>
        <v>1</v>
      </c>
      <c r="Y80" t="str">
        <f>IF(V80=1,"",IF(AND(MOD(W80,3)=0,U80=INT(($Q$38-1)/2)),INDEX($B$34:$M$34,W80+1),""))</f>
        <v/>
      </c>
      <c r="Z80">
        <f>IF(V80=1,NA(),IF(INDEX($B$35:$M$50,($Q$32-1-0)*$Q$33+X80+1,0*$Q$34+W80+1)="",NA(),IF(INDEX($B$35:$M$50,($Q$32-1-0)*$Q$33+X80+1,0*$Q$34+W80+1)&gt;=0,0+(INDEX($B$35:$M$50,($Q$32-1-0)*$Q$33+X80+1,0*$Q$34+W80+1)-$Q$46)/$Q$48*$Q$42,NA())))</f>
        <v>0.49647762212252289</v>
      </c>
      <c r="AA80" t="e">
        <f>IF(V80=1,NA(),IF(INDEX($B$35:$M$50,($Q$32-1-0)*$Q$33+X80+1,0*$Q$34+W80+1)="",NA(),IF(INDEX($B$35:$M$50,($Q$32-1-0)*$Q$33+X80+1,0*$Q$34+W80+1)&lt;0,0+(INDEX($B$35:$M$50,($Q$32-1-0)*$Q$33+X80+1,0*$Q$34+W80+1)-$Q$46)/$Q$48*$Q$42,NA())))</f>
        <v>#N/A</v>
      </c>
      <c r="AB80" t="e">
        <f>IF(V80=1,NA(),IF(INDEX($B$35:$M$50,($Q$32-1-1)*$Q$33+X80+1,0*$Q$34+W80+1)="",NA(),IF(INDEX($B$35:$M$50,($Q$32-1-1)*$Q$33+X80+1,0*$Q$34+W80+1)&gt;=0,1+(INDEX($B$35:$M$50,($Q$32-1-1)*$Q$33+X80+1,0*$Q$34+W80+1)-$Q$46)/$Q$48*$Q$42,NA())))</f>
        <v>#N/A</v>
      </c>
      <c r="AC80">
        <f>IF(V80=1,NA(),IF(INDEX($B$35:$M$50,($Q$32-1-1)*$Q$33+X80+1,0*$Q$34+W80+1)="",NA(),IF(INDEX($B$35:$M$50,($Q$32-1-1)*$Q$33+X80+1,0*$Q$34+W80+1)&lt;0,1+(INDEX($B$35:$M$50,($Q$32-1-1)*$Q$33+X80+1,0*$Q$34+W80+1)-$Q$46)/$Q$48*$Q$42,NA())))</f>
        <v>1.2321807068849646</v>
      </c>
      <c r="AD80" t="e">
        <f>IF(V80=1,NA(),IF(INDEX($B$35:$M$50,($Q$32-1-2)*$Q$33+X80+1,0*$Q$34+W80+1)="",NA(),IF(INDEX($B$35:$M$50,($Q$32-1-2)*$Q$33+X80+1,0*$Q$34+W80+1)&gt;=0,2+(INDEX($B$35:$M$50,($Q$32-1-2)*$Q$33+X80+1,0*$Q$34+W80+1)-$Q$46)/$Q$48*$Q$42,NA())))</f>
        <v>#N/A</v>
      </c>
      <c r="AE80">
        <f>IF(V80=1,NA(),IF(INDEX($B$35:$M$50,($Q$32-1-2)*$Q$33+X80+1,0*$Q$34+W80+1)="",NA(),IF(INDEX($B$35:$M$50,($Q$32-1-2)*$Q$33+X80+1,0*$Q$34+W80+1)&lt;0,2+(INDEX($B$35:$M$50,($Q$32-1-2)*$Q$33+X80+1,0*$Q$34+W80+1)-$Q$46)/$Q$48*$Q$42,NA())))</f>
        <v>2.1339424034197081</v>
      </c>
      <c r="AF80" t="e">
        <f>IF(V80=1,NA(),IF(INDEX($B$35:$M$50,($Q$32-1-3)*$Q$33+X80+1,0*$Q$34+W80+1)="",NA(),IF(INDEX($B$35:$M$50,($Q$32-1-3)*$Q$33+X80+1,0*$Q$34+W80+1)&gt;=0,3+(INDEX($B$35:$M$50,($Q$32-1-3)*$Q$33+X80+1,0*$Q$34+W80+1)-$Q$46)/$Q$48*$Q$42,NA())))</f>
        <v>#N/A</v>
      </c>
      <c r="AG80">
        <f>IF(V80=1,NA(),IF(INDEX($B$35:$M$50,($Q$32-1-3)*$Q$33+X80+1,0*$Q$34+W80+1)="",NA(),IF(INDEX($B$35:$M$50,($Q$32-1-3)*$Q$33+X80+1,0*$Q$34+W80+1)&lt;0,3+(INDEX($B$35:$M$50,($Q$32-1-3)*$Q$33+X80+1,0*$Q$34+W80+1)-$Q$46)/$Q$48*$Q$42,NA())))</f>
        <v>3.09469203473581</v>
      </c>
      <c r="AI80">
        <f>IF(V80=1,0,IF(INDEX($B$35:$M$50,($Q$32-1-0)*$Q$33+X80+1,0*$Q$34+W80+1)="",0,IF(INDEX($B$35:$M$50,($Q$32-1-0)*$Q$33+X80+1,0*$Q$34+W80+1)&gt;=0,ABS(INDEX($B$35:$M$50,($Q$32-1-0)*$Q$33+X80+1,0*$Q$34+W80+1))/$Q$48*$Q$42,0)))</f>
        <v>0.26219190783680862</v>
      </c>
      <c r="AJ80">
        <f>IF(V80=1,0,IF(INDEX($B$35:$M$50,($Q$32-1-0)*$Q$33+X80+1,0*$Q$34+W80+1)="",0,IF(INDEX($B$35:$M$50,($Q$32-1-0)*$Q$33+X80+1,0*$Q$34+W80+1)&lt;0,ABS(INDEX($B$35:$M$50,($Q$32-1-0)*$Q$33+X80+1,0*$Q$34+W80+1))/$Q$48*$Q$42,0)))</f>
        <v>0</v>
      </c>
      <c r="AK80">
        <f>IF(V80=1,0,IF(INDEX($B$35:$M$50,($Q$32-1-1)*$Q$33+X80+1,0*$Q$34+W80+1)="",0,IF(INDEX($B$35:$M$50,($Q$32-1-1)*$Q$33+X80+1,0*$Q$34+W80+1)&gt;=0,ABS(INDEX($B$35:$M$50,($Q$32-1-1)*$Q$33+X80+1,0*$Q$34+W80+1))/$Q$48*$Q$42,0)))</f>
        <v>0</v>
      </c>
      <c r="AL80">
        <f>IF(V80=1,0,IF(INDEX($B$35:$M$50,($Q$32-1-1)*$Q$33+X80+1,0*$Q$34+W80+1)="",0,IF(INDEX($B$35:$M$50,($Q$32-1-1)*$Q$33+X80+1,0*$Q$34+W80+1)&lt;0,ABS(INDEX($B$35:$M$50,($Q$32-1-1)*$Q$33+X80+1,0*$Q$34+W80+1))/$Q$48*$Q$42,0)))</f>
        <v>2.1050074007497315E-3</v>
      </c>
      <c r="AM80">
        <f>IF(V80=1,0,IF(INDEX($B$35:$M$50,($Q$32-1-2)*$Q$33+X80+1,0*$Q$34+W80+1)="",0,IF(INDEX($B$35:$M$50,($Q$32-1-2)*$Q$33+X80+1,0*$Q$34+W80+1)&gt;=0,ABS(INDEX($B$35:$M$50,($Q$32-1-2)*$Q$33+X80+1,0*$Q$34+W80+1))/$Q$48*$Q$42,0)))</f>
        <v>0</v>
      </c>
      <c r="AN80">
        <f>IF(V80=1,0,IF(INDEX($B$35:$M$50,($Q$32-1-2)*$Q$33+X80+1,0*$Q$34+W80+1)="",0,IF(INDEX($B$35:$M$50,($Q$32-1-2)*$Q$33+X80+1,0*$Q$34+W80+1)&lt;0,ABS(INDEX($B$35:$M$50,($Q$32-1-2)*$Q$33+X80+1,0*$Q$34+W80+1))/$Q$48*$Q$42,0)))</f>
        <v>0.10034331086600613</v>
      </c>
      <c r="AO80">
        <f>IF(V80=1,0,IF(INDEX($B$35:$M$50,($Q$32-1-3)*$Q$33+X80+1,0*$Q$34+W80+1)="",0,IF(INDEX($B$35:$M$50,($Q$32-1-3)*$Q$33+X80+1,0*$Q$34+W80+1)&gt;=0,ABS(INDEX($B$35:$M$50,($Q$32-1-3)*$Q$33+X80+1,0*$Q$34+W80+1))/$Q$48*$Q$42,0)))</f>
        <v>0</v>
      </c>
      <c r="AP80">
        <f>IF(V80=1,0,IF(INDEX($B$35:$M$50,($Q$32-1-3)*$Q$33+X80+1,0*$Q$34+W80+1)="",0,IF(INDEX($B$35:$M$50,($Q$32-1-3)*$Q$33+X80+1,0*$Q$34+W80+1)&lt;0,ABS(INDEX($B$35:$M$50,($Q$32-1-3)*$Q$33+X80+1,0*$Q$34+W80+1))/$Q$48*$Q$42,0)))</f>
        <v>0.13959367954990445</v>
      </c>
      <c r="AR80" t="str">
        <f>IF(V80=1,"",IF(INDEX($B$35:$M$50,($Q$32-1-0)*$Q$33+X80+1,0*$Q$34+W80+1)="","",IF(INDEX($B$35:$M$50,($Q$32-1-0)*$Q$33+X80+1,0*$Q$34+W80+1)&gt;=0,TEXT(INDEX($B$35:$M$50,($Q$32-1-0)*$Q$33+X80+1,0*$Q$34+W80+1),"+0;-0;0"),"")))</f>
        <v>+112</v>
      </c>
      <c r="AS80" t="str">
        <f>IF(V80=1,"",IF(INDEX($B$35:$M$50,($Q$32-1-0)*$Q$33+X80+1,0*$Q$34+W80+1)="","",IF(INDEX($B$35:$M$50,($Q$32-1-0)*$Q$33+X80+1,0*$Q$34+W80+1)&lt;0,TEXT(INDEX($B$35:$M$50,($Q$32-1-0)*$Q$33+X80+1,0*$Q$34+W80+1),"+0;-0;0"),"")))</f>
        <v/>
      </c>
      <c r="AT80" t="str">
        <f>IF(V80=1,"",IF(INDEX($B$35:$M$50,($Q$32-1-1)*$Q$33+X80+1,0*$Q$34+W80+1)="","",IF(INDEX($B$35:$M$50,($Q$32-1-1)*$Q$33+X80+1,0*$Q$34+W80+1)&gt;=0,TEXT(INDEX($B$35:$M$50,($Q$32-1-1)*$Q$33+X80+1,0*$Q$34+W80+1),"+0;-0;0"),"")))</f>
        <v/>
      </c>
      <c r="AU80" t="str">
        <f>IF(V80=1,"",IF(INDEX($B$35:$M$50,($Q$32-1-1)*$Q$33+X80+1,0*$Q$34+W80+1)="","",IF(INDEX($B$35:$M$50,($Q$32-1-1)*$Q$33+X80+1,0*$Q$34+W80+1)&lt;0,TEXT(INDEX($B$35:$M$50,($Q$32-1-1)*$Q$33+X80+1,0*$Q$34+W80+1),"+0;-0;0"),"")))</f>
        <v>-1</v>
      </c>
      <c r="AV80" t="str">
        <f>IF(V80=1,"",IF(INDEX($B$35:$M$50,($Q$32-1-2)*$Q$33+X80+1,0*$Q$34+W80+1)="","",IF(INDEX($B$35:$M$50,($Q$32-1-2)*$Q$33+X80+1,0*$Q$34+W80+1)&gt;=0,TEXT(INDEX($B$35:$M$50,($Q$32-1-2)*$Q$33+X80+1,0*$Q$34+W80+1),"+0;-0;0"),"")))</f>
        <v/>
      </c>
      <c r="AW80" t="str">
        <f>IF(V80=1,"",IF(INDEX($B$35:$M$50,($Q$32-1-2)*$Q$33+X80+1,0*$Q$34+W80+1)="","",IF(INDEX($B$35:$M$50,($Q$32-1-2)*$Q$33+X80+1,0*$Q$34+W80+1)&lt;0,TEXT(INDEX($B$35:$M$50,($Q$32-1-2)*$Q$33+X80+1,0*$Q$34+W80+1),"+0;-0;0"),"")))</f>
        <v>-43</v>
      </c>
      <c r="AX80" t="str">
        <f>IF(V80=1,"",IF(INDEX($B$35:$M$50,($Q$32-1-3)*$Q$33+X80+1,0*$Q$34+W80+1)="","",IF(INDEX($B$35:$M$50,($Q$32-1-3)*$Q$33+X80+1,0*$Q$34+W80+1)&gt;=0,TEXT(INDEX($B$35:$M$50,($Q$32-1-3)*$Q$33+X80+1,0*$Q$34+W80+1),"+0;-0;0"),"")))</f>
        <v/>
      </c>
      <c r="AY80" t="str">
        <f>IF(V80=1,"",IF(INDEX($B$35:$M$50,($Q$32-1-3)*$Q$33+X80+1,0*$Q$34+W80+1)="","",IF(INDEX($B$35:$M$50,($Q$32-1-3)*$Q$33+X80+1,0*$Q$34+W80+1)&lt;0,TEXT(INDEX($B$35:$M$50,($Q$32-1-3)*$Q$33+X80+1,0*$Q$34+W80+1),"+0;-0;0"),"")))</f>
        <v>-60</v>
      </c>
      <c r="BG80">
        <v>16.5</v>
      </c>
      <c r="BH80">
        <f>IF(OR($Q$46&gt;0,$Q$47&lt;0),NA(),2+$Q$49)</f>
        <v>2.2342857142857144</v>
      </c>
    </row>
    <row r="81" spans="16:60" x14ac:dyDescent="0.35">
      <c r="P81">
        <v>29</v>
      </c>
      <c r="Q81">
        <f>P81-$Q$41</f>
        <v>26</v>
      </c>
      <c r="R81">
        <f>IF(Q81&lt;=0,-1,INT((Q81-1)/($Q$39+$Q$40)))</f>
        <v>1</v>
      </c>
      <c r="S81">
        <f>IF(Q81&lt;=0,-1,MOD(Q81-1,($Q$39+$Q$40)))</f>
        <v>12</v>
      </c>
      <c r="T81">
        <f>IF(OR(S81&lt;0,S81&gt;=$Q$39),-1,INT(S81/$Q$38))</f>
        <v>-1</v>
      </c>
      <c r="U81">
        <f>IF(OR(S81&lt;0,S81&gt;=$Q$39),-1,MOD(S81,$Q$38))</f>
        <v>-1</v>
      </c>
      <c r="V81">
        <f>IF(OR(Q81&lt;=0,S81&lt;0,S81&gt;=$Q$39,R81&gt;=$Q$36),1,0)</f>
        <v>1</v>
      </c>
      <c r="W81">
        <f>IF(V81=1,-1,T81)</f>
        <v>-1</v>
      </c>
      <c r="X81">
        <f>IF(V81=1,-1,R81)</f>
        <v>-1</v>
      </c>
      <c r="Y81" t="str">
        <f>IF(V81=1,"",IF(AND(MOD(W81,3)=0,U81=INT(($Q$38-1)/2)),INDEX($B$34:$M$34,W81+1),""))</f>
        <v/>
      </c>
      <c r="Z81" t="e">
        <f>IF(V81=1,NA(),IF(INDEX($B$35:$M$50,($Q$32-1-0)*$Q$33+X81+1,0*$Q$34+W81+1)="",NA(),IF(INDEX($B$35:$M$50,($Q$32-1-0)*$Q$33+X81+1,0*$Q$34+W81+1)&gt;=0,0+(INDEX($B$35:$M$50,($Q$32-1-0)*$Q$33+X81+1,0*$Q$34+W81+1)-$Q$46)/$Q$48*$Q$42,NA())))</f>
        <v>#N/A</v>
      </c>
      <c r="AA81" t="e">
        <f>IF(V81=1,NA(),IF(INDEX($B$35:$M$50,($Q$32-1-0)*$Q$33+X81+1,0*$Q$34+W81+1)="",NA(),IF(INDEX($B$35:$M$50,($Q$32-1-0)*$Q$33+X81+1,0*$Q$34+W81+1)&lt;0,0+(INDEX($B$35:$M$50,($Q$32-1-0)*$Q$33+X81+1,0*$Q$34+W81+1)-$Q$46)/$Q$48*$Q$42,NA())))</f>
        <v>#N/A</v>
      </c>
      <c r="AB81" t="e">
        <f>IF(V81=1,NA(),IF(INDEX($B$35:$M$50,($Q$32-1-1)*$Q$33+X81+1,0*$Q$34+W81+1)="",NA(),IF(INDEX($B$35:$M$50,($Q$32-1-1)*$Q$33+X81+1,0*$Q$34+W81+1)&gt;=0,1+(INDEX($B$35:$M$50,($Q$32-1-1)*$Q$33+X81+1,0*$Q$34+W81+1)-$Q$46)/$Q$48*$Q$42,NA())))</f>
        <v>#N/A</v>
      </c>
      <c r="AC81" t="e">
        <f>IF(V81=1,NA(),IF(INDEX($B$35:$M$50,($Q$32-1-1)*$Q$33+X81+1,0*$Q$34+W81+1)="",NA(),IF(INDEX($B$35:$M$50,($Q$32-1-1)*$Q$33+X81+1,0*$Q$34+W81+1)&lt;0,1+(INDEX($B$35:$M$50,($Q$32-1-1)*$Q$33+X81+1,0*$Q$34+W81+1)-$Q$46)/$Q$48*$Q$42,NA())))</f>
        <v>#N/A</v>
      </c>
      <c r="AD81" t="e">
        <f>IF(V81=1,NA(),IF(INDEX($B$35:$M$50,($Q$32-1-2)*$Q$33+X81+1,0*$Q$34+W81+1)="",NA(),IF(INDEX($B$35:$M$50,($Q$32-1-2)*$Q$33+X81+1,0*$Q$34+W81+1)&gt;=0,2+(INDEX($B$35:$M$50,($Q$32-1-2)*$Q$33+X81+1,0*$Q$34+W81+1)-$Q$46)/$Q$48*$Q$42,NA())))</f>
        <v>#N/A</v>
      </c>
      <c r="AE81" t="e">
        <f>IF(V81=1,NA(),IF(INDEX($B$35:$M$50,($Q$32-1-2)*$Q$33+X81+1,0*$Q$34+W81+1)="",NA(),IF(INDEX($B$35:$M$50,($Q$32-1-2)*$Q$33+X81+1,0*$Q$34+W81+1)&lt;0,2+(INDEX($B$35:$M$50,($Q$32-1-2)*$Q$33+X81+1,0*$Q$34+W81+1)-$Q$46)/$Q$48*$Q$42,NA())))</f>
        <v>#N/A</v>
      </c>
      <c r="AF81" t="e">
        <f>IF(V81=1,NA(),IF(INDEX($B$35:$M$50,($Q$32-1-3)*$Q$33+X81+1,0*$Q$34+W81+1)="",NA(),IF(INDEX($B$35:$M$50,($Q$32-1-3)*$Q$33+X81+1,0*$Q$34+W81+1)&gt;=0,3+(INDEX($B$35:$M$50,($Q$32-1-3)*$Q$33+X81+1,0*$Q$34+W81+1)-$Q$46)/$Q$48*$Q$42,NA())))</f>
        <v>#N/A</v>
      </c>
      <c r="AG81" t="e">
        <f>IF(V81=1,NA(),IF(INDEX($B$35:$M$50,($Q$32-1-3)*$Q$33+X81+1,0*$Q$34+W81+1)="",NA(),IF(INDEX($B$35:$M$50,($Q$32-1-3)*$Q$33+X81+1,0*$Q$34+W81+1)&lt;0,3+(INDEX($B$35:$M$50,($Q$32-1-3)*$Q$33+X81+1,0*$Q$34+W81+1)-$Q$46)/$Q$48*$Q$42,NA())))</f>
        <v>#N/A</v>
      </c>
      <c r="AI81">
        <f>IF(V81=1,0,IF(INDEX($B$35:$M$50,($Q$32-1-0)*$Q$33+X81+1,0*$Q$34+W81+1)="",0,IF(INDEX($B$35:$M$50,($Q$32-1-0)*$Q$33+X81+1,0*$Q$34+W81+1)&gt;=0,ABS(INDEX($B$35:$M$50,($Q$32-1-0)*$Q$33+X81+1,0*$Q$34+W81+1))/$Q$48*$Q$42,0)))</f>
        <v>0</v>
      </c>
      <c r="AJ81">
        <f>IF(V81=1,0,IF(INDEX($B$35:$M$50,($Q$32-1-0)*$Q$33+X81+1,0*$Q$34+W81+1)="",0,IF(INDEX($B$35:$M$50,($Q$32-1-0)*$Q$33+X81+1,0*$Q$34+W81+1)&lt;0,ABS(INDEX($B$35:$M$50,($Q$32-1-0)*$Q$33+X81+1,0*$Q$34+W81+1))/$Q$48*$Q$42,0)))</f>
        <v>0</v>
      </c>
      <c r="AK81">
        <f>IF(V81=1,0,IF(INDEX($B$35:$M$50,($Q$32-1-1)*$Q$33+X81+1,0*$Q$34+W81+1)="",0,IF(INDEX($B$35:$M$50,($Q$32-1-1)*$Q$33+X81+1,0*$Q$34+W81+1)&gt;=0,ABS(INDEX($B$35:$M$50,($Q$32-1-1)*$Q$33+X81+1,0*$Q$34+W81+1))/$Q$48*$Q$42,0)))</f>
        <v>0</v>
      </c>
      <c r="AL81">
        <f>IF(V81=1,0,IF(INDEX($B$35:$M$50,($Q$32-1-1)*$Q$33+X81+1,0*$Q$34+W81+1)="",0,IF(INDEX($B$35:$M$50,($Q$32-1-1)*$Q$33+X81+1,0*$Q$34+W81+1)&lt;0,ABS(INDEX($B$35:$M$50,($Q$32-1-1)*$Q$33+X81+1,0*$Q$34+W81+1))/$Q$48*$Q$42,0)))</f>
        <v>0</v>
      </c>
      <c r="AM81">
        <f>IF(V81=1,0,IF(INDEX($B$35:$M$50,($Q$32-1-2)*$Q$33+X81+1,0*$Q$34+W81+1)="",0,IF(INDEX($B$35:$M$50,($Q$32-1-2)*$Q$33+X81+1,0*$Q$34+W81+1)&gt;=0,ABS(INDEX($B$35:$M$50,($Q$32-1-2)*$Q$33+X81+1,0*$Q$34+W81+1))/$Q$48*$Q$42,0)))</f>
        <v>0</v>
      </c>
      <c r="AN81">
        <f>IF(V81=1,0,IF(INDEX($B$35:$M$50,($Q$32-1-2)*$Q$33+X81+1,0*$Q$34+W81+1)="",0,IF(INDEX($B$35:$M$50,($Q$32-1-2)*$Q$33+X81+1,0*$Q$34+W81+1)&lt;0,ABS(INDEX($B$35:$M$50,($Q$32-1-2)*$Q$33+X81+1,0*$Q$34+W81+1))/$Q$48*$Q$42,0)))</f>
        <v>0</v>
      </c>
      <c r="AO81">
        <f>IF(V81=1,0,IF(INDEX($B$35:$M$50,($Q$32-1-3)*$Q$33+X81+1,0*$Q$34+W81+1)="",0,IF(INDEX($B$35:$M$50,($Q$32-1-3)*$Q$33+X81+1,0*$Q$34+W81+1)&gt;=0,ABS(INDEX($B$35:$M$50,($Q$32-1-3)*$Q$33+X81+1,0*$Q$34+W81+1))/$Q$48*$Q$42,0)))</f>
        <v>0</v>
      </c>
      <c r="AP81">
        <f>IF(V81=1,0,IF(INDEX($B$35:$M$50,($Q$32-1-3)*$Q$33+X81+1,0*$Q$34+W81+1)="",0,IF(INDEX($B$35:$M$50,($Q$32-1-3)*$Q$33+X81+1,0*$Q$34+W81+1)&lt;0,ABS(INDEX($B$35:$M$50,($Q$32-1-3)*$Q$33+X81+1,0*$Q$34+W81+1))/$Q$48*$Q$42,0)))</f>
        <v>0</v>
      </c>
      <c r="AR81" t="str">
        <f>IF(V81=1,"",IF(INDEX($B$35:$M$50,($Q$32-1-0)*$Q$33+X81+1,0*$Q$34+W81+1)="","",IF(INDEX($B$35:$M$50,($Q$32-1-0)*$Q$33+X81+1,0*$Q$34+W81+1)&gt;=0,TEXT(INDEX($B$35:$M$50,($Q$32-1-0)*$Q$33+X81+1,0*$Q$34+W81+1),"+0;-0;0"),"")))</f>
        <v/>
      </c>
      <c r="AS81" t="str">
        <f>IF(V81=1,"",IF(INDEX($B$35:$M$50,($Q$32-1-0)*$Q$33+X81+1,0*$Q$34+W81+1)="","",IF(INDEX($B$35:$M$50,($Q$32-1-0)*$Q$33+X81+1,0*$Q$34+W81+1)&lt;0,TEXT(INDEX($B$35:$M$50,($Q$32-1-0)*$Q$33+X81+1,0*$Q$34+W81+1),"+0;-0;0"),"")))</f>
        <v/>
      </c>
      <c r="AT81" t="str">
        <f>IF(V81=1,"",IF(INDEX($B$35:$M$50,($Q$32-1-1)*$Q$33+X81+1,0*$Q$34+W81+1)="","",IF(INDEX($B$35:$M$50,($Q$32-1-1)*$Q$33+X81+1,0*$Q$34+W81+1)&gt;=0,TEXT(INDEX($B$35:$M$50,($Q$32-1-1)*$Q$33+X81+1,0*$Q$34+W81+1),"+0;-0;0"),"")))</f>
        <v/>
      </c>
      <c r="AU81" t="str">
        <f>IF(V81=1,"",IF(INDEX($B$35:$M$50,($Q$32-1-1)*$Q$33+X81+1,0*$Q$34+W81+1)="","",IF(INDEX($B$35:$M$50,($Q$32-1-1)*$Q$33+X81+1,0*$Q$34+W81+1)&lt;0,TEXT(INDEX($B$35:$M$50,($Q$32-1-1)*$Q$33+X81+1,0*$Q$34+W81+1),"+0;-0;0"),"")))</f>
        <v/>
      </c>
      <c r="AV81" t="str">
        <f>IF(V81=1,"",IF(INDEX($B$35:$M$50,($Q$32-1-2)*$Q$33+X81+1,0*$Q$34+W81+1)="","",IF(INDEX($B$35:$M$50,($Q$32-1-2)*$Q$33+X81+1,0*$Q$34+W81+1)&gt;=0,TEXT(INDEX($B$35:$M$50,($Q$32-1-2)*$Q$33+X81+1,0*$Q$34+W81+1),"+0;-0;0"),"")))</f>
        <v/>
      </c>
      <c r="AW81" t="str">
        <f>IF(V81=1,"",IF(INDEX($B$35:$M$50,($Q$32-1-2)*$Q$33+X81+1,0*$Q$34+W81+1)="","",IF(INDEX($B$35:$M$50,($Q$32-1-2)*$Q$33+X81+1,0*$Q$34+W81+1)&lt;0,TEXT(INDEX($B$35:$M$50,($Q$32-1-2)*$Q$33+X81+1,0*$Q$34+W81+1),"+0;-0;0"),"")))</f>
        <v/>
      </c>
      <c r="AX81" t="str">
        <f>IF(V81=1,"",IF(INDEX($B$35:$M$50,($Q$32-1-3)*$Q$33+X81+1,0*$Q$34+W81+1)="","",IF(INDEX($B$35:$M$50,($Q$32-1-3)*$Q$33+X81+1,0*$Q$34+W81+1)&gt;=0,TEXT(INDEX($B$35:$M$50,($Q$32-1-3)*$Q$33+X81+1,0*$Q$34+W81+1),"+0;-0;0"),"")))</f>
        <v/>
      </c>
      <c r="AY81" t="str">
        <f>IF(V81=1,"",IF(INDEX($B$35:$M$50,($Q$32-1-3)*$Q$33+X81+1,0*$Q$34+W81+1)="","",IF(INDEX($B$35:$M$50,($Q$32-1-3)*$Q$33+X81+1,0*$Q$34+W81+1)&lt;0,TEXT(INDEX($B$35:$M$50,($Q$32-1-3)*$Q$33+X81+1,0*$Q$34+W81+1),"+0;-0;0"),"")))</f>
        <v/>
      </c>
      <c r="BG81">
        <v>28.5</v>
      </c>
      <c r="BH81">
        <f>IF(OR($Q$46&gt;0,$Q$47&lt;0),NA(),2+$Q$49)</f>
        <v>2.2342857142857144</v>
      </c>
    </row>
    <row r="82" spans="16:60" x14ac:dyDescent="0.35">
      <c r="P82">
        <v>30</v>
      </c>
      <c r="Q82">
        <f>P82-$Q$41</f>
        <v>27</v>
      </c>
      <c r="R82">
        <f>IF(Q82&lt;=0,-1,INT((Q82-1)/($Q$39+$Q$40)))</f>
        <v>2</v>
      </c>
      <c r="S82">
        <f>IF(Q82&lt;=0,-1,MOD(Q82-1,($Q$39+$Q$40)))</f>
        <v>0</v>
      </c>
      <c r="T82">
        <f>IF(OR(S82&lt;0,S82&gt;=$Q$39),-1,INT(S82/$Q$38))</f>
        <v>0</v>
      </c>
      <c r="U82">
        <f>IF(OR(S82&lt;0,S82&gt;=$Q$39),-1,MOD(S82,$Q$38))</f>
        <v>0</v>
      </c>
      <c r="V82">
        <f>IF(OR(Q82&lt;=0,S82&lt;0,S82&gt;=$Q$39,R82&gt;=$Q$36),1,0)</f>
        <v>0</v>
      </c>
      <c r="W82">
        <f>IF(V82=1,-1,T82)</f>
        <v>0</v>
      </c>
      <c r="X82">
        <f>IF(V82=1,-1,R82)</f>
        <v>2</v>
      </c>
      <c r="Y82" t="str">
        <f>IF(V82=1,"",IF(AND(MOD(W82,3)=0,U82=INT(($Q$38-1)/2)),INDEX($B$34:$M$34,W82+1),""))</f>
        <v>Jan</v>
      </c>
      <c r="Z82">
        <f>IF(V82=1,NA(),IF(INDEX($B$35:$M$50,($Q$32-1-0)*$Q$33+X82+1,0*$Q$34+W82+1)="",NA(),IF(INDEX($B$35:$M$50,($Q$32-1-0)*$Q$33+X82+1,0*$Q$34+W82+1)&gt;=0,0+(INDEX($B$35:$M$50,($Q$32-1-0)*$Q$33+X82+1,0*$Q$34+W82+1)-$Q$46)/$Q$48*$Q$42,NA())))</f>
        <v>0.47951976020493026</v>
      </c>
      <c r="AA82" t="e">
        <f>IF(V82=1,NA(),IF(INDEX($B$35:$M$50,($Q$32-1-0)*$Q$33+X82+1,0*$Q$34+W82+1)="",NA(),IF(INDEX($B$35:$M$50,($Q$32-1-0)*$Q$33+X82+1,0*$Q$34+W82+1)&lt;0,0+(INDEX($B$35:$M$50,($Q$32-1-0)*$Q$33+X82+1,0*$Q$34+W82+1)-$Q$46)/$Q$48*$Q$42,NA())))</f>
        <v>#N/A</v>
      </c>
      <c r="AB82">
        <f>IF(V82=1,NA(),IF(INDEX($B$35:$M$50,($Q$32-1-1)*$Q$33+X82+1,0*$Q$34+W82+1)="",NA(),IF(INDEX($B$35:$M$50,($Q$32-1-1)*$Q$33+X82+1,0*$Q$34+W82+1)&gt;=0,1+(INDEX($B$35:$M$50,($Q$32-1-1)*$Q$33+X82+1,0*$Q$34+W82+1)-$Q$46)/$Q$48*$Q$42,NA())))</f>
        <v>1.3036637864269518</v>
      </c>
      <c r="AC82" t="e">
        <f>IF(V82=1,NA(),IF(INDEX($B$35:$M$50,($Q$32-1-1)*$Q$33+X82+1,0*$Q$34+W82+1)="",NA(),IF(INDEX($B$35:$M$50,($Q$32-1-1)*$Q$33+X82+1,0*$Q$34+W82+1)&lt;0,1+(INDEX($B$35:$M$50,($Q$32-1-1)*$Q$33+X82+1,0*$Q$34+W82+1)-$Q$46)/$Q$48*$Q$42,NA())))</f>
        <v>#N/A</v>
      </c>
      <c r="AD82" t="e">
        <f>IF(V82=1,NA(),IF(INDEX($B$35:$M$50,($Q$32-1-2)*$Q$33+X82+1,0*$Q$34+W82+1)="",NA(),IF(INDEX($B$35:$M$50,($Q$32-1-2)*$Q$33+X82+1,0*$Q$34+W82+1)&gt;=0,2+(INDEX($B$35:$M$50,($Q$32-1-2)*$Q$33+X82+1,0*$Q$34+W82+1)-$Q$46)/$Q$48*$Q$42,NA())))</f>
        <v>#N/A</v>
      </c>
      <c r="AE82">
        <f>IF(V82=1,NA(),IF(INDEX($B$35:$M$50,($Q$32-1-2)*$Q$33+X82+1,0*$Q$34+W82+1)="",NA(),IF(INDEX($B$35:$M$50,($Q$32-1-2)*$Q$33+X82+1,0*$Q$34+W82+1)&lt;0,2+(INDEX($B$35:$M$50,($Q$32-1-2)*$Q$33+X82+1,0*$Q$34+W82+1)-$Q$46)/$Q$48*$Q$42,NA())))</f>
        <v>2.1658749190562308</v>
      </c>
      <c r="AF82" t="e">
        <f>IF(V82=1,NA(),IF(INDEX($B$35:$M$50,($Q$32-1-3)*$Q$33+X82+1,0*$Q$34+W82+1)="",NA(),IF(INDEX($B$35:$M$50,($Q$32-1-3)*$Q$33+X82+1,0*$Q$34+W82+1)&gt;=0,3+(INDEX($B$35:$M$50,($Q$32-1-3)*$Q$33+X82+1,0*$Q$34+W82+1)-$Q$46)/$Q$48*$Q$42,NA())))</f>
        <v>#N/A</v>
      </c>
      <c r="AG82">
        <f>IF(V82=1,NA(),IF(INDEX($B$35:$M$50,($Q$32-1-3)*$Q$33+X82+1,0*$Q$34+W82+1)="",NA(),IF(INDEX($B$35:$M$50,($Q$32-1-3)*$Q$33+X82+1,0*$Q$34+W82+1)&lt;0,3+(INDEX($B$35:$M$50,($Q$32-1-3)*$Q$33+X82+1,0*$Q$34+W82+1)-$Q$46)/$Q$48*$Q$42,NA())))</f>
        <v>3.1137795845152203</v>
      </c>
      <c r="AI82">
        <f>IF(V82=1,0,IF(INDEX($B$35:$M$50,($Q$32-1-0)*$Q$33+X82+1,0*$Q$34+W82+1)="",0,IF(INDEX($B$35:$M$50,($Q$32-1-0)*$Q$33+X82+1,0*$Q$34+W82+1)&gt;=0,ABS(INDEX($B$35:$M$50,($Q$32-1-0)*$Q$33+X82+1,0*$Q$34+W82+1))/$Q$48*$Q$42,0)))</f>
        <v>0.24523404591921596</v>
      </c>
      <c r="AJ82">
        <f>IF(V82=1,0,IF(INDEX($B$35:$M$50,($Q$32-1-0)*$Q$33+X82+1,0*$Q$34+W82+1)="",0,IF(INDEX($B$35:$M$50,($Q$32-1-0)*$Q$33+X82+1,0*$Q$34+W82+1)&lt;0,ABS(INDEX($B$35:$M$50,($Q$32-1-0)*$Q$33+X82+1,0*$Q$34+W82+1))/$Q$48*$Q$42,0)))</f>
        <v>0</v>
      </c>
      <c r="AK82">
        <f>IF(V82=1,0,IF(INDEX($B$35:$M$50,($Q$32-1-1)*$Q$33+X82+1,0*$Q$34+W82+1)="",0,IF(INDEX($B$35:$M$50,($Q$32-1-1)*$Q$33+X82+1,0*$Q$34+W82+1)&gt;=0,ABS(INDEX($B$35:$M$50,($Q$32-1-1)*$Q$33+X82+1,0*$Q$34+W82+1))/$Q$48*$Q$42,0)))</f>
        <v>6.9378072141237493E-2</v>
      </c>
      <c r="AL82">
        <f>IF(V82=1,0,IF(INDEX($B$35:$M$50,($Q$32-1-1)*$Q$33+X82+1,0*$Q$34+W82+1)="",0,IF(INDEX($B$35:$M$50,($Q$32-1-1)*$Q$33+X82+1,0*$Q$34+W82+1)&lt;0,ABS(INDEX($B$35:$M$50,($Q$32-1-1)*$Q$33+X82+1,0*$Q$34+W82+1))/$Q$48*$Q$42,0)))</f>
        <v>0</v>
      </c>
      <c r="AM82">
        <f>IF(V82=1,0,IF(INDEX($B$35:$M$50,($Q$32-1-2)*$Q$33+X82+1,0*$Q$34+W82+1)="",0,IF(INDEX($B$35:$M$50,($Q$32-1-2)*$Q$33+X82+1,0*$Q$34+W82+1)&gt;=0,ABS(INDEX($B$35:$M$50,($Q$32-1-2)*$Q$33+X82+1,0*$Q$34+W82+1))/$Q$48*$Q$42,0)))</f>
        <v>0</v>
      </c>
      <c r="AN82">
        <f>IF(V82=1,0,IF(INDEX($B$35:$M$50,($Q$32-1-2)*$Q$33+X82+1,0*$Q$34+W82+1)="",0,IF(INDEX($B$35:$M$50,($Q$32-1-2)*$Q$33+X82+1,0*$Q$34+W82+1)&lt;0,ABS(INDEX($B$35:$M$50,($Q$32-1-2)*$Q$33+X82+1,0*$Q$34+W82+1))/$Q$48*$Q$42,0)))</f>
        <v>6.841079522948329E-2</v>
      </c>
      <c r="AO82">
        <f>IF(V82=1,0,IF(INDEX($B$35:$M$50,($Q$32-1-3)*$Q$33+X82+1,0*$Q$34+W82+1)="",0,IF(INDEX($B$35:$M$50,($Q$32-1-3)*$Q$33+X82+1,0*$Q$34+W82+1)&gt;=0,ABS(INDEX($B$35:$M$50,($Q$32-1-3)*$Q$33+X82+1,0*$Q$34+W82+1))/$Q$48*$Q$42,0)))</f>
        <v>0</v>
      </c>
      <c r="AP82">
        <f>IF(V82=1,0,IF(INDEX($B$35:$M$50,($Q$32-1-3)*$Q$33+X82+1,0*$Q$34+W82+1)="",0,IF(INDEX($B$35:$M$50,($Q$32-1-3)*$Q$33+X82+1,0*$Q$34+W82+1)&lt;0,ABS(INDEX($B$35:$M$50,($Q$32-1-3)*$Q$33+X82+1,0*$Q$34+W82+1))/$Q$48*$Q$42,0)))</f>
        <v>0.12050612977049413</v>
      </c>
      <c r="AR82" t="str">
        <f>IF(V82=1,"",IF(INDEX($B$35:$M$50,($Q$32-1-0)*$Q$33+X82+1,0*$Q$34+W82+1)="","",IF(INDEX($B$35:$M$50,($Q$32-1-0)*$Q$33+X82+1,0*$Q$34+W82+1)&gt;=0,TEXT(INDEX($B$35:$M$50,($Q$32-1-0)*$Q$33+X82+1,0*$Q$34+W82+1),"+0;-0;0"),"")))</f>
        <v>+105</v>
      </c>
      <c r="AS82" t="str">
        <f>IF(V82=1,"",IF(INDEX($B$35:$M$50,($Q$32-1-0)*$Q$33+X82+1,0*$Q$34+W82+1)="","",IF(INDEX($B$35:$M$50,($Q$32-1-0)*$Q$33+X82+1,0*$Q$34+W82+1)&lt;0,TEXT(INDEX($B$35:$M$50,($Q$32-1-0)*$Q$33+X82+1,0*$Q$34+W82+1),"+0;-0;0"),"")))</f>
        <v/>
      </c>
      <c r="AT82" t="str">
        <f>IF(V82=1,"",IF(INDEX($B$35:$M$50,($Q$32-1-1)*$Q$33+X82+1,0*$Q$34+W82+1)="","",IF(INDEX($B$35:$M$50,($Q$32-1-1)*$Q$33+X82+1,0*$Q$34+W82+1)&gt;=0,TEXT(INDEX($B$35:$M$50,($Q$32-1-1)*$Q$33+X82+1,0*$Q$34+W82+1),"+0;-0;0"),"")))</f>
        <v>+30</v>
      </c>
      <c r="AU82" t="str">
        <f>IF(V82=1,"",IF(INDEX($B$35:$M$50,($Q$32-1-1)*$Q$33+X82+1,0*$Q$34+W82+1)="","",IF(INDEX($B$35:$M$50,($Q$32-1-1)*$Q$33+X82+1,0*$Q$34+W82+1)&lt;0,TEXT(INDEX($B$35:$M$50,($Q$32-1-1)*$Q$33+X82+1,0*$Q$34+W82+1),"+0;-0;0"),"")))</f>
        <v/>
      </c>
      <c r="AV82" t="str">
        <f>IF(V82=1,"",IF(INDEX($B$35:$M$50,($Q$32-1-2)*$Q$33+X82+1,0*$Q$34+W82+1)="","",IF(INDEX($B$35:$M$50,($Q$32-1-2)*$Q$33+X82+1,0*$Q$34+W82+1)&gt;=0,TEXT(INDEX($B$35:$M$50,($Q$32-1-2)*$Q$33+X82+1,0*$Q$34+W82+1),"+0;-0;0"),"")))</f>
        <v/>
      </c>
      <c r="AW82" t="str">
        <f>IF(V82=1,"",IF(INDEX($B$35:$M$50,($Q$32-1-2)*$Q$33+X82+1,0*$Q$34+W82+1)="","",IF(INDEX($B$35:$M$50,($Q$32-1-2)*$Q$33+X82+1,0*$Q$34+W82+1)&lt;0,TEXT(INDEX($B$35:$M$50,($Q$32-1-2)*$Q$33+X82+1,0*$Q$34+W82+1),"+0;-0;0"),"")))</f>
        <v>-29</v>
      </c>
      <c r="AX82" t="str">
        <f>IF(V82=1,"",IF(INDEX($B$35:$M$50,($Q$32-1-3)*$Q$33+X82+1,0*$Q$34+W82+1)="","",IF(INDEX($B$35:$M$50,($Q$32-1-3)*$Q$33+X82+1,0*$Q$34+W82+1)&gt;=0,TEXT(INDEX($B$35:$M$50,($Q$32-1-3)*$Q$33+X82+1,0*$Q$34+W82+1),"+0;-0;0"),"")))</f>
        <v/>
      </c>
      <c r="AY82" t="str">
        <f>IF(V82=1,"",IF(INDEX($B$35:$M$50,($Q$32-1-3)*$Q$33+X82+1,0*$Q$34+W82+1)="","",IF(INDEX($B$35:$M$50,($Q$32-1-3)*$Q$33+X82+1,0*$Q$34+W82+1)&lt;0,TEXT(INDEX($B$35:$M$50,($Q$32-1-3)*$Q$33+X82+1,0*$Q$34+W82+1),"+0;-0;0"),"")))</f>
        <v>-51</v>
      </c>
      <c r="BG82">
        <v>28.5</v>
      </c>
      <c r="BH82" t="e">
        <f>NA()</f>
        <v>#N/A</v>
      </c>
    </row>
    <row r="83" spans="16:60" x14ac:dyDescent="0.35">
      <c r="P83">
        <v>31</v>
      </c>
      <c r="Q83">
        <f>P83-$Q$41</f>
        <v>28</v>
      </c>
      <c r="R83">
        <f>IF(Q83&lt;=0,-1,INT((Q83-1)/($Q$39+$Q$40)))</f>
        <v>2</v>
      </c>
      <c r="S83">
        <f>IF(Q83&lt;=0,-1,MOD(Q83-1,($Q$39+$Q$40)))</f>
        <v>1</v>
      </c>
      <c r="T83">
        <f>IF(OR(S83&lt;0,S83&gt;=$Q$39),-1,INT(S83/$Q$38))</f>
        <v>1</v>
      </c>
      <c r="U83">
        <f>IF(OR(S83&lt;0,S83&gt;=$Q$39),-1,MOD(S83,$Q$38))</f>
        <v>0</v>
      </c>
      <c r="V83">
        <f>IF(OR(Q83&lt;=0,S83&lt;0,S83&gt;=$Q$39,R83&gt;=$Q$36),1,0)</f>
        <v>0</v>
      </c>
      <c r="W83">
        <f>IF(V83=1,-1,T83)</f>
        <v>1</v>
      </c>
      <c r="X83">
        <f>IF(V83=1,-1,R83)</f>
        <v>2</v>
      </c>
      <c r="Y83" t="str">
        <f>IF(V83=1,"",IF(AND(MOD(W83,3)=0,U83=INT(($Q$38-1)/2)),INDEX($B$34:$M$34,W83+1),""))</f>
        <v/>
      </c>
      <c r="Z83">
        <f>IF(V83=1,NA(),IF(INDEX($B$35:$M$50,($Q$32-1-0)*$Q$33+X83+1,0*$Q$34+W83+1)="",NA(),IF(INDEX($B$35:$M$50,($Q$32-1-0)*$Q$33+X83+1,0*$Q$34+W83+1)&gt;=0,0+(INDEX($B$35:$M$50,($Q$32-1-0)*$Q$33+X83+1,0*$Q$34+W83+1)-$Q$46)/$Q$48*$Q$42,NA())))</f>
        <v>0.49257009608966923</v>
      </c>
      <c r="AA83" t="e">
        <f>IF(V83=1,NA(),IF(INDEX($B$35:$M$50,($Q$32-1-0)*$Q$33+X83+1,0*$Q$34+W83+1)="",NA(),IF(INDEX($B$35:$M$50,($Q$32-1-0)*$Q$33+X83+1,0*$Q$34+W83+1)&lt;0,0+(INDEX($B$35:$M$50,($Q$32-1-0)*$Q$33+X83+1,0*$Q$34+W83+1)-$Q$46)/$Q$48*$Q$42,NA())))</f>
        <v>#N/A</v>
      </c>
      <c r="AB83">
        <f>IF(V83=1,NA(),IF(INDEX($B$35:$M$50,($Q$32-1-1)*$Q$33+X83+1,0*$Q$34+W83+1)="",NA(),IF(INDEX($B$35:$M$50,($Q$32-1-1)*$Q$33+X83+1,0*$Q$34+W83+1)&gt;=0,1+(INDEX($B$35:$M$50,($Q$32-1-1)*$Q$33+X83+1,0*$Q$34+W83+1)-$Q$46)/$Q$48*$Q$42,NA())))</f>
        <v>1.2838984198348058</v>
      </c>
      <c r="AC83" t="e">
        <f>IF(V83=1,NA(),IF(INDEX($B$35:$M$50,($Q$32-1-1)*$Q$33+X83+1,0*$Q$34+W83+1)="",NA(),IF(INDEX($B$35:$M$50,($Q$32-1-1)*$Q$33+X83+1,0*$Q$34+W83+1)&lt;0,1+(INDEX($B$35:$M$50,($Q$32-1-1)*$Q$33+X83+1,0*$Q$34+W83+1)-$Q$46)/$Q$48*$Q$42,NA())))</f>
        <v>#N/A</v>
      </c>
      <c r="AD83" t="e">
        <f>IF(V83=1,NA(),IF(INDEX($B$35:$M$50,($Q$32-1-2)*$Q$33+X83+1,0*$Q$34+W83+1)="",NA(),IF(INDEX($B$35:$M$50,($Q$32-1-2)*$Q$33+X83+1,0*$Q$34+W83+1)&gt;=0,2+(INDEX($B$35:$M$50,($Q$32-1-2)*$Q$33+X83+1,0*$Q$34+W83+1)-$Q$46)/$Q$48*$Q$42,NA())))</f>
        <v>#N/A</v>
      </c>
      <c r="AE83">
        <f>IF(V83=1,NA(),IF(INDEX($B$35:$M$50,($Q$32-1-2)*$Q$33+X83+1,0*$Q$34+W83+1)="",NA(),IF(INDEX($B$35:$M$50,($Q$32-1-2)*$Q$33+X83+1,0*$Q$34+W83+1)&lt;0,2+(INDEX($B$35:$M$50,($Q$32-1-2)*$Q$33+X83+1,0*$Q$34+W83+1)-$Q$46)/$Q$48*$Q$42,NA())))</f>
        <v>2.1622224046262999</v>
      </c>
      <c r="AF83" t="e">
        <f>IF(V83=1,NA(),IF(INDEX($B$35:$M$50,($Q$32-1-3)*$Q$33+X83+1,0*$Q$34+W83+1)="",NA(),IF(INDEX($B$35:$M$50,($Q$32-1-3)*$Q$33+X83+1,0*$Q$34+W83+1)&gt;=0,3+(INDEX($B$35:$M$50,($Q$32-1-3)*$Q$33+X83+1,0*$Q$34+W83+1)-$Q$46)/$Q$48*$Q$42,NA())))</f>
        <v>#N/A</v>
      </c>
      <c r="AG83">
        <f>IF(V83=1,NA(),IF(INDEX($B$35:$M$50,($Q$32-1-3)*$Q$33+X83+1,0*$Q$34+W83+1)="",NA(),IF(INDEX($B$35:$M$50,($Q$32-1-3)*$Q$33+X83+1,0*$Q$34+W83+1)&lt;0,3+(INDEX($B$35:$M$50,($Q$32-1-3)*$Q$33+X83+1,0*$Q$34+W83+1)-$Q$46)/$Q$48*$Q$42,NA())))</f>
        <v>3.1099955304343867</v>
      </c>
      <c r="AI83">
        <f>IF(V83=1,0,IF(INDEX($B$35:$M$50,($Q$32-1-0)*$Q$33+X83+1,0*$Q$34+W83+1)="",0,IF(INDEX($B$35:$M$50,($Q$32-1-0)*$Q$33+X83+1,0*$Q$34+W83+1)&gt;=0,ABS(INDEX($B$35:$M$50,($Q$32-1-0)*$Q$33+X83+1,0*$Q$34+W83+1))/$Q$48*$Q$42,0)))</f>
        <v>0.25828438180395497</v>
      </c>
      <c r="AJ83">
        <f>IF(V83=1,0,IF(INDEX($B$35:$M$50,($Q$32-1-0)*$Q$33+X83+1,0*$Q$34+W83+1)="",0,IF(INDEX($B$35:$M$50,($Q$32-1-0)*$Q$33+X83+1,0*$Q$34+W83+1)&lt;0,ABS(INDEX($B$35:$M$50,($Q$32-1-0)*$Q$33+X83+1,0*$Q$34+W83+1))/$Q$48*$Q$42,0)))</f>
        <v>0</v>
      </c>
      <c r="AK83">
        <f>IF(V83=1,0,IF(INDEX($B$35:$M$50,($Q$32-1-1)*$Q$33+X83+1,0*$Q$34+W83+1)="",0,IF(INDEX($B$35:$M$50,($Q$32-1-1)*$Q$33+X83+1,0*$Q$34+W83+1)&gt;=0,ABS(INDEX($B$35:$M$50,($Q$32-1-1)*$Q$33+X83+1,0*$Q$34+W83+1))/$Q$48*$Q$42,0)))</f>
        <v>4.9612705549091501E-2</v>
      </c>
      <c r="AL83">
        <f>IF(V83=1,0,IF(INDEX($B$35:$M$50,($Q$32-1-1)*$Q$33+X83+1,0*$Q$34+W83+1)="",0,IF(INDEX($B$35:$M$50,($Q$32-1-1)*$Q$33+X83+1,0*$Q$34+W83+1)&lt;0,ABS(INDEX($B$35:$M$50,($Q$32-1-1)*$Q$33+X83+1,0*$Q$34+W83+1))/$Q$48*$Q$42,0)))</f>
        <v>0</v>
      </c>
      <c r="AM83">
        <f>IF(V83=1,0,IF(INDEX($B$35:$M$50,($Q$32-1-2)*$Q$33+X83+1,0*$Q$34+W83+1)="",0,IF(INDEX($B$35:$M$50,($Q$32-1-2)*$Q$33+X83+1,0*$Q$34+W83+1)&gt;=0,ABS(INDEX($B$35:$M$50,($Q$32-1-2)*$Q$33+X83+1,0*$Q$34+W83+1))/$Q$48*$Q$42,0)))</f>
        <v>0</v>
      </c>
      <c r="AN83">
        <f>IF(V83=1,0,IF(INDEX($B$35:$M$50,($Q$32-1-2)*$Q$33+X83+1,0*$Q$34+W83+1)="",0,IF(INDEX($B$35:$M$50,($Q$32-1-2)*$Q$33+X83+1,0*$Q$34+W83+1)&lt;0,ABS(INDEX($B$35:$M$50,($Q$32-1-2)*$Q$33+X83+1,0*$Q$34+W83+1))/$Q$48*$Q$42,0)))</f>
        <v>7.2063309659414293E-2</v>
      </c>
      <c r="AO83">
        <f>IF(V83=1,0,IF(INDEX($B$35:$M$50,($Q$32-1-3)*$Q$33+X83+1,0*$Q$34+W83+1)="",0,IF(INDEX($B$35:$M$50,($Q$32-1-3)*$Q$33+X83+1,0*$Q$34+W83+1)&gt;=0,ABS(INDEX($B$35:$M$50,($Q$32-1-3)*$Q$33+X83+1,0*$Q$34+W83+1))/$Q$48*$Q$42,0)))</f>
        <v>0</v>
      </c>
      <c r="AP83">
        <f>IF(V83=1,0,IF(INDEX($B$35:$M$50,($Q$32-1-3)*$Q$33+X83+1,0*$Q$34+W83+1)="",0,IF(INDEX($B$35:$M$50,($Q$32-1-3)*$Q$33+X83+1,0*$Q$34+W83+1)&lt;0,ABS(INDEX($B$35:$M$50,($Q$32-1-3)*$Q$33+X83+1,0*$Q$34+W83+1))/$Q$48*$Q$42,0)))</f>
        <v>0.12429018385132765</v>
      </c>
      <c r="AR83" t="str">
        <f>IF(V83=1,"",IF(INDEX($B$35:$M$50,($Q$32-1-0)*$Q$33+X83+1,0*$Q$34+W83+1)="","",IF(INDEX($B$35:$M$50,($Q$32-1-0)*$Q$33+X83+1,0*$Q$34+W83+1)&gt;=0,TEXT(INDEX($B$35:$M$50,($Q$32-1-0)*$Q$33+X83+1,0*$Q$34+W83+1),"+0;-0;0"),"")))</f>
        <v>+110</v>
      </c>
      <c r="AS83" t="str">
        <f>IF(V83=1,"",IF(INDEX($B$35:$M$50,($Q$32-1-0)*$Q$33+X83+1,0*$Q$34+W83+1)="","",IF(INDEX($B$35:$M$50,($Q$32-1-0)*$Q$33+X83+1,0*$Q$34+W83+1)&lt;0,TEXT(INDEX($B$35:$M$50,($Q$32-1-0)*$Q$33+X83+1,0*$Q$34+W83+1),"+0;-0;0"),"")))</f>
        <v/>
      </c>
      <c r="AT83" t="str">
        <f>IF(V83=1,"",IF(INDEX($B$35:$M$50,($Q$32-1-1)*$Q$33+X83+1,0*$Q$34+W83+1)="","",IF(INDEX($B$35:$M$50,($Q$32-1-1)*$Q$33+X83+1,0*$Q$34+W83+1)&gt;=0,TEXT(INDEX($B$35:$M$50,($Q$32-1-1)*$Q$33+X83+1,0*$Q$34+W83+1),"+0;-0;0"),"")))</f>
        <v>+21</v>
      </c>
      <c r="AU83" t="str">
        <f>IF(V83=1,"",IF(INDEX($B$35:$M$50,($Q$32-1-1)*$Q$33+X83+1,0*$Q$34+W83+1)="","",IF(INDEX($B$35:$M$50,($Q$32-1-1)*$Q$33+X83+1,0*$Q$34+W83+1)&lt;0,TEXT(INDEX($B$35:$M$50,($Q$32-1-1)*$Q$33+X83+1,0*$Q$34+W83+1),"+0;-0;0"),"")))</f>
        <v/>
      </c>
      <c r="AV83" t="str">
        <f>IF(V83=1,"",IF(INDEX($B$35:$M$50,($Q$32-1-2)*$Q$33+X83+1,0*$Q$34+W83+1)="","",IF(INDEX($B$35:$M$50,($Q$32-1-2)*$Q$33+X83+1,0*$Q$34+W83+1)&gt;=0,TEXT(INDEX($B$35:$M$50,($Q$32-1-2)*$Q$33+X83+1,0*$Q$34+W83+1),"+0;-0;0"),"")))</f>
        <v/>
      </c>
      <c r="AW83" t="str">
        <f>IF(V83=1,"",IF(INDEX($B$35:$M$50,($Q$32-1-2)*$Q$33+X83+1,0*$Q$34+W83+1)="","",IF(INDEX($B$35:$M$50,($Q$32-1-2)*$Q$33+X83+1,0*$Q$34+W83+1)&lt;0,TEXT(INDEX($B$35:$M$50,($Q$32-1-2)*$Q$33+X83+1,0*$Q$34+W83+1),"+0;-0;0"),"")))</f>
        <v>-31</v>
      </c>
      <c r="AX83" t="str">
        <f>IF(V83=1,"",IF(INDEX($B$35:$M$50,($Q$32-1-3)*$Q$33+X83+1,0*$Q$34+W83+1)="","",IF(INDEX($B$35:$M$50,($Q$32-1-3)*$Q$33+X83+1,0*$Q$34+W83+1)&gt;=0,TEXT(INDEX($B$35:$M$50,($Q$32-1-3)*$Q$33+X83+1,0*$Q$34+W83+1),"+0;-0;0"),"")))</f>
        <v/>
      </c>
      <c r="AY83" t="str">
        <f>IF(V83=1,"",IF(INDEX($B$35:$M$50,($Q$32-1-3)*$Q$33+X83+1,0*$Q$34+W83+1)="","",IF(INDEX($B$35:$M$50,($Q$32-1-3)*$Q$33+X83+1,0*$Q$34+W83+1)&lt;0,TEXT(INDEX($B$35:$M$50,($Q$32-1-3)*$Q$33+X83+1,0*$Q$34+W83+1),"+0;-0;0"),"")))</f>
        <v>-53</v>
      </c>
      <c r="BG83">
        <v>29.5</v>
      </c>
      <c r="BH83">
        <f>IF(OR($Q$46&gt;0,$Q$47&lt;0),NA(),2+$Q$49)</f>
        <v>2.2342857142857144</v>
      </c>
    </row>
    <row r="84" spans="16:60" x14ac:dyDescent="0.35">
      <c r="P84">
        <v>32</v>
      </c>
      <c r="Q84">
        <f>P84-$Q$41</f>
        <v>29</v>
      </c>
      <c r="R84">
        <f>IF(Q84&lt;=0,-1,INT((Q84-1)/($Q$39+$Q$40)))</f>
        <v>2</v>
      </c>
      <c r="S84">
        <f>IF(Q84&lt;=0,-1,MOD(Q84-1,($Q$39+$Q$40)))</f>
        <v>2</v>
      </c>
      <c r="T84">
        <f>IF(OR(S84&lt;0,S84&gt;=$Q$39),-1,INT(S84/$Q$38))</f>
        <v>2</v>
      </c>
      <c r="U84">
        <f>IF(OR(S84&lt;0,S84&gt;=$Q$39),-1,MOD(S84,$Q$38))</f>
        <v>0</v>
      </c>
      <c r="V84">
        <f>IF(OR(Q84&lt;=0,S84&lt;0,S84&gt;=$Q$39,R84&gt;=$Q$36),1,0)</f>
        <v>0</v>
      </c>
      <c r="W84">
        <f>IF(V84=1,-1,T84)</f>
        <v>2</v>
      </c>
      <c r="X84">
        <f>IF(V84=1,-1,R84)</f>
        <v>2</v>
      </c>
      <c r="Y84" t="str">
        <f>IF(V84=1,"",IF(AND(MOD(W84,3)=0,U84=INT(($Q$38-1)/2)),INDEX($B$34:$M$34,W84+1),""))</f>
        <v/>
      </c>
      <c r="Z84">
        <f>IF(V84=1,NA(),IF(INDEX($B$35:$M$50,($Q$32-1-0)*$Q$33+X84+1,0*$Q$34+W84+1)="",NA(),IF(INDEX($B$35:$M$50,($Q$32-1-0)*$Q$33+X84+1,0*$Q$34+W84+1)&gt;=0,0+(INDEX($B$35:$M$50,($Q$32-1-0)*$Q$33+X84+1,0*$Q$34+W84+1)-$Q$46)/$Q$48*$Q$42,NA())))</f>
        <v>0.65306231512209501</v>
      </c>
      <c r="AA84" t="e">
        <f>IF(V84=1,NA(),IF(INDEX($B$35:$M$50,($Q$32-1-0)*$Q$33+X84+1,0*$Q$34+W84+1)="",NA(),IF(INDEX($B$35:$M$50,($Q$32-1-0)*$Q$33+X84+1,0*$Q$34+W84+1)&lt;0,0+(INDEX($B$35:$M$50,($Q$32-1-0)*$Q$33+X84+1,0*$Q$34+W84+1)-$Q$46)/$Q$48*$Q$42,NA())))</f>
        <v>#N/A</v>
      </c>
      <c r="AB84">
        <f>IF(V84=1,NA(),IF(INDEX($B$35:$M$50,($Q$32-1-1)*$Q$33+X84+1,0*$Q$34+W84+1)="",NA(),IF(INDEX($B$35:$M$50,($Q$32-1-1)*$Q$33+X84+1,0*$Q$34+W84+1)&gt;=0,1+(INDEX($B$35:$M$50,($Q$32-1-1)*$Q$33+X84+1,0*$Q$34+W84+1)-$Q$46)/$Q$48*$Q$42,NA())))</f>
        <v>1.2725005623048449</v>
      </c>
      <c r="AC84" t="e">
        <f>IF(V84=1,NA(),IF(INDEX($B$35:$M$50,($Q$32-1-1)*$Q$33+X84+1,0*$Q$34+W84+1)="",NA(),IF(INDEX($B$35:$M$50,($Q$32-1-1)*$Q$33+X84+1,0*$Q$34+W84+1)&lt;0,1+(INDEX($B$35:$M$50,($Q$32-1-1)*$Q$33+X84+1,0*$Q$34+W84+1)-$Q$46)/$Q$48*$Q$42,NA())))</f>
        <v>#N/A</v>
      </c>
      <c r="AD84" t="e">
        <f>IF(V84=1,NA(),IF(INDEX($B$35:$M$50,($Q$32-1-2)*$Q$33+X84+1,0*$Q$34+W84+1)="",NA(),IF(INDEX($B$35:$M$50,($Q$32-1-2)*$Q$33+X84+1,0*$Q$34+W84+1)&gt;=0,2+(INDEX($B$35:$M$50,($Q$32-1-2)*$Q$33+X84+1,0*$Q$34+W84+1)-$Q$46)/$Q$48*$Q$42,NA())))</f>
        <v>#N/A</v>
      </c>
      <c r="AE84">
        <f>IF(V84=1,NA(),IF(INDEX($B$35:$M$50,($Q$32-1-2)*$Q$33+X84+1,0*$Q$34+W84+1)="",NA(),IF(INDEX($B$35:$M$50,($Q$32-1-2)*$Q$33+X84+1,0*$Q$34+W84+1)&lt;0,2+(INDEX($B$35:$M$50,($Q$32-1-2)*$Q$33+X84+1,0*$Q$34+W84+1)-$Q$46)/$Q$48*$Q$42,NA())))</f>
        <v>2.1479195895262722</v>
      </c>
      <c r="AF84" t="e">
        <f>IF(V84=1,NA(),IF(INDEX($B$35:$M$50,($Q$32-1-3)*$Q$33+X84+1,0*$Q$34+W84+1)="",NA(),IF(INDEX($B$35:$M$50,($Q$32-1-3)*$Q$33+X84+1,0*$Q$34+W84+1)&gt;=0,3+(INDEX($B$35:$M$50,($Q$32-1-3)*$Q$33+X84+1,0*$Q$34+W84+1)-$Q$46)/$Q$48*$Q$42,NA())))</f>
        <v>#N/A</v>
      </c>
      <c r="AG84">
        <f>IF(V84=1,NA(),IF(INDEX($B$35:$M$50,($Q$32-1-3)*$Q$33+X84+1,0*$Q$34+W84+1)="",NA(),IF(INDEX($B$35:$M$50,($Q$32-1-3)*$Q$33+X84+1,0*$Q$34+W84+1)&lt;0,3+(INDEX($B$35:$M$50,($Q$32-1-3)*$Q$33+X84+1,0*$Q$34+W84+1)-$Q$46)/$Q$48*$Q$42,NA())))</f>
        <v>3.1024992174713253</v>
      </c>
      <c r="AI84">
        <f>IF(V84=1,0,IF(INDEX($B$35:$M$50,($Q$32-1-0)*$Q$33+X84+1,0*$Q$34+W84+1)="",0,IF(INDEX($B$35:$M$50,($Q$32-1-0)*$Q$33+X84+1,0*$Q$34+W84+1)&gt;=0,ABS(INDEX($B$35:$M$50,($Q$32-1-0)*$Q$33+X84+1,0*$Q$34+W84+1))/$Q$48*$Q$42,0)))</f>
        <v>0.41877660083638074</v>
      </c>
      <c r="AJ84">
        <f>IF(V84=1,0,IF(INDEX($B$35:$M$50,($Q$32-1-0)*$Q$33+X84+1,0*$Q$34+W84+1)="",0,IF(INDEX($B$35:$M$50,($Q$32-1-0)*$Q$33+X84+1,0*$Q$34+W84+1)&lt;0,ABS(INDEX($B$35:$M$50,($Q$32-1-0)*$Q$33+X84+1,0*$Q$34+W84+1))/$Q$48*$Q$42,0)))</f>
        <v>0</v>
      </c>
      <c r="AK84">
        <f>IF(V84=1,0,IF(INDEX($B$35:$M$50,($Q$32-1-1)*$Q$33+X84+1,0*$Q$34+W84+1)="",0,IF(INDEX($B$35:$M$50,($Q$32-1-1)*$Q$33+X84+1,0*$Q$34+W84+1)&gt;=0,ABS(INDEX($B$35:$M$50,($Q$32-1-1)*$Q$33+X84+1,0*$Q$34+W84+1))/$Q$48*$Q$42,0)))</f>
        <v>3.8214848019130734E-2</v>
      </c>
      <c r="AL84">
        <f>IF(V84=1,0,IF(INDEX($B$35:$M$50,($Q$32-1-1)*$Q$33+X84+1,0*$Q$34+W84+1)="",0,IF(INDEX($B$35:$M$50,($Q$32-1-1)*$Q$33+X84+1,0*$Q$34+W84+1)&lt;0,ABS(INDEX($B$35:$M$50,($Q$32-1-1)*$Q$33+X84+1,0*$Q$34+W84+1))/$Q$48*$Q$42,0)))</f>
        <v>0</v>
      </c>
      <c r="AM84">
        <f>IF(V84=1,0,IF(INDEX($B$35:$M$50,($Q$32-1-2)*$Q$33+X84+1,0*$Q$34+W84+1)="",0,IF(INDEX($B$35:$M$50,($Q$32-1-2)*$Q$33+X84+1,0*$Q$34+W84+1)&gt;=0,ABS(INDEX($B$35:$M$50,($Q$32-1-2)*$Q$33+X84+1,0*$Q$34+W84+1))/$Q$48*$Q$42,0)))</f>
        <v>0</v>
      </c>
      <c r="AN84">
        <f>IF(V84=1,0,IF(INDEX($B$35:$M$50,($Q$32-1-2)*$Q$33+X84+1,0*$Q$34+W84+1)="",0,IF(INDEX($B$35:$M$50,($Q$32-1-2)*$Q$33+X84+1,0*$Q$34+W84+1)&lt;0,ABS(INDEX($B$35:$M$50,($Q$32-1-2)*$Q$33+X84+1,0*$Q$34+W84+1))/$Q$48*$Q$42,0)))</f>
        <v>8.6366124759442151E-2</v>
      </c>
      <c r="AO84">
        <f>IF(V84=1,0,IF(INDEX($B$35:$M$50,($Q$32-1-3)*$Q$33+X84+1,0*$Q$34+W84+1)="",0,IF(INDEX($B$35:$M$50,($Q$32-1-3)*$Q$33+X84+1,0*$Q$34+W84+1)&gt;=0,ABS(INDEX($B$35:$M$50,($Q$32-1-3)*$Q$33+X84+1,0*$Q$34+W84+1))/$Q$48*$Q$42,0)))</f>
        <v>0</v>
      </c>
      <c r="AP84">
        <f>IF(V84=1,0,IF(INDEX($B$35:$M$50,($Q$32-1-3)*$Q$33+X84+1,0*$Q$34+W84+1)="",0,IF(INDEX($B$35:$M$50,($Q$32-1-3)*$Q$33+X84+1,0*$Q$34+W84+1)&lt;0,ABS(INDEX($B$35:$M$50,($Q$32-1-3)*$Q$33+X84+1,0*$Q$34+W84+1))/$Q$48*$Q$42,0)))</f>
        <v>0.13178649681438886</v>
      </c>
      <c r="AR84" t="str">
        <f>IF(V84=1,"",IF(INDEX($B$35:$M$50,($Q$32-1-0)*$Q$33+X84+1,0*$Q$34+W84+1)="","",IF(INDEX($B$35:$M$50,($Q$32-1-0)*$Q$33+X84+1,0*$Q$34+W84+1)&gt;=0,TEXT(INDEX($B$35:$M$50,($Q$32-1-0)*$Q$33+X84+1,0*$Q$34+W84+1),"+0;-0;0"),"")))</f>
        <v>+179</v>
      </c>
      <c r="AS84" t="str">
        <f>IF(V84=1,"",IF(INDEX($B$35:$M$50,($Q$32-1-0)*$Q$33+X84+1,0*$Q$34+W84+1)="","",IF(INDEX($B$35:$M$50,($Q$32-1-0)*$Q$33+X84+1,0*$Q$34+W84+1)&lt;0,TEXT(INDEX($B$35:$M$50,($Q$32-1-0)*$Q$33+X84+1,0*$Q$34+W84+1),"+0;-0;0"),"")))</f>
        <v/>
      </c>
      <c r="AT84" t="str">
        <f>IF(V84=1,"",IF(INDEX($B$35:$M$50,($Q$32-1-1)*$Q$33+X84+1,0*$Q$34+W84+1)="","",IF(INDEX($B$35:$M$50,($Q$32-1-1)*$Q$33+X84+1,0*$Q$34+W84+1)&gt;=0,TEXT(INDEX($B$35:$M$50,($Q$32-1-1)*$Q$33+X84+1,0*$Q$34+W84+1),"+0;-0;0"),"")))</f>
        <v>+16</v>
      </c>
      <c r="AU84" t="str">
        <f>IF(V84=1,"",IF(INDEX($B$35:$M$50,($Q$32-1-1)*$Q$33+X84+1,0*$Q$34+W84+1)="","",IF(INDEX($B$35:$M$50,($Q$32-1-1)*$Q$33+X84+1,0*$Q$34+W84+1)&lt;0,TEXT(INDEX($B$35:$M$50,($Q$32-1-1)*$Q$33+X84+1,0*$Q$34+W84+1),"+0;-0;0"),"")))</f>
        <v/>
      </c>
      <c r="AV84" t="str">
        <f>IF(V84=1,"",IF(INDEX($B$35:$M$50,($Q$32-1-2)*$Q$33+X84+1,0*$Q$34+W84+1)="","",IF(INDEX($B$35:$M$50,($Q$32-1-2)*$Q$33+X84+1,0*$Q$34+W84+1)&gt;=0,TEXT(INDEX($B$35:$M$50,($Q$32-1-2)*$Q$33+X84+1,0*$Q$34+W84+1),"+0;-0;0"),"")))</f>
        <v/>
      </c>
      <c r="AW84" t="str">
        <f>IF(V84=1,"",IF(INDEX($B$35:$M$50,($Q$32-1-2)*$Q$33+X84+1,0*$Q$34+W84+1)="","",IF(INDEX($B$35:$M$50,($Q$32-1-2)*$Q$33+X84+1,0*$Q$34+W84+1)&lt;0,TEXT(INDEX($B$35:$M$50,($Q$32-1-2)*$Q$33+X84+1,0*$Q$34+W84+1),"+0;-0;0"),"")))</f>
        <v>-37</v>
      </c>
      <c r="AX84" t="str">
        <f>IF(V84=1,"",IF(INDEX($B$35:$M$50,($Q$32-1-3)*$Q$33+X84+1,0*$Q$34+W84+1)="","",IF(INDEX($B$35:$M$50,($Q$32-1-3)*$Q$33+X84+1,0*$Q$34+W84+1)&gt;=0,TEXT(INDEX($B$35:$M$50,($Q$32-1-3)*$Q$33+X84+1,0*$Q$34+W84+1),"+0;-0;0"),"")))</f>
        <v/>
      </c>
      <c r="AY84" t="str">
        <f>IF(V84=1,"",IF(INDEX($B$35:$M$50,($Q$32-1-3)*$Q$33+X84+1,0*$Q$34+W84+1)="","",IF(INDEX($B$35:$M$50,($Q$32-1-3)*$Q$33+X84+1,0*$Q$34+W84+1)&lt;0,TEXT(INDEX($B$35:$M$50,($Q$32-1-3)*$Q$33+X84+1,0*$Q$34+W84+1),"+0;-0;0"),"")))</f>
        <v>-56</v>
      </c>
      <c r="BG84">
        <v>41.5</v>
      </c>
      <c r="BH84">
        <f>IF(OR($Q$46&gt;0,$Q$47&lt;0),NA(),2+$Q$49)</f>
        <v>2.2342857142857144</v>
      </c>
    </row>
    <row r="85" spans="16:60" x14ac:dyDescent="0.35">
      <c r="P85">
        <v>33</v>
      </c>
      <c r="Q85">
        <f>P85-$Q$41</f>
        <v>30</v>
      </c>
      <c r="R85">
        <f>IF(Q85&lt;=0,-1,INT((Q85-1)/($Q$39+$Q$40)))</f>
        <v>2</v>
      </c>
      <c r="S85">
        <f>IF(Q85&lt;=0,-1,MOD(Q85-1,($Q$39+$Q$40)))</f>
        <v>3</v>
      </c>
      <c r="T85">
        <f>IF(OR(S85&lt;0,S85&gt;=$Q$39),-1,INT(S85/$Q$38))</f>
        <v>3</v>
      </c>
      <c r="U85">
        <f>IF(OR(S85&lt;0,S85&gt;=$Q$39),-1,MOD(S85,$Q$38))</f>
        <v>0</v>
      </c>
      <c r="V85">
        <f>IF(OR(Q85&lt;=0,S85&lt;0,S85&gt;=$Q$39,R85&gt;=$Q$36),1,0)</f>
        <v>0</v>
      </c>
      <c r="W85">
        <f>IF(V85=1,-1,T85)</f>
        <v>3</v>
      </c>
      <c r="X85">
        <f>IF(V85=1,-1,R85)</f>
        <v>2</v>
      </c>
      <c r="Y85" t="str">
        <f>IF(V85=1,"",IF(AND(MOD(W85,3)=0,U85=INT(($Q$38-1)/2)),INDEX($B$34:$M$34,W85+1),""))</f>
        <v>Apr</v>
      </c>
      <c r="Z85">
        <f>IF(V85=1,NA(),IF(INDEX($B$35:$M$50,($Q$32-1-0)*$Q$33+X85+1,0*$Q$34+W85+1)="",NA(),IF(INDEX($B$35:$M$50,($Q$32-1-0)*$Q$33+X85+1,0*$Q$34+W85+1)&gt;=0,0+(INDEX($B$35:$M$50,($Q$32-1-0)*$Q$33+X85+1,0*$Q$34+W85+1)-$Q$46)/$Q$48*$Q$42,NA())))</f>
        <v>0.45345750488937631</v>
      </c>
      <c r="AA85" t="e">
        <f>IF(V85=1,NA(),IF(INDEX($B$35:$M$50,($Q$32-1-0)*$Q$33+X85+1,0*$Q$34+W85+1)="",NA(),IF(INDEX($B$35:$M$50,($Q$32-1-0)*$Q$33+X85+1,0*$Q$34+W85+1)&lt;0,0+(INDEX($B$35:$M$50,($Q$32-1-0)*$Q$33+X85+1,0*$Q$34+W85+1)-$Q$46)/$Q$48*$Q$42,NA())))</f>
        <v>#N/A</v>
      </c>
      <c r="AB85">
        <f>IF(V85=1,NA(),IF(INDEX($B$35:$M$50,($Q$32-1-1)*$Q$33+X85+1,0*$Q$34+W85+1)="",NA(),IF(INDEX($B$35:$M$50,($Q$32-1-1)*$Q$33+X85+1,0*$Q$34+W85+1)&gt;=0,1+(INDEX($B$35:$M$50,($Q$32-1-1)*$Q$33+X85+1,0*$Q$34+W85+1)-$Q$46)/$Q$48*$Q$42,NA())))</f>
        <v>1.2951818006816818</v>
      </c>
      <c r="AC85" t="e">
        <f>IF(V85=1,NA(),IF(INDEX($B$35:$M$50,($Q$32-1-1)*$Q$33+X85+1,0*$Q$34+W85+1)="",NA(),IF(INDEX($B$35:$M$50,($Q$32-1-1)*$Q$33+X85+1,0*$Q$34+W85+1)&lt;0,1+(INDEX($B$35:$M$50,($Q$32-1-1)*$Q$33+X85+1,0*$Q$34+W85+1)-$Q$46)/$Q$48*$Q$42,NA())))</f>
        <v>#N/A</v>
      </c>
      <c r="AD85" t="e">
        <f>IF(V85=1,NA(),IF(INDEX($B$35:$M$50,($Q$32-1-2)*$Q$33+X85+1,0*$Q$34+W85+1)="",NA(),IF(INDEX($B$35:$M$50,($Q$32-1-2)*$Q$33+X85+1,0*$Q$34+W85+1)&gt;=0,2+(INDEX($B$35:$M$50,($Q$32-1-2)*$Q$33+X85+1,0*$Q$34+W85+1)-$Q$46)/$Q$48*$Q$42,NA())))</f>
        <v>#N/A</v>
      </c>
      <c r="AE85">
        <f>IF(V85=1,NA(),IF(INDEX($B$35:$M$50,($Q$32-1-2)*$Q$33+X85+1,0*$Q$34+W85+1)="",NA(),IF(INDEX($B$35:$M$50,($Q$32-1-2)*$Q$33+X85+1,0*$Q$34+W85+1)&lt;0,2+(INDEX($B$35:$M$50,($Q$32-1-2)*$Q$33+X85+1,0*$Q$34+W85+1)-$Q$46)/$Q$48*$Q$42,NA())))</f>
        <v>2.1793402213281956</v>
      </c>
      <c r="AF85" t="e">
        <f>IF(V85=1,NA(),IF(INDEX($B$35:$M$50,($Q$32-1-3)*$Q$33+X85+1,0*$Q$34+W85+1)="",NA(),IF(INDEX($B$35:$M$50,($Q$32-1-3)*$Q$33+X85+1,0*$Q$34+W85+1)&gt;=0,3+(INDEX($B$35:$M$50,($Q$32-1-3)*$Q$33+X85+1,0*$Q$34+W85+1)-$Q$46)/$Q$48*$Q$42,NA())))</f>
        <v>#N/A</v>
      </c>
      <c r="AG85">
        <f>IF(V85=1,NA(),IF(INDEX($B$35:$M$50,($Q$32-1-3)*$Q$33+X85+1,0*$Q$34+W85+1)="",NA(),IF(INDEX($B$35:$M$50,($Q$32-1-3)*$Q$33+X85+1,0*$Q$34+W85+1)&lt;0,3+(INDEX($B$35:$M$50,($Q$32-1-3)*$Q$33+X85+1,0*$Q$34+W85+1)-$Q$46)/$Q$48*$Q$42,NA())))</f>
        <v>3.1181894505942473</v>
      </c>
      <c r="AI85">
        <f>IF(V85=1,0,IF(INDEX($B$35:$M$50,($Q$32-1-0)*$Q$33+X85+1,0*$Q$34+W85+1)="",0,IF(INDEX($B$35:$M$50,($Q$32-1-0)*$Q$33+X85+1,0*$Q$34+W85+1)&gt;=0,ABS(INDEX($B$35:$M$50,($Q$32-1-0)*$Q$33+X85+1,0*$Q$34+W85+1))/$Q$48*$Q$42,0)))</f>
        <v>0.21917179060366204</v>
      </c>
      <c r="AJ85">
        <f>IF(V85=1,0,IF(INDEX($B$35:$M$50,($Q$32-1-0)*$Q$33+X85+1,0*$Q$34+W85+1)="",0,IF(INDEX($B$35:$M$50,($Q$32-1-0)*$Q$33+X85+1,0*$Q$34+W85+1)&lt;0,ABS(INDEX($B$35:$M$50,($Q$32-1-0)*$Q$33+X85+1,0*$Q$34+W85+1))/$Q$48*$Q$42,0)))</f>
        <v>0</v>
      </c>
      <c r="AK85">
        <f>IF(V85=1,0,IF(INDEX($B$35:$M$50,($Q$32-1-1)*$Q$33+X85+1,0*$Q$34+W85+1)="",0,IF(INDEX($B$35:$M$50,($Q$32-1-1)*$Q$33+X85+1,0*$Q$34+W85+1)&gt;=0,ABS(INDEX($B$35:$M$50,($Q$32-1-1)*$Q$33+X85+1,0*$Q$34+W85+1))/$Q$48*$Q$42,0)))</f>
        <v>6.0896086395967511E-2</v>
      </c>
      <c r="AL85">
        <f>IF(V85=1,0,IF(INDEX($B$35:$M$50,($Q$32-1-1)*$Q$33+X85+1,0*$Q$34+W85+1)="",0,IF(INDEX($B$35:$M$50,($Q$32-1-1)*$Q$33+X85+1,0*$Q$34+W85+1)&lt;0,ABS(INDEX($B$35:$M$50,($Q$32-1-1)*$Q$33+X85+1,0*$Q$34+W85+1))/$Q$48*$Q$42,0)))</f>
        <v>0</v>
      </c>
      <c r="AM85">
        <f>IF(V85=1,0,IF(INDEX($B$35:$M$50,($Q$32-1-2)*$Q$33+X85+1,0*$Q$34+W85+1)="",0,IF(INDEX($B$35:$M$50,($Q$32-1-2)*$Q$33+X85+1,0*$Q$34+W85+1)&gt;=0,ABS(INDEX($B$35:$M$50,($Q$32-1-2)*$Q$33+X85+1,0*$Q$34+W85+1))/$Q$48*$Q$42,0)))</f>
        <v>0</v>
      </c>
      <c r="AN85">
        <f>IF(V85=1,0,IF(INDEX($B$35:$M$50,($Q$32-1-2)*$Q$33+X85+1,0*$Q$34+W85+1)="",0,IF(INDEX($B$35:$M$50,($Q$32-1-2)*$Q$33+X85+1,0*$Q$34+W85+1)&lt;0,ABS(INDEX($B$35:$M$50,($Q$32-1-2)*$Q$33+X85+1,0*$Q$34+W85+1))/$Q$48*$Q$42,0)))</f>
        <v>5.4945492957518639E-2</v>
      </c>
      <c r="AO85">
        <f>IF(V85=1,0,IF(INDEX($B$35:$M$50,($Q$32-1-3)*$Q$33+X85+1,0*$Q$34+W85+1)="",0,IF(INDEX($B$35:$M$50,($Q$32-1-3)*$Q$33+X85+1,0*$Q$34+W85+1)&gt;=0,ABS(INDEX($B$35:$M$50,($Q$32-1-3)*$Q$33+X85+1,0*$Q$34+W85+1))/$Q$48*$Q$42,0)))</f>
        <v>0</v>
      </c>
      <c r="AP85">
        <f>IF(V85=1,0,IF(INDEX($B$35:$M$50,($Q$32-1-3)*$Q$33+X85+1,0*$Q$34+W85+1)="",0,IF(INDEX($B$35:$M$50,($Q$32-1-3)*$Q$33+X85+1,0*$Q$34+W85+1)&lt;0,ABS(INDEX($B$35:$M$50,($Q$32-1-3)*$Q$33+X85+1,0*$Q$34+W85+1))/$Q$48*$Q$42,0)))</f>
        <v>0.11609626369146699</v>
      </c>
      <c r="AR85" t="str">
        <f>IF(V85=1,"",IF(INDEX($B$35:$M$50,($Q$32-1-0)*$Q$33+X85+1,0*$Q$34+W85+1)="","",IF(INDEX($B$35:$M$50,($Q$32-1-0)*$Q$33+X85+1,0*$Q$34+W85+1)&gt;=0,TEXT(INDEX($B$35:$M$50,($Q$32-1-0)*$Q$33+X85+1,0*$Q$34+W85+1),"+0;-0;0"),"")))</f>
        <v>+94</v>
      </c>
      <c r="AS85" t="str">
        <f>IF(V85=1,"",IF(INDEX($B$35:$M$50,($Q$32-1-0)*$Q$33+X85+1,0*$Q$34+W85+1)="","",IF(INDEX($B$35:$M$50,($Q$32-1-0)*$Q$33+X85+1,0*$Q$34+W85+1)&lt;0,TEXT(INDEX($B$35:$M$50,($Q$32-1-0)*$Q$33+X85+1,0*$Q$34+W85+1),"+0;-0;0"),"")))</f>
        <v/>
      </c>
      <c r="AT85" t="str">
        <f>IF(V85=1,"",IF(INDEX($B$35:$M$50,($Q$32-1-1)*$Q$33+X85+1,0*$Q$34+W85+1)="","",IF(INDEX($B$35:$M$50,($Q$32-1-1)*$Q$33+X85+1,0*$Q$34+W85+1)&gt;=0,TEXT(INDEX($B$35:$M$50,($Q$32-1-1)*$Q$33+X85+1,0*$Q$34+W85+1),"+0;-0;0"),"")))</f>
        <v>+26</v>
      </c>
      <c r="AU85" t="str">
        <f>IF(V85=1,"",IF(INDEX($B$35:$M$50,($Q$32-1-1)*$Q$33+X85+1,0*$Q$34+W85+1)="","",IF(INDEX($B$35:$M$50,($Q$32-1-1)*$Q$33+X85+1,0*$Q$34+W85+1)&lt;0,TEXT(INDEX($B$35:$M$50,($Q$32-1-1)*$Q$33+X85+1,0*$Q$34+W85+1),"+0;-0;0"),"")))</f>
        <v/>
      </c>
      <c r="AV85" t="str">
        <f>IF(V85=1,"",IF(INDEX($B$35:$M$50,($Q$32-1-2)*$Q$33+X85+1,0*$Q$34+W85+1)="","",IF(INDEX($B$35:$M$50,($Q$32-1-2)*$Q$33+X85+1,0*$Q$34+W85+1)&gt;=0,TEXT(INDEX($B$35:$M$50,($Q$32-1-2)*$Q$33+X85+1,0*$Q$34+W85+1),"+0;-0;0"),"")))</f>
        <v/>
      </c>
      <c r="AW85" t="str">
        <f>IF(V85=1,"",IF(INDEX($B$35:$M$50,($Q$32-1-2)*$Q$33+X85+1,0*$Q$34+W85+1)="","",IF(INDEX($B$35:$M$50,($Q$32-1-2)*$Q$33+X85+1,0*$Q$34+W85+1)&lt;0,TEXT(INDEX($B$35:$M$50,($Q$32-1-2)*$Q$33+X85+1,0*$Q$34+W85+1),"+0;-0;0"),"")))</f>
        <v>-23</v>
      </c>
      <c r="AX85" t="str">
        <f>IF(V85=1,"",IF(INDEX($B$35:$M$50,($Q$32-1-3)*$Q$33+X85+1,0*$Q$34+W85+1)="","",IF(INDEX($B$35:$M$50,($Q$32-1-3)*$Q$33+X85+1,0*$Q$34+W85+1)&gt;=0,TEXT(INDEX($B$35:$M$50,($Q$32-1-3)*$Q$33+X85+1,0*$Q$34+W85+1),"+0;-0;0"),"")))</f>
        <v/>
      </c>
      <c r="AY85" t="str">
        <f>IF(V85=1,"",IF(INDEX($B$35:$M$50,($Q$32-1-3)*$Q$33+X85+1,0*$Q$34+W85+1)="","",IF(INDEX($B$35:$M$50,($Q$32-1-3)*$Q$33+X85+1,0*$Q$34+W85+1)&lt;0,TEXT(INDEX($B$35:$M$50,($Q$32-1-3)*$Q$33+X85+1,0*$Q$34+W85+1),"+0;-0;0"),"")))</f>
        <v>-50</v>
      </c>
      <c r="BG85">
        <v>41.5</v>
      </c>
      <c r="BH85" t="e">
        <f>NA()</f>
        <v>#N/A</v>
      </c>
    </row>
    <row r="86" spans="16:60" x14ac:dyDescent="0.35">
      <c r="P86">
        <v>34</v>
      </c>
      <c r="Q86">
        <f>P86-$Q$41</f>
        <v>31</v>
      </c>
      <c r="R86">
        <f>IF(Q86&lt;=0,-1,INT((Q86-1)/($Q$39+$Q$40)))</f>
        <v>2</v>
      </c>
      <c r="S86">
        <f>IF(Q86&lt;=0,-1,MOD(Q86-1,($Q$39+$Q$40)))</f>
        <v>4</v>
      </c>
      <c r="T86">
        <f>IF(OR(S86&lt;0,S86&gt;=$Q$39),-1,INT(S86/$Q$38))</f>
        <v>4</v>
      </c>
      <c r="U86">
        <f>IF(OR(S86&lt;0,S86&gt;=$Q$39),-1,MOD(S86,$Q$38))</f>
        <v>0</v>
      </c>
      <c r="V86">
        <f>IF(OR(Q86&lt;=0,S86&lt;0,S86&gt;=$Q$39,R86&gt;=$Q$36),1,0)</f>
        <v>0</v>
      </c>
      <c r="W86">
        <f>IF(V86=1,-1,T86)</f>
        <v>4</v>
      </c>
      <c r="X86">
        <f>IF(V86=1,-1,R86)</f>
        <v>2</v>
      </c>
      <c r="Y86" t="str">
        <f>IF(V86=1,"",IF(AND(MOD(W86,3)=0,U86=INT(($Q$38-1)/2)),INDEX($B$34:$M$34,W86+1),""))</f>
        <v/>
      </c>
      <c r="Z86">
        <f>IF(V86=1,NA(),IF(INDEX($B$35:$M$50,($Q$32-1-0)*$Q$33+X86+1,0*$Q$34+W86+1)="",NA(),IF(INDEX($B$35:$M$50,($Q$32-1-0)*$Q$33+X86+1,0*$Q$34+W86+1)&gt;=0,0+(INDEX($B$35:$M$50,($Q$32-1-0)*$Q$33+X86+1,0*$Q$34+W86+1)-$Q$46)/$Q$48*$Q$42,NA())))</f>
        <v>0.54656084408003269</v>
      </c>
      <c r="AA86" t="e">
        <f>IF(V86=1,NA(),IF(INDEX($B$35:$M$50,($Q$32-1-0)*$Q$33+X86+1,0*$Q$34+W86+1)="",NA(),IF(INDEX($B$35:$M$50,($Q$32-1-0)*$Q$33+X86+1,0*$Q$34+W86+1)&lt;0,0+(INDEX($B$35:$M$50,($Q$32-1-0)*$Q$33+X86+1,0*$Q$34+W86+1)-$Q$46)/$Q$48*$Q$42,NA())))</f>
        <v>#N/A</v>
      </c>
      <c r="AB86">
        <f>IF(V86=1,NA(),IF(INDEX($B$35:$M$50,($Q$32-1-1)*$Q$33+X86+1,0*$Q$34+W86+1)="",NA(),IF(INDEX($B$35:$M$50,($Q$32-1-1)*$Q$33+X86+1,0*$Q$34+W86+1)&gt;=0,1+(INDEX($B$35:$M$50,($Q$32-1-1)*$Q$33+X86+1,0*$Q$34+W86+1)-$Q$46)/$Q$48*$Q$42,NA())))</f>
        <v>1.2803163424627528</v>
      </c>
      <c r="AC86" t="e">
        <f>IF(V86=1,NA(),IF(INDEX($B$35:$M$50,($Q$32-1-1)*$Q$33+X86+1,0*$Q$34+W86+1)="",NA(),IF(INDEX($B$35:$M$50,($Q$32-1-1)*$Q$33+X86+1,0*$Q$34+W86+1)&lt;0,1+(INDEX($B$35:$M$50,($Q$32-1-1)*$Q$33+X86+1,0*$Q$34+W86+1)-$Q$46)/$Q$48*$Q$42,NA())))</f>
        <v>#N/A</v>
      </c>
      <c r="AD86" t="e">
        <f>IF(V86=1,NA(),IF(INDEX($B$35:$M$50,($Q$32-1-2)*$Q$33+X86+1,0*$Q$34+W86+1)="",NA(),IF(INDEX($B$35:$M$50,($Q$32-1-2)*$Q$33+X86+1,0*$Q$34+W86+1)&gt;=0,2+(INDEX($B$35:$M$50,($Q$32-1-2)*$Q$33+X86+1,0*$Q$34+W86+1)-$Q$46)/$Q$48*$Q$42,NA())))</f>
        <v>#N/A</v>
      </c>
      <c r="AE86">
        <f>IF(V86=1,NA(),IF(INDEX($B$35:$M$50,($Q$32-1-2)*$Q$33+X86+1,0*$Q$34+W86+1)="",NA(),IF(INDEX($B$35:$M$50,($Q$32-1-2)*$Q$33+X86+1,0*$Q$34+W86+1)&lt;0,2+(INDEX($B$35:$M$50,($Q$32-1-2)*$Q$33+X86+1,0*$Q$34+W86+1)-$Q$46)/$Q$48*$Q$42,NA())))</f>
        <v>2.1658631732441846</v>
      </c>
      <c r="AF86" t="e">
        <f>IF(V86=1,NA(),IF(INDEX($B$35:$M$50,($Q$32-1-3)*$Q$33+X86+1,0*$Q$34+W86+1)="",NA(),IF(INDEX($B$35:$M$50,($Q$32-1-3)*$Q$33+X86+1,0*$Q$34+W86+1)&gt;=0,3+(INDEX($B$35:$M$50,($Q$32-1-3)*$Q$33+X86+1,0*$Q$34+W86+1)-$Q$46)/$Q$48*$Q$42,NA())))</f>
        <v>#N/A</v>
      </c>
      <c r="AG86">
        <f>IF(V86=1,NA(),IF(INDEX($B$35:$M$50,($Q$32-1-3)*$Q$33+X86+1,0*$Q$34+W86+1)="",NA(),IF(INDEX($B$35:$M$50,($Q$32-1-3)*$Q$33+X86+1,0*$Q$34+W86+1)&lt;0,3+(INDEX($B$35:$M$50,($Q$32-1-3)*$Q$33+X86+1,0*$Q$34+W86+1)-$Q$46)/$Q$48*$Q$42,NA())))</f>
        <v>3.1055882390372278</v>
      </c>
      <c r="AI86">
        <f>IF(V86=1,0,IF(INDEX($B$35:$M$50,($Q$32-1-0)*$Q$33+X86+1,0*$Q$34+W86+1)="",0,IF(INDEX($B$35:$M$50,($Q$32-1-0)*$Q$33+X86+1,0*$Q$34+W86+1)&gt;=0,ABS(INDEX($B$35:$M$50,($Q$32-1-0)*$Q$33+X86+1,0*$Q$34+W86+1))/$Q$48*$Q$42,0)))</f>
        <v>0.31227512979431837</v>
      </c>
      <c r="AJ86">
        <f>IF(V86=1,0,IF(INDEX($B$35:$M$50,($Q$32-1-0)*$Q$33+X86+1,0*$Q$34+W86+1)="",0,IF(INDEX($B$35:$M$50,($Q$32-1-0)*$Q$33+X86+1,0*$Q$34+W86+1)&lt;0,ABS(INDEX($B$35:$M$50,($Q$32-1-0)*$Q$33+X86+1,0*$Q$34+W86+1))/$Q$48*$Q$42,0)))</f>
        <v>0</v>
      </c>
      <c r="AK86">
        <f>IF(V86=1,0,IF(INDEX($B$35:$M$50,($Q$32-1-1)*$Q$33+X86+1,0*$Q$34+W86+1)="",0,IF(INDEX($B$35:$M$50,($Q$32-1-1)*$Q$33+X86+1,0*$Q$34+W86+1)&gt;=0,ABS(INDEX($B$35:$M$50,($Q$32-1-1)*$Q$33+X86+1,0*$Q$34+W86+1))/$Q$48*$Q$42,0)))</f>
        <v>4.6030628177038693E-2</v>
      </c>
      <c r="AL86">
        <f>IF(V86=1,0,IF(INDEX($B$35:$M$50,($Q$32-1-1)*$Q$33+X86+1,0*$Q$34+W86+1)="",0,IF(INDEX($B$35:$M$50,($Q$32-1-1)*$Q$33+X86+1,0*$Q$34+W86+1)&lt;0,ABS(INDEX($B$35:$M$50,($Q$32-1-1)*$Q$33+X86+1,0*$Q$34+W86+1))/$Q$48*$Q$42,0)))</f>
        <v>0</v>
      </c>
      <c r="AM86">
        <f>IF(V86=1,0,IF(INDEX($B$35:$M$50,($Q$32-1-2)*$Q$33+X86+1,0*$Q$34+W86+1)="",0,IF(INDEX($B$35:$M$50,($Q$32-1-2)*$Q$33+X86+1,0*$Q$34+W86+1)&gt;=0,ABS(INDEX($B$35:$M$50,($Q$32-1-2)*$Q$33+X86+1,0*$Q$34+W86+1))/$Q$48*$Q$42,0)))</f>
        <v>0</v>
      </c>
      <c r="AN86">
        <f>IF(V86=1,0,IF(INDEX($B$35:$M$50,($Q$32-1-2)*$Q$33+X86+1,0*$Q$34+W86+1)="",0,IF(INDEX($B$35:$M$50,($Q$32-1-2)*$Q$33+X86+1,0*$Q$34+W86+1)&lt;0,ABS(INDEX($B$35:$M$50,($Q$32-1-2)*$Q$33+X86+1,0*$Q$34+W86+1))/$Q$48*$Q$42,0)))</f>
        <v>6.8422541041529505E-2</v>
      </c>
      <c r="AO86">
        <f>IF(V86=1,0,IF(INDEX($B$35:$M$50,($Q$32-1-3)*$Q$33+X86+1,0*$Q$34+W86+1)="",0,IF(INDEX($B$35:$M$50,($Q$32-1-3)*$Q$33+X86+1,0*$Q$34+W86+1)&gt;=0,ABS(INDEX($B$35:$M$50,($Q$32-1-3)*$Q$33+X86+1,0*$Q$34+W86+1))/$Q$48*$Q$42,0)))</f>
        <v>0</v>
      </c>
      <c r="AP86">
        <f>IF(V86=1,0,IF(INDEX($B$35:$M$50,($Q$32-1-3)*$Q$33+X86+1,0*$Q$34+W86+1)="",0,IF(INDEX($B$35:$M$50,($Q$32-1-3)*$Q$33+X86+1,0*$Q$34+W86+1)&lt;0,ABS(INDEX($B$35:$M$50,($Q$32-1-3)*$Q$33+X86+1,0*$Q$34+W86+1))/$Q$48*$Q$42,0)))</f>
        <v>0.12869747524848638</v>
      </c>
      <c r="AR86" t="str">
        <f>IF(V86=1,"",IF(INDEX($B$35:$M$50,($Q$32-1-0)*$Q$33+X86+1,0*$Q$34+W86+1)="","",IF(INDEX($B$35:$M$50,($Q$32-1-0)*$Q$33+X86+1,0*$Q$34+W86+1)&gt;=0,TEXT(INDEX($B$35:$M$50,($Q$32-1-0)*$Q$33+X86+1,0*$Q$34+W86+1),"+0;-0;0"),"")))</f>
        <v>+133</v>
      </c>
      <c r="AS86" t="str">
        <f>IF(V86=1,"",IF(INDEX($B$35:$M$50,($Q$32-1-0)*$Q$33+X86+1,0*$Q$34+W86+1)="","",IF(INDEX($B$35:$M$50,($Q$32-1-0)*$Q$33+X86+1,0*$Q$34+W86+1)&lt;0,TEXT(INDEX($B$35:$M$50,($Q$32-1-0)*$Q$33+X86+1,0*$Q$34+W86+1),"+0;-0;0"),"")))</f>
        <v/>
      </c>
      <c r="AT86" t="str">
        <f>IF(V86=1,"",IF(INDEX($B$35:$M$50,($Q$32-1-1)*$Q$33+X86+1,0*$Q$34+W86+1)="","",IF(INDEX($B$35:$M$50,($Q$32-1-1)*$Q$33+X86+1,0*$Q$34+W86+1)&gt;=0,TEXT(INDEX($B$35:$M$50,($Q$32-1-1)*$Q$33+X86+1,0*$Q$34+W86+1),"+0;-0;0"),"")))</f>
        <v>+20</v>
      </c>
      <c r="AU86" t="str">
        <f>IF(V86=1,"",IF(INDEX($B$35:$M$50,($Q$32-1-1)*$Q$33+X86+1,0*$Q$34+W86+1)="","",IF(INDEX($B$35:$M$50,($Q$32-1-1)*$Q$33+X86+1,0*$Q$34+W86+1)&lt;0,TEXT(INDEX($B$35:$M$50,($Q$32-1-1)*$Q$33+X86+1,0*$Q$34+W86+1),"+0;-0;0"),"")))</f>
        <v/>
      </c>
      <c r="AV86" t="str">
        <f>IF(V86=1,"",IF(INDEX($B$35:$M$50,($Q$32-1-2)*$Q$33+X86+1,0*$Q$34+W86+1)="","",IF(INDEX($B$35:$M$50,($Q$32-1-2)*$Q$33+X86+1,0*$Q$34+W86+1)&gt;=0,TEXT(INDEX($B$35:$M$50,($Q$32-1-2)*$Q$33+X86+1,0*$Q$34+W86+1),"+0;-0;0"),"")))</f>
        <v/>
      </c>
      <c r="AW86" t="str">
        <f>IF(V86=1,"",IF(INDEX($B$35:$M$50,($Q$32-1-2)*$Q$33+X86+1,0*$Q$34+W86+1)="","",IF(INDEX($B$35:$M$50,($Q$32-1-2)*$Q$33+X86+1,0*$Q$34+W86+1)&lt;0,TEXT(INDEX($B$35:$M$50,($Q$32-1-2)*$Q$33+X86+1,0*$Q$34+W86+1),"+0;-0;0"),"")))</f>
        <v>-29</v>
      </c>
      <c r="AX86" t="str">
        <f>IF(V86=1,"",IF(INDEX($B$35:$M$50,($Q$32-1-3)*$Q$33+X86+1,0*$Q$34+W86+1)="","",IF(INDEX($B$35:$M$50,($Q$32-1-3)*$Q$33+X86+1,0*$Q$34+W86+1)&gt;=0,TEXT(INDEX($B$35:$M$50,($Q$32-1-3)*$Q$33+X86+1,0*$Q$34+W86+1),"+0;-0;0"),"")))</f>
        <v/>
      </c>
      <c r="AY86" t="str">
        <f>IF(V86=1,"",IF(INDEX($B$35:$M$50,($Q$32-1-3)*$Q$33+X86+1,0*$Q$34+W86+1)="","",IF(INDEX($B$35:$M$50,($Q$32-1-3)*$Q$33+X86+1,0*$Q$34+W86+1)&lt;0,TEXT(INDEX($B$35:$M$50,($Q$32-1-3)*$Q$33+X86+1,0*$Q$34+W86+1),"+0;-0;0"),"")))</f>
        <v>-55</v>
      </c>
      <c r="BG86">
        <v>42.5</v>
      </c>
      <c r="BH86">
        <f>IF(OR($Q$46&gt;0,$Q$47&lt;0),NA(),2+$Q$49)</f>
        <v>2.2342857142857144</v>
      </c>
    </row>
    <row r="87" spans="16:60" x14ac:dyDescent="0.35">
      <c r="P87">
        <v>35</v>
      </c>
      <c r="Q87">
        <f>P87-$Q$41</f>
        <v>32</v>
      </c>
      <c r="R87">
        <f>IF(Q87&lt;=0,-1,INT((Q87-1)/($Q$39+$Q$40)))</f>
        <v>2</v>
      </c>
      <c r="S87">
        <f>IF(Q87&lt;=0,-1,MOD(Q87-1,($Q$39+$Q$40)))</f>
        <v>5</v>
      </c>
      <c r="T87">
        <f>IF(OR(S87&lt;0,S87&gt;=$Q$39),-1,INT(S87/$Q$38))</f>
        <v>5</v>
      </c>
      <c r="U87">
        <f>IF(OR(S87&lt;0,S87&gt;=$Q$39),-1,MOD(S87,$Q$38))</f>
        <v>0</v>
      </c>
      <c r="V87">
        <f>IF(OR(Q87&lt;=0,S87&lt;0,S87&gt;=$Q$39,R87&gt;=$Q$36),1,0)</f>
        <v>0</v>
      </c>
      <c r="W87">
        <f>IF(V87=1,-1,T87)</f>
        <v>5</v>
      </c>
      <c r="X87">
        <f>IF(V87=1,-1,R87)</f>
        <v>2</v>
      </c>
      <c r="Y87" t="str">
        <f>IF(V87=1,"",IF(AND(MOD(W87,3)=0,U87=INT(($Q$38-1)/2)),INDEX($B$34:$M$34,W87+1),""))</f>
        <v/>
      </c>
      <c r="Z87">
        <f>IF(V87=1,NA(),IF(INDEX($B$35:$M$50,($Q$32-1-0)*$Q$33+X87+1,0*$Q$34+W87+1)="",NA(),IF(INDEX($B$35:$M$50,($Q$32-1-0)*$Q$33+X87+1,0*$Q$34+W87+1)&gt;=0,0+(INDEX($B$35:$M$50,($Q$32-1-0)*$Q$33+X87+1,0*$Q$34+W87+1)-$Q$46)/$Q$48*$Q$42,NA())))</f>
        <v>0.53700819775074138</v>
      </c>
      <c r="AA87" t="e">
        <f>IF(V87=1,NA(),IF(INDEX($B$35:$M$50,($Q$32-1-0)*$Q$33+X87+1,0*$Q$34+W87+1)="",NA(),IF(INDEX($B$35:$M$50,($Q$32-1-0)*$Q$33+X87+1,0*$Q$34+W87+1)&lt;0,0+(INDEX($B$35:$M$50,($Q$32-1-0)*$Q$33+X87+1,0*$Q$34+W87+1)-$Q$46)/$Q$48*$Q$42,NA())))</f>
        <v>#N/A</v>
      </c>
      <c r="AB87">
        <f>IF(V87=1,NA(),IF(INDEX($B$35:$M$50,($Q$32-1-1)*$Q$33+X87+1,0*$Q$34+W87+1)="",NA(),IF(INDEX($B$35:$M$50,($Q$32-1-1)*$Q$33+X87+1,0*$Q$34+W87+1)&gt;=0,1+(INDEX($B$35:$M$50,($Q$32-1-1)*$Q$33+X87+1,0*$Q$34+W87+1)-$Q$46)/$Q$48*$Q$42,NA())))</f>
        <v>1.2949114058593891</v>
      </c>
      <c r="AC87" t="e">
        <f>IF(V87=1,NA(),IF(INDEX($B$35:$M$50,($Q$32-1-1)*$Q$33+X87+1,0*$Q$34+W87+1)="",NA(),IF(INDEX($B$35:$M$50,($Q$32-1-1)*$Q$33+X87+1,0*$Q$34+W87+1)&lt;0,1+(INDEX($B$35:$M$50,($Q$32-1-1)*$Q$33+X87+1,0*$Q$34+W87+1)-$Q$46)/$Q$48*$Q$42,NA())))</f>
        <v>#N/A</v>
      </c>
      <c r="AD87" t="e">
        <f>IF(V87=1,NA(),IF(INDEX($B$35:$M$50,($Q$32-1-2)*$Q$33+X87+1,0*$Q$34+W87+1)="",NA(),IF(INDEX($B$35:$M$50,($Q$32-1-2)*$Q$33+X87+1,0*$Q$34+W87+1)&gt;=0,2+(INDEX($B$35:$M$50,($Q$32-1-2)*$Q$33+X87+1,0*$Q$34+W87+1)-$Q$46)/$Q$48*$Q$42,NA())))</f>
        <v>#N/A</v>
      </c>
      <c r="AE87">
        <f>IF(V87=1,NA(),IF(INDEX($B$35:$M$50,($Q$32-1-2)*$Q$33+X87+1,0*$Q$34+W87+1)="",NA(),IF(INDEX($B$35:$M$50,($Q$32-1-2)*$Q$33+X87+1,0*$Q$34+W87+1)&lt;0,2+(INDEX($B$35:$M$50,($Q$32-1-2)*$Q$33+X87+1,0*$Q$34+W87+1)-$Q$46)/$Q$48*$Q$42,NA())))</f>
        <v>2.1649562350365601</v>
      </c>
      <c r="AF87" t="e">
        <f>IF(V87=1,NA(),IF(INDEX($B$35:$M$50,($Q$32-1-3)*$Q$33+X87+1,0*$Q$34+W87+1)="",NA(),IF(INDEX($B$35:$M$50,($Q$32-1-3)*$Q$33+X87+1,0*$Q$34+W87+1)&gt;=0,3+(INDEX($B$35:$M$50,($Q$32-1-3)*$Q$33+X87+1,0*$Q$34+W87+1)-$Q$46)/$Q$48*$Q$42,NA())))</f>
        <v>#N/A</v>
      </c>
      <c r="AG87">
        <f>IF(V87=1,NA(),IF(INDEX($B$35:$M$50,($Q$32-1-3)*$Q$33+X87+1,0*$Q$34+W87+1)="",NA(),IF(INDEX($B$35:$M$50,($Q$32-1-3)*$Q$33+X87+1,0*$Q$34+W87+1)&lt;0,3+(INDEX($B$35:$M$50,($Q$32-1-3)*$Q$33+X87+1,0*$Q$34+W87+1)-$Q$46)/$Q$48*$Q$42,NA())))</f>
        <v>3.1076048977627715</v>
      </c>
      <c r="AI87">
        <f>IF(V87=1,0,IF(INDEX($B$35:$M$50,($Q$32-1-0)*$Q$33+X87+1,0*$Q$34+W87+1)="",0,IF(INDEX($B$35:$M$50,($Q$32-1-0)*$Q$33+X87+1,0*$Q$34+W87+1)&gt;=0,ABS(INDEX($B$35:$M$50,($Q$32-1-0)*$Q$33+X87+1,0*$Q$34+W87+1))/$Q$48*$Q$42,0)))</f>
        <v>0.30272248346502706</v>
      </c>
      <c r="AJ87">
        <f>IF(V87=1,0,IF(INDEX($B$35:$M$50,($Q$32-1-0)*$Q$33+X87+1,0*$Q$34+W87+1)="",0,IF(INDEX($B$35:$M$50,($Q$32-1-0)*$Q$33+X87+1,0*$Q$34+W87+1)&lt;0,ABS(INDEX($B$35:$M$50,($Q$32-1-0)*$Q$33+X87+1,0*$Q$34+W87+1))/$Q$48*$Q$42,0)))</f>
        <v>0</v>
      </c>
      <c r="AK87">
        <f>IF(V87=1,0,IF(INDEX($B$35:$M$50,($Q$32-1-1)*$Q$33+X87+1,0*$Q$34+W87+1)="",0,IF(INDEX($B$35:$M$50,($Q$32-1-1)*$Q$33+X87+1,0*$Q$34+W87+1)&gt;=0,ABS(INDEX($B$35:$M$50,($Q$32-1-1)*$Q$33+X87+1,0*$Q$34+W87+1))/$Q$48*$Q$42,0)))</f>
        <v>6.0625691573674728E-2</v>
      </c>
      <c r="AL87">
        <f>IF(V87=1,0,IF(INDEX($B$35:$M$50,($Q$32-1-1)*$Q$33+X87+1,0*$Q$34+W87+1)="",0,IF(INDEX($B$35:$M$50,($Q$32-1-1)*$Q$33+X87+1,0*$Q$34+W87+1)&lt;0,ABS(INDEX($B$35:$M$50,($Q$32-1-1)*$Q$33+X87+1,0*$Q$34+W87+1))/$Q$48*$Q$42,0)))</f>
        <v>0</v>
      </c>
      <c r="AM87">
        <f>IF(V87=1,0,IF(INDEX($B$35:$M$50,($Q$32-1-2)*$Q$33+X87+1,0*$Q$34+W87+1)="",0,IF(INDEX($B$35:$M$50,($Q$32-1-2)*$Q$33+X87+1,0*$Q$34+W87+1)&gt;=0,ABS(INDEX($B$35:$M$50,($Q$32-1-2)*$Q$33+X87+1,0*$Q$34+W87+1))/$Q$48*$Q$42,0)))</f>
        <v>0</v>
      </c>
      <c r="AN87">
        <f>IF(V87=1,0,IF(INDEX($B$35:$M$50,($Q$32-1-2)*$Q$33+X87+1,0*$Q$34+W87+1)="",0,IF(INDEX($B$35:$M$50,($Q$32-1-2)*$Q$33+X87+1,0*$Q$34+W87+1)&lt;0,ABS(INDEX($B$35:$M$50,($Q$32-1-2)*$Q$33+X87+1,0*$Q$34+W87+1))/$Q$48*$Q$42,0)))</f>
        <v>6.9329479249154211E-2</v>
      </c>
      <c r="AO87">
        <f>IF(V87=1,0,IF(INDEX($B$35:$M$50,($Q$32-1-3)*$Q$33+X87+1,0*$Q$34+W87+1)="",0,IF(INDEX($B$35:$M$50,($Q$32-1-3)*$Q$33+X87+1,0*$Q$34+W87+1)&gt;=0,ABS(INDEX($B$35:$M$50,($Q$32-1-3)*$Q$33+X87+1,0*$Q$34+W87+1))/$Q$48*$Q$42,0)))</f>
        <v>0</v>
      </c>
      <c r="AP87">
        <f>IF(V87=1,0,IF(INDEX($B$35:$M$50,($Q$32-1-3)*$Q$33+X87+1,0*$Q$34+W87+1)="",0,IF(INDEX($B$35:$M$50,($Q$32-1-3)*$Q$33+X87+1,0*$Q$34+W87+1)&lt;0,ABS(INDEX($B$35:$M$50,($Q$32-1-3)*$Q$33+X87+1,0*$Q$34+W87+1))/$Q$48*$Q$42,0)))</f>
        <v>0.12668081652294272</v>
      </c>
      <c r="AR87" t="str">
        <f>IF(V87=1,"",IF(INDEX($B$35:$M$50,($Q$32-1-0)*$Q$33+X87+1,0*$Q$34+W87+1)="","",IF(INDEX($B$35:$M$50,($Q$32-1-0)*$Q$33+X87+1,0*$Q$34+W87+1)&gt;=0,TEXT(INDEX($B$35:$M$50,($Q$32-1-0)*$Q$33+X87+1,0*$Q$34+W87+1),"+0;-0;0"),"")))</f>
        <v>+129</v>
      </c>
      <c r="AS87" t="str">
        <f>IF(V87=1,"",IF(INDEX($B$35:$M$50,($Q$32-1-0)*$Q$33+X87+1,0*$Q$34+W87+1)="","",IF(INDEX($B$35:$M$50,($Q$32-1-0)*$Q$33+X87+1,0*$Q$34+W87+1)&lt;0,TEXT(INDEX($B$35:$M$50,($Q$32-1-0)*$Q$33+X87+1,0*$Q$34+W87+1),"+0;-0;0"),"")))</f>
        <v/>
      </c>
      <c r="AT87" t="str">
        <f>IF(V87=1,"",IF(INDEX($B$35:$M$50,($Q$32-1-1)*$Q$33+X87+1,0*$Q$34+W87+1)="","",IF(INDEX($B$35:$M$50,($Q$32-1-1)*$Q$33+X87+1,0*$Q$34+W87+1)&gt;=0,TEXT(INDEX($B$35:$M$50,($Q$32-1-1)*$Q$33+X87+1,0*$Q$34+W87+1),"+0;-0;0"),"")))</f>
        <v>+26</v>
      </c>
      <c r="AU87" t="str">
        <f>IF(V87=1,"",IF(INDEX($B$35:$M$50,($Q$32-1-1)*$Q$33+X87+1,0*$Q$34+W87+1)="","",IF(INDEX($B$35:$M$50,($Q$32-1-1)*$Q$33+X87+1,0*$Q$34+W87+1)&lt;0,TEXT(INDEX($B$35:$M$50,($Q$32-1-1)*$Q$33+X87+1,0*$Q$34+W87+1),"+0;-0;0"),"")))</f>
        <v/>
      </c>
      <c r="AV87" t="str">
        <f>IF(V87=1,"",IF(INDEX($B$35:$M$50,($Q$32-1-2)*$Q$33+X87+1,0*$Q$34+W87+1)="","",IF(INDEX($B$35:$M$50,($Q$32-1-2)*$Q$33+X87+1,0*$Q$34+W87+1)&gt;=0,TEXT(INDEX($B$35:$M$50,($Q$32-1-2)*$Q$33+X87+1,0*$Q$34+W87+1),"+0;-0;0"),"")))</f>
        <v/>
      </c>
      <c r="AW87" t="str">
        <f>IF(V87=1,"",IF(INDEX($B$35:$M$50,($Q$32-1-2)*$Q$33+X87+1,0*$Q$34+W87+1)="","",IF(INDEX($B$35:$M$50,($Q$32-1-2)*$Q$33+X87+1,0*$Q$34+W87+1)&lt;0,TEXT(INDEX($B$35:$M$50,($Q$32-1-2)*$Q$33+X87+1,0*$Q$34+W87+1),"+0;-0;0"),"")))</f>
        <v>-30</v>
      </c>
      <c r="AX87" t="str">
        <f>IF(V87=1,"",IF(INDEX($B$35:$M$50,($Q$32-1-3)*$Q$33+X87+1,0*$Q$34+W87+1)="","",IF(INDEX($B$35:$M$50,($Q$32-1-3)*$Q$33+X87+1,0*$Q$34+W87+1)&gt;=0,TEXT(INDEX($B$35:$M$50,($Q$32-1-3)*$Q$33+X87+1,0*$Q$34+W87+1),"+0;-0;0"),"")))</f>
        <v/>
      </c>
      <c r="AY87" t="str">
        <f>IF(V87=1,"",IF(INDEX($B$35:$M$50,($Q$32-1-3)*$Q$33+X87+1,0*$Q$34+W87+1)="","",IF(INDEX($B$35:$M$50,($Q$32-1-3)*$Q$33+X87+1,0*$Q$34+W87+1)&lt;0,TEXT(INDEX($B$35:$M$50,($Q$32-1-3)*$Q$33+X87+1,0*$Q$34+W87+1),"+0;-0;0"),"")))</f>
        <v>-54</v>
      </c>
      <c r="BG87">
        <v>54.5</v>
      </c>
      <c r="BH87">
        <f>IF(OR($Q$46&gt;0,$Q$47&lt;0),NA(),2+$Q$49)</f>
        <v>2.2342857142857144</v>
      </c>
    </row>
    <row r="88" spans="16:60" x14ac:dyDescent="0.35">
      <c r="P88">
        <v>36</v>
      </c>
      <c r="Q88">
        <f>P88-$Q$41</f>
        <v>33</v>
      </c>
      <c r="R88">
        <f>IF(Q88&lt;=0,-1,INT((Q88-1)/($Q$39+$Q$40)))</f>
        <v>2</v>
      </c>
      <c r="S88">
        <f>IF(Q88&lt;=0,-1,MOD(Q88-1,($Q$39+$Q$40)))</f>
        <v>6</v>
      </c>
      <c r="T88">
        <f>IF(OR(S88&lt;0,S88&gt;=$Q$39),-1,INT(S88/$Q$38))</f>
        <v>6</v>
      </c>
      <c r="U88">
        <f>IF(OR(S88&lt;0,S88&gt;=$Q$39),-1,MOD(S88,$Q$38))</f>
        <v>0</v>
      </c>
      <c r="V88">
        <f>IF(OR(Q88&lt;=0,S88&lt;0,S88&gt;=$Q$39,R88&gt;=$Q$36),1,0)</f>
        <v>0</v>
      </c>
      <c r="W88">
        <f>IF(V88=1,-1,T88)</f>
        <v>6</v>
      </c>
      <c r="X88">
        <f>IF(V88=1,-1,R88)</f>
        <v>2</v>
      </c>
      <c r="Y88" t="str">
        <f>IF(V88=1,"",IF(AND(MOD(W88,3)=0,U88=INT(($Q$38-1)/2)),INDEX($B$34:$M$34,W88+1),""))</f>
        <v>Jul</v>
      </c>
      <c r="Z88">
        <f>IF(V88=1,NA(),IF(INDEX($B$35:$M$50,($Q$32-1-0)*$Q$33+X88+1,0*$Q$34+W88+1)="",NA(),IF(INDEX($B$35:$M$50,($Q$32-1-0)*$Q$33+X88+1,0*$Q$34+W88+1)&gt;=0,0+(INDEX($B$35:$M$50,($Q$32-1-0)*$Q$33+X88+1,0*$Q$34+W88+1)-$Q$46)/$Q$48*$Q$42,NA())))</f>
        <v>0.46251726092010459</v>
      </c>
      <c r="AA88" t="e">
        <f>IF(V88=1,NA(),IF(INDEX($B$35:$M$50,($Q$32-1-0)*$Q$33+X88+1,0*$Q$34+W88+1)="",NA(),IF(INDEX($B$35:$M$50,($Q$32-1-0)*$Q$33+X88+1,0*$Q$34+W88+1)&lt;0,0+(INDEX($B$35:$M$50,($Q$32-1-0)*$Q$33+X88+1,0*$Q$34+W88+1)-$Q$46)/$Q$48*$Q$42,NA())))</f>
        <v>#N/A</v>
      </c>
      <c r="AB88">
        <f>IF(V88=1,NA(),IF(INDEX($B$35:$M$50,($Q$32-1-1)*$Q$33+X88+1,0*$Q$34+W88+1)="",NA(),IF(INDEX($B$35:$M$50,($Q$32-1-1)*$Q$33+X88+1,0*$Q$34+W88+1)&gt;=0,1+(INDEX($B$35:$M$50,($Q$32-1-1)*$Q$33+X88+1,0*$Q$34+W88+1)-$Q$46)/$Q$48*$Q$42,NA())))</f>
        <v>1.298312819158842</v>
      </c>
      <c r="AC88" t="e">
        <f>IF(V88=1,NA(),IF(INDEX($B$35:$M$50,($Q$32-1-1)*$Q$33+X88+1,0*$Q$34+W88+1)="",NA(),IF(INDEX($B$35:$M$50,($Q$32-1-1)*$Q$33+X88+1,0*$Q$34+W88+1)&lt;0,1+(INDEX($B$35:$M$50,($Q$32-1-1)*$Q$33+X88+1,0*$Q$34+W88+1)-$Q$46)/$Q$48*$Q$42,NA())))</f>
        <v>#N/A</v>
      </c>
      <c r="AD88" t="e">
        <f>IF(V88=1,NA(),IF(INDEX($B$35:$M$50,($Q$32-1-2)*$Q$33+X88+1,0*$Q$34+W88+1)="",NA(),IF(INDEX($B$35:$M$50,($Q$32-1-2)*$Q$33+X88+1,0*$Q$34+W88+1)&gt;=0,2+(INDEX($B$35:$M$50,($Q$32-1-2)*$Q$33+X88+1,0*$Q$34+W88+1)-$Q$46)/$Q$48*$Q$42,NA())))</f>
        <v>#N/A</v>
      </c>
      <c r="AE88">
        <f>IF(V88=1,NA(),IF(INDEX($B$35:$M$50,($Q$32-1-2)*$Q$33+X88+1,0*$Q$34+W88+1)="",NA(),IF(INDEX($B$35:$M$50,($Q$32-1-2)*$Q$33+X88+1,0*$Q$34+W88+1)&lt;0,2+(INDEX($B$35:$M$50,($Q$32-1-2)*$Q$33+X88+1,0*$Q$34+W88+1)-$Q$46)/$Q$48*$Q$42,NA())))</f>
        <v>2.1775287664240168</v>
      </c>
      <c r="AF88" t="e">
        <f>IF(V88=1,NA(),IF(INDEX($B$35:$M$50,($Q$32-1-3)*$Q$33+X88+1,0*$Q$34+W88+1)="",NA(),IF(INDEX($B$35:$M$50,($Q$32-1-3)*$Q$33+X88+1,0*$Q$34+W88+1)&gt;=0,3+(INDEX($B$35:$M$50,($Q$32-1-3)*$Q$33+X88+1,0*$Q$34+W88+1)-$Q$46)/$Q$48*$Q$42,NA())))</f>
        <v>#N/A</v>
      </c>
      <c r="AG88">
        <f>IF(V88=1,NA(),IF(INDEX($B$35:$M$50,($Q$32-1-3)*$Q$33+X88+1,0*$Q$34+W88+1)="",NA(),IF(INDEX($B$35:$M$50,($Q$32-1-3)*$Q$33+X88+1,0*$Q$34+W88+1)&lt;0,3+(INDEX($B$35:$M$50,($Q$32-1-3)*$Q$33+X88+1,0*$Q$34+W88+1)-$Q$46)/$Q$48*$Q$42,NA())))</f>
        <v>3.1135287515042944</v>
      </c>
      <c r="AI88">
        <f>IF(V88=1,0,IF(INDEX($B$35:$M$50,($Q$32-1-0)*$Q$33+X88+1,0*$Q$34+W88+1)="",0,IF(INDEX($B$35:$M$50,($Q$32-1-0)*$Q$33+X88+1,0*$Q$34+W88+1)&gt;=0,ABS(INDEX($B$35:$M$50,($Q$32-1-0)*$Q$33+X88+1,0*$Q$34+W88+1))/$Q$48*$Q$42,0)))</f>
        <v>0.22823154663439035</v>
      </c>
      <c r="AJ88">
        <f>IF(V88=1,0,IF(INDEX($B$35:$M$50,($Q$32-1-0)*$Q$33+X88+1,0*$Q$34+W88+1)="",0,IF(INDEX($B$35:$M$50,($Q$32-1-0)*$Q$33+X88+1,0*$Q$34+W88+1)&lt;0,ABS(INDEX($B$35:$M$50,($Q$32-1-0)*$Q$33+X88+1,0*$Q$34+W88+1))/$Q$48*$Q$42,0)))</f>
        <v>0</v>
      </c>
      <c r="AK88">
        <f>IF(V88=1,0,IF(INDEX($B$35:$M$50,($Q$32-1-1)*$Q$33+X88+1,0*$Q$34+W88+1)="",0,IF(INDEX($B$35:$M$50,($Q$32-1-1)*$Q$33+X88+1,0*$Q$34+W88+1)&gt;=0,ABS(INDEX($B$35:$M$50,($Q$32-1-1)*$Q$33+X88+1,0*$Q$34+W88+1))/$Q$48*$Q$42,0)))</f>
        <v>6.4027104873127766E-2</v>
      </c>
      <c r="AL88">
        <f>IF(V88=1,0,IF(INDEX($B$35:$M$50,($Q$32-1-1)*$Q$33+X88+1,0*$Q$34+W88+1)="",0,IF(INDEX($B$35:$M$50,($Q$32-1-1)*$Q$33+X88+1,0*$Q$34+W88+1)&lt;0,ABS(INDEX($B$35:$M$50,($Q$32-1-1)*$Q$33+X88+1,0*$Q$34+W88+1))/$Q$48*$Q$42,0)))</f>
        <v>0</v>
      </c>
      <c r="AM88">
        <f>IF(V88=1,0,IF(INDEX($B$35:$M$50,($Q$32-1-2)*$Q$33+X88+1,0*$Q$34+W88+1)="",0,IF(INDEX($B$35:$M$50,($Q$32-1-2)*$Q$33+X88+1,0*$Q$34+W88+1)&gt;=0,ABS(INDEX($B$35:$M$50,($Q$32-1-2)*$Q$33+X88+1,0*$Q$34+W88+1))/$Q$48*$Q$42,0)))</f>
        <v>0</v>
      </c>
      <c r="AN88">
        <f>IF(V88=1,0,IF(INDEX($B$35:$M$50,($Q$32-1-2)*$Q$33+X88+1,0*$Q$34+W88+1)="",0,IF(INDEX($B$35:$M$50,($Q$32-1-2)*$Q$33+X88+1,0*$Q$34+W88+1)&lt;0,ABS(INDEX($B$35:$M$50,($Q$32-1-2)*$Q$33+X88+1,0*$Q$34+W88+1))/$Q$48*$Q$42,0)))</f>
        <v>5.6756947861697375E-2</v>
      </c>
      <c r="AO88">
        <f>IF(V88=1,0,IF(INDEX($B$35:$M$50,($Q$32-1-3)*$Q$33+X88+1,0*$Q$34+W88+1)="",0,IF(INDEX($B$35:$M$50,($Q$32-1-3)*$Q$33+X88+1,0*$Q$34+W88+1)&gt;=0,ABS(INDEX($B$35:$M$50,($Q$32-1-3)*$Q$33+X88+1,0*$Q$34+W88+1))/$Q$48*$Q$42,0)))</f>
        <v>0</v>
      </c>
      <c r="AP88">
        <f>IF(V88=1,0,IF(INDEX($B$35:$M$50,($Q$32-1-3)*$Q$33+X88+1,0*$Q$34+W88+1)="",0,IF(INDEX($B$35:$M$50,($Q$32-1-3)*$Q$33+X88+1,0*$Q$34+W88+1)&lt;0,ABS(INDEX($B$35:$M$50,($Q$32-1-3)*$Q$33+X88+1,0*$Q$34+W88+1))/$Q$48*$Q$42,0)))</f>
        <v>0.12075696278141992</v>
      </c>
      <c r="AR88" t="str">
        <f>IF(V88=1,"",IF(INDEX($B$35:$M$50,($Q$32-1-0)*$Q$33+X88+1,0*$Q$34+W88+1)="","",IF(INDEX($B$35:$M$50,($Q$32-1-0)*$Q$33+X88+1,0*$Q$34+W88+1)&gt;=0,TEXT(INDEX($B$35:$M$50,($Q$32-1-0)*$Q$33+X88+1,0*$Q$34+W88+1),"+0;-0;0"),"")))</f>
        <v>+97</v>
      </c>
      <c r="AS88" t="str">
        <f>IF(V88=1,"",IF(INDEX($B$35:$M$50,($Q$32-1-0)*$Q$33+X88+1,0*$Q$34+W88+1)="","",IF(INDEX($B$35:$M$50,($Q$32-1-0)*$Q$33+X88+1,0*$Q$34+W88+1)&lt;0,TEXT(INDEX($B$35:$M$50,($Q$32-1-0)*$Q$33+X88+1,0*$Q$34+W88+1),"+0;-0;0"),"")))</f>
        <v/>
      </c>
      <c r="AT88" t="str">
        <f>IF(V88=1,"",IF(INDEX($B$35:$M$50,($Q$32-1-1)*$Q$33+X88+1,0*$Q$34+W88+1)="","",IF(INDEX($B$35:$M$50,($Q$32-1-1)*$Q$33+X88+1,0*$Q$34+W88+1)&gt;=0,TEXT(INDEX($B$35:$M$50,($Q$32-1-1)*$Q$33+X88+1,0*$Q$34+W88+1),"+0;-0;0"),"")))</f>
        <v>+27</v>
      </c>
      <c r="AU88" t="str">
        <f>IF(V88=1,"",IF(INDEX($B$35:$M$50,($Q$32-1-1)*$Q$33+X88+1,0*$Q$34+W88+1)="","",IF(INDEX($B$35:$M$50,($Q$32-1-1)*$Q$33+X88+1,0*$Q$34+W88+1)&lt;0,TEXT(INDEX($B$35:$M$50,($Q$32-1-1)*$Q$33+X88+1,0*$Q$34+W88+1),"+0;-0;0"),"")))</f>
        <v/>
      </c>
      <c r="AV88" t="str">
        <f>IF(V88=1,"",IF(INDEX($B$35:$M$50,($Q$32-1-2)*$Q$33+X88+1,0*$Q$34+W88+1)="","",IF(INDEX($B$35:$M$50,($Q$32-1-2)*$Q$33+X88+1,0*$Q$34+W88+1)&gt;=0,TEXT(INDEX($B$35:$M$50,($Q$32-1-2)*$Q$33+X88+1,0*$Q$34+W88+1),"+0;-0;0"),"")))</f>
        <v/>
      </c>
      <c r="AW88" t="str">
        <f>IF(V88=1,"",IF(INDEX($B$35:$M$50,($Q$32-1-2)*$Q$33+X88+1,0*$Q$34+W88+1)="","",IF(INDEX($B$35:$M$50,($Q$32-1-2)*$Q$33+X88+1,0*$Q$34+W88+1)&lt;0,TEXT(INDEX($B$35:$M$50,($Q$32-1-2)*$Q$33+X88+1,0*$Q$34+W88+1),"+0;-0;0"),"")))</f>
        <v>-24</v>
      </c>
      <c r="AX88" t="str">
        <f>IF(V88=1,"",IF(INDEX($B$35:$M$50,($Q$32-1-3)*$Q$33+X88+1,0*$Q$34+W88+1)="","",IF(INDEX($B$35:$M$50,($Q$32-1-3)*$Q$33+X88+1,0*$Q$34+W88+1)&gt;=0,TEXT(INDEX($B$35:$M$50,($Q$32-1-3)*$Q$33+X88+1,0*$Q$34+W88+1),"+0;-0;0"),"")))</f>
        <v/>
      </c>
      <c r="AY88" t="str">
        <f>IF(V88=1,"",IF(INDEX($B$35:$M$50,($Q$32-1-3)*$Q$33+X88+1,0*$Q$34+W88+1)="","",IF(INDEX($B$35:$M$50,($Q$32-1-3)*$Q$33+X88+1,0*$Q$34+W88+1)&lt;0,TEXT(INDEX($B$35:$M$50,($Q$32-1-3)*$Q$33+X88+1,0*$Q$34+W88+1),"+0;-0;0"),"")))</f>
        <v>-52</v>
      </c>
      <c r="BG88">
        <v>54.5</v>
      </c>
      <c r="BH88" t="e">
        <f>NA()</f>
        <v>#N/A</v>
      </c>
    </row>
    <row r="89" spans="16:60" x14ac:dyDescent="0.35">
      <c r="P89">
        <v>37</v>
      </c>
      <c r="Q89">
        <f>P89-$Q$41</f>
        <v>34</v>
      </c>
      <c r="R89">
        <f>IF(Q89&lt;=0,-1,INT((Q89-1)/($Q$39+$Q$40)))</f>
        <v>2</v>
      </c>
      <c r="S89">
        <f>IF(Q89&lt;=0,-1,MOD(Q89-1,($Q$39+$Q$40)))</f>
        <v>7</v>
      </c>
      <c r="T89">
        <f>IF(OR(S89&lt;0,S89&gt;=$Q$39),-1,INT(S89/$Q$38))</f>
        <v>7</v>
      </c>
      <c r="U89">
        <f>IF(OR(S89&lt;0,S89&gt;=$Q$39),-1,MOD(S89,$Q$38))</f>
        <v>0</v>
      </c>
      <c r="V89">
        <f>IF(OR(Q89&lt;=0,S89&lt;0,S89&gt;=$Q$39,R89&gt;=$Q$36),1,0)</f>
        <v>0</v>
      </c>
      <c r="W89">
        <f>IF(V89=1,-1,T89)</f>
        <v>7</v>
      </c>
      <c r="X89">
        <f>IF(V89=1,-1,R89)</f>
        <v>2</v>
      </c>
      <c r="Y89" t="str">
        <f>IF(V89=1,"",IF(AND(MOD(W89,3)=0,U89=INT(($Q$38-1)/2)),INDEX($B$34:$M$34,W89+1),""))</f>
        <v/>
      </c>
      <c r="Z89">
        <f>IF(V89=1,NA(),IF(INDEX($B$35:$M$50,($Q$32-1-0)*$Q$33+X89+1,0*$Q$34+W89+1)="",NA(),IF(INDEX($B$35:$M$50,($Q$32-1-0)*$Q$33+X89+1,0*$Q$34+W89+1)&gt;=0,0+(INDEX($B$35:$M$50,($Q$32-1-0)*$Q$33+X89+1,0*$Q$34+W89+1)-$Q$46)/$Q$48*$Q$42,NA())))</f>
        <v>0.54369539495538266</v>
      </c>
      <c r="AA89" t="e">
        <f>IF(V89=1,NA(),IF(INDEX($B$35:$M$50,($Q$32-1-0)*$Q$33+X89+1,0*$Q$34+W89+1)="",NA(),IF(INDEX($B$35:$M$50,($Q$32-1-0)*$Q$33+X89+1,0*$Q$34+W89+1)&lt;0,0+(INDEX($B$35:$M$50,($Q$32-1-0)*$Q$33+X89+1,0*$Q$34+W89+1)-$Q$46)/$Q$48*$Q$42,NA())))</f>
        <v>#N/A</v>
      </c>
      <c r="AB89">
        <f>IF(V89=1,NA(),IF(INDEX($B$35:$M$50,($Q$32-1-1)*$Q$33+X89+1,0*$Q$34+W89+1)="",NA(),IF(INDEX($B$35:$M$50,($Q$32-1-1)*$Q$33+X89+1,0*$Q$34+W89+1)&gt;=0,1+(INDEX($B$35:$M$50,($Q$32-1-1)*$Q$33+X89+1,0*$Q$34+W89+1)-$Q$46)/$Q$48*$Q$42,NA())))</f>
        <v>1.2938553149370604</v>
      </c>
      <c r="AC89" t="e">
        <f>IF(V89=1,NA(),IF(INDEX($B$35:$M$50,($Q$32-1-1)*$Q$33+X89+1,0*$Q$34+W89+1)="",NA(),IF(INDEX($B$35:$M$50,($Q$32-1-1)*$Q$33+X89+1,0*$Q$34+W89+1)&lt;0,1+(INDEX($B$35:$M$50,($Q$32-1-1)*$Q$33+X89+1,0*$Q$34+W89+1)-$Q$46)/$Q$48*$Q$42,NA())))</f>
        <v>#N/A</v>
      </c>
      <c r="AD89" t="e">
        <f>IF(V89=1,NA(),IF(INDEX($B$35:$M$50,($Q$32-1-2)*$Q$33+X89+1,0*$Q$34+W89+1)="",NA(),IF(INDEX($B$35:$M$50,($Q$32-1-2)*$Q$33+X89+1,0*$Q$34+W89+1)&gt;=0,2+(INDEX($B$35:$M$50,($Q$32-1-2)*$Q$33+X89+1,0*$Q$34+W89+1)-$Q$46)/$Q$48*$Q$42,NA())))</f>
        <v>#N/A</v>
      </c>
      <c r="AE89">
        <f>IF(V89=1,NA(),IF(INDEX($B$35:$M$50,($Q$32-1-2)*$Q$33+X89+1,0*$Q$34+W89+1)="",NA(),IF(INDEX($B$35:$M$50,($Q$32-1-2)*$Q$33+X89+1,0*$Q$34+W89+1)&lt;0,2+(INDEX($B$35:$M$50,($Q$32-1-2)*$Q$33+X89+1,0*$Q$34+W89+1)-$Q$46)/$Q$48*$Q$42,NA())))</f>
        <v>2.1670434052732763</v>
      </c>
      <c r="AF89" t="e">
        <f>IF(V89=1,NA(),IF(INDEX($B$35:$M$50,($Q$32-1-3)*$Q$33+X89+1,0*$Q$34+W89+1)="",NA(),IF(INDEX($B$35:$M$50,($Q$32-1-3)*$Q$33+X89+1,0*$Q$34+W89+1)&gt;=0,3+(INDEX($B$35:$M$50,($Q$32-1-3)*$Q$33+X89+1,0*$Q$34+W89+1)-$Q$46)/$Q$48*$Q$42,NA())))</f>
        <v>#N/A</v>
      </c>
      <c r="AG89">
        <f>IF(V89=1,NA(),IF(INDEX($B$35:$M$50,($Q$32-1-3)*$Q$33+X89+1,0*$Q$34+W89+1)="",NA(),IF(INDEX($B$35:$M$50,($Q$32-1-3)*$Q$33+X89+1,0*$Q$34+W89+1)&lt;0,3+(INDEX($B$35:$M$50,($Q$32-1-3)*$Q$33+X89+1,0*$Q$34+W89+1)-$Q$46)/$Q$48*$Q$42,NA())))</f>
        <v>3.103324026925748</v>
      </c>
      <c r="AI89">
        <f>IF(V89=1,0,IF(INDEX($B$35:$M$50,($Q$32-1-0)*$Q$33+X89+1,0*$Q$34+W89+1)="",0,IF(INDEX($B$35:$M$50,($Q$32-1-0)*$Q$33+X89+1,0*$Q$34+W89+1)&gt;=0,ABS(INDEX($B$35:$M$50,($Q$32-1-0)*$Q$33+X89+1,0*$Q$34+W89+1))/$Q$48*$Q$42,0)))</f>
        <v>0.30940968066966834</v>
      </c>
      <c r="AJ89">
        <f>IF(V89=1,0,IF(INDEX($B$35:$M$50,($Q$32-1-0)*$Q$33+X89+1,0*$Q$34+W89+1)="",0,IF(INDEX($B$35:$M$50,($Q$32-1-0)*$Q$33+X89+1,0*$Q$34+W89+1)&lt;0,ABS(INDEX($B$35:$M$50,($Q$32-1-0)*$Q$33+X89+1,0*$Q$34+W89+1))/$Q$48*$Q$42,0)))</f>
        <v>0</v>
      </c>
      <c r="AK89">
        <f>IF(V89=1,0,IF(INDEX($B$35:$M$50,($Q$32-1-1)*$Q$33+X89+1,0*$Q$34+W89+1)="",0,IF(INDEX($B$35:$M$50,($Q$32-1-1)*$Q$33+X89+1,0*$Q$34+W89+1)&gt;=0,ABS(INDEX($B$35:$M$50,($Q$32-1-1)*$Q$33+X89+1,0*$Q$34+W89+1))/$Q$48*$Q$42,0)))</f>
        <v>5.9569600651346213E-2</v>
      </c>
      <c r="AL89">
        <f>IF(V89=1,0,IF(INDEX($B$35:$M$50,($Q$32-1-1)*$Q$33+X89+1,0*$Q$34+W89+1)="",0,IF(INDEX($B$35:$M$50,($Q$32-1-1)*$Q$33+X89+1,0*$Q$34+W89+1)&lt;0,ABS(INDEX($B$35:$M$50,($Q$32-1-1)*$Q$33+X89+1,0*$Q$34+W89+1))/$Q$48*$Q$42,0)))</f>
        <v>0</v>
      </c>
      <c r="AM89">
        <f>IF(V89=1,0,IF(INDEX($B$35:$M$50,($Q$32-1-2)*$Q$33+X89+1,0*$Q$34+W89+1)="",0,IF(INDEX($B$35:$M$50,($Q$32-1-2)*$Q$33+X89+1,0*$Q$34+W89+1)&gt;=0,ABS(INDEX($B$35:$M$50,($Q$32-1-2)*$Q$33+X89+1,0*$Q$34+W89+1))/$Q$48*$Q$42,0)))</f>
        <v>0</v>
      </c>
      <c r="AN89">
        <f>IF(V89=1,0,IF(INDEX($B$35:$M$50,($Q$32-1-2)*$Q$33+X89+1,0*$Q$34+W89+1)="",0,IF(INDEX($B$35:$M$50,($Q$32-1-2)*$Q$33+X89+1,0*$Q$34+W89+1)&lt;0,ABS(INDEX($B$35:$M$50,($Q$32-1-2)*$Q$33+X89+1,0*$Q$34+W89+1))/$Q$48*$Q$42,0)))</f>
        <v>6.7242309012438065E-2</v>
      </c>
      <c r="AO89">
        <f>IF(V89=1,0,IF(INDEX($B$35:$M$50,($Q$32-1-3)*$Q$33+X89+1,0*$Q$34+W89+1)="",0,IF(INDEX($B$35:$M$50,($Q$32-1-3)*$Q$33+X89+1,0*$Q$34+W89+1)&gt;=0,ABS(INDEX($B$35:$M$50,($Q$32-1-3)*$Q$33+X89+1,0*$Q$34+W89+1))/$Q$48*$Q$42,0)))</f>
        <v>0</v>
      </c>
      <c r="AP89">
        <f>IF(V89=1,0,IF(INDEX($B$35:$M$50,($Q$32-1-3)*$Q$33+X89+1,0*$Q$34+W89+1)="",0,IF(INDEX($B$35:$M$50,($Q$32-1-3)*$Q$33+X89+1,0*$Q$34+W89+1)&lt;0,ABS(INDEX($B$35:$M$50,($Q$32-1-3)*$Q$33+X89+1,0*$Q$34+W89+1))/$Q$48*$Q$42,0)))</f>
        <v>0.13096168735996638</v>
      </c>
      <c r="AR89" t="str">
        <f>IF(V89=1,"",IF(INDEX($B$35:$M$50,($Q$32-1-0)*$Q$33+X89+1,0*$Q$34+W89+1)="","",IF(INDEX($B$35:$M$50,($Q$32-1-0)*$Q$33+X89+1,0*$Q$34+W89+1)&gt;=0,TEXT(INDEX($B$35:$M$50,($Q$32-1-0)*$Q$33+X89+1,0*$Q$34+W89+1),"+0;-0;0"),"")))</f>
        <v>+132</v>
      </c>
      <c r="AS89" t="str">
        <f>IF(V89=1,"",IF(INDEX($B$35:$M$50,($Q$32-1-0)*$Q$33+X89+1,0*$Q$34+W89+1)="","",IF(INDEX($B$35:$M$50,($Q$32-1-0)*$Q$33+X89+1,0*$Q$34+W89+1)&lt;0,TEXT(INDEX($B$35:$M$50,($Q$32-1-0)*$Q$33+X89+1,0*$Q$34+W89+1),"+0;-0;0"),"")))</f>
        <v/>
      </c>
      <c r="AT89" t="str">
        <f>IF(V89=1,"",IF(INDEX($B$35:$M$50,($Q$32-1-1)*$Q$33+X89+1,0*$Q$34+W89+1)="","",IF(INDEX($B$35:$M$50,($Q$32-1-1)*$Q$33+X89+1,0*$Q$34+W89+1)&gt;=0,TEXT(INDEX($B$35:$M$50,($Q$32-1-1)*$Q$33+X89+1,0*$Q$34+W89+1),"+0;-0;0"),"")))</f>
        <v>+25</v>
      </c>
      <c r="AU89" t="str">
        <f>IF(V89=1,"",IF(INDEX($B$35:$M$50,($Q$32-1-1)*$Q$33+X89+1,0*$Q$34+W89+1)="","",IF(INDEX($B$35:$M$50,($Q$32-1-1)*$Q$33+X89+1,0*$Q$34+W89+1)&lt;0,TEXT(INDEX($B$35:$M$50,($Q$32-1-1)*$Q$33+X89+1,0*$Q$34+W89+1),"+0;-0;0"),"")))</f>
        <v/>
      </c>
      <c r="AV89" t="str">
        <f>IF(V89=1,"",IF(INDEX($B$35:$M$50,($Q$32-1-2)*$Q$33+X89+1,0*$Q$34+W89+1)="","",IF(INDEX($B$35:$M$50,($Q$32-1-2)*$Q$33+X89+1,0*$Q$34+W89+1)&gt;=0,TEXT(INDEX($B$35:$M$50,($Q$32-1-2)*$Q$33+X89+1,0*$Q$34+W89+1),"+0;-0;0"),"")))</f>
        <v/>
      </c>
      <c r="AW89" t="str">
        <f>IF(V89=1,"",IF(INDEX($B$35:$M$50,($Q$32-1-2)*$Q$33+X89+1,0*$Q$34+W89+1)="","",IF(INDEX($B$35:$M$50,($Q$32-1-2)*$Q$33+X89+1,0*$Q$34+W89+1)&lt;0,TEXT(INDEX($B$35:$M$50,($Q$32-1-2)*$Q$33+X89+1,0*$Q$34+W89+1),"+0;-0;0"),"")))</f>
        <v>-29</v>
      </c>
      <c r="AX89" t="str">
        <f>IF(V89=1,"",IF(INDEX($B$35:$M$50,($Q$32-1-3)*$Q$33+X89+1,0*$Q$34+W89+1)="","",IF(INDEX($B$35:$M$50,($Q$32-1-3)*$Q$33+X89+1,0*$Q$34+W89+1)&gt;=0,TEXT(INDEX($B$35:$M$50,($Q$32-1-3)*$Q$33+X89+1,0*$Q$34+W89+1),"+0;-0;0"),"")))</f>
        <v/>
      </c>
      <c r="AY89" t="str">
        <f>IF(V89=1,"",IF(INDEX($B$35:$M$50,($Q$32-1-3)*$Q$33+X89+1,0*$Q$34+W89+1)="","",IF(INDEX($B$35:$M$50,($Q$32-1-3)*$Q$33+X89+1,0*$Q$34+W89+1)&lt;0,TEXT(INDEX($B$35:$M$50,($Q$32-1-3)*$Q$33+X89+1,0*$Q$34+W89+1),"+0;-0;0"),"")))</f>
        <v>-56</v>
      </c>
      <c r="BG89">
        <v>3.5</v>
      </c>
      <c r="BH89">
        <f>IF(OR($Q$46&gt;0,$Q$47&lt;0),NA(),3+$Q$49)</f>
        <v>3.2342857142857144</v>
      </c>
    </row>
    <row r="90" spans="16:60" x14ac:dyDescent="0.35">
      <c r="P90">
        <v>38</v>
      </c>
      <c r="Q90">
        <f>P90-$Q$41</f>
        <v>35</v>
      </c>
      <c r="R90">
        <f>IF(Q90&lt;=0,-1,INT((Q90-1)/($Q$39+$Q$40)))</f>
        <v>2</v>
      </c>
      <c r="S90">
        <f>IF(Q90&lt;=0,-1,MOD(Q90-1,($Q$39+$Q$40)))</f>
        <v>8</v>
      </c>
      <c r="T90">
        <f>IF(OR(S90&lt;0,S90&gt;=$Q$39),-1,INT(S90/$Q$38))</f>
        <v>8</v>
      </c>
      <c r="U90">
        <f>IF(OR(S90&lt;0,S90&gt;=$Q$39),-1,MOD(S90,$Q$38))</f>
        <v>0</v>
      </c>
      <c r="V90">
        <f>IF(OR(Q90&lt;=0,S90&lt;0,S90&gt;=$Q$39,R90&gt;=$Q$36),1,0)</f>
        <v>0</v>
      </c>
      <c r="W90">
        <f>IF(V90=1,-1,T90)</f>
        <v>8</v>
      </c>
      <c r="X90">
        <f>IF(V90=1,-1,R90)</f>
        <v>2</v>
      </c>
      <c r="Y90" t="str">
        <f>IF(V90=1,"",IF(AND(MOD(W90,3)=0,U90=INT(($Q$38-1)/2)),INDEX($B$34:$M$34,W90+1),""))</f>
        <v/>
      </c>
      <c r="Z90">
        <f>IF(V90=1,NA(),IF(INDEX($B$35:$M$50,($Q$32-1-0)*$Q$33+X90+1,0*$Q$34+W90+1)="",NA(),IF(INDEX($B$35:$M$50,($Q$32-1-0)*$Q$33+X90+1,0*$Q$34+W90+1)&gt;=0,0+(INDEX($B$35:$M$50,($Q$32-1-0)*$Q$33+X90+1,0*$Q$34+W90+1)-$Q$46)/$Q$48*$Q$42,NA())))</f>
        <v>0.53422880870273359</v>
      </c>
      <c r="AA90" t="e">
        <f>IF(V90=1,NA(),IF(INDEX($B$35:$M$50,($Q$32-1-0)*$Q$33+X90+1,0*$Q$34+W90+1)="",NA(),IF(INDEX($B$35:$M$50,($Q$32-1-0)*$Q$33+X90+1,0*$Q$34+W90+1)&lt;0,0+(INDEX($B$35:$M$50,($Q$32-1-0)*$Q$33+X90+1,0*$Q$34+W90+1)-$Q$46)/$Q$48*$Q$42,NA())))</f>
        <v>#N/A</v>
      </c>
      <c r="AB90">
        <f>IF(V90=1,NA(),IF(INDEX($B$35:$M$50,($Q$32-1-1)*$Q$33+X90+1,0*$Q$34+W90+1)="",NA(),IF(INDEX($B$35:$M$50,($Q$32-1-1)*$Q$33+X90+1,0*$Q$34+W90+1)&gt;=0,1+(INDEX($B$35:$M$50,($Q$32-1-1)*$Q$33+X90+1,0*$Q$34+W90+1)-$Q$46)/$Q$48*$Q$42,NA())))</f>
        <v>1.3000914913083257</v>
      </c>
      <c r="AC90" t="e">
        <f>IF(V90=1,NA(),IF(INDEX($B$35:$M$50,($Q$32-1-1)*$Q$33+X90+1,0*$Q$34+W90+1)="",NA(),IF(INDEX($B$35:$M$50,($Q$32-1-1)*$Q$33+X90+1,0*$Q$34+W90+1)&lt;0,1+(INDEX($B$35:$M$50,($Q$32-1-1)*$Q$33+X90+1,0*$Q$34+W90+1)-$Q$46)/$Q$48*$Q$42,NA())))</f>
        <v>#N/A</v>
      </c>
      <c r="AD90" t="e">
        <f>IF(V90=1,NA(),IF(INDEX($B$35:$M$50,($Q$32-1-2)*$Q$33+X90+1,0*$Q$34+W90+1)="",NA(),IF(INDEX($B$35:$M$50,($Q$32-1-2)*$Q$33+X90+1,0*$Q$34+W90+1)&gt;=0,2+(INDEX($B$35:$M$50,($Q$32-1-2)*$Q$33+X90+1,0*$Q$34+W90+1)-$Q$46)/$Q$48*$Q$42,NA())))</f>
        <v>#N/A</v>
      </c>
      <c r="AE90">
        <f>IF(V90=1,NA(),IF(INDEX($B$35:$M$50,($Q$32-1-2)*$Q$33+X90+1,0*$Q$34+W90+1)="",NA(),IF(INDEX($B$35:$M$50,($Q$32-1-2)*$Q$33+X90+1,0*$Q$34+W90+1)&lt;0,2+(INDEX($B$35:$M$50,($Q$32-1-2)*$Q$33+X90+1,0*$Q$34+W90+1)-$Q$46)/$Q$48*$Q$42,NA())))</f>
        <v>2.1665267943401521</v>
      </c>
      <c r="AF90" t="e">
        <f>IF(V90=1,NA(),IF(INDEX($B$35:$M$50,($Q$32-1-3)*$Q$33+X90+1,0*$Q$34+W90+1)="",NA(),IF(INDEX($B$35:$M$50,($Q$32-1-3)*$Q$33+X90+1,0*$Q$34+W90+1)&gt;=0,3+(INDEX($B$35:$M$50,($Q$32-1-3)*$Q$33+X90+1,0*$Q$34+W90+1)-$Q$46)/$Q$48*$Q$42,NA())))</f>
        <v>#N/A</v>
      </c>
      <c r="AG90">
        <f>IF(V90=1,NA(),IF(INDEX($B$35:$M$50,($Q$32-1-3)*$Q$33+X90+1,0*$Q$34+W90+1)="",NA(),IF(INDEX($B$35:$M$50,($Q$32-1-3)*$Q$33+X90+1,0*$Q$34+W90+1)&lt;0,3+(INDEX($B$35:$M$50,($Q$32-1-3)*$Q$33+X90+1,0*$Q$34+W90+1)-$Q$46)/$Q$48*$Q$42,NA())))</f>
        <v>3.1015019746950214</v>
      </c>
      <c r="AI90">
        <f>IF(V90=1,0,IF(INDEX($B$35:$M$50,($Q$32-1-0)*$Q$33+X90+1,0*$Q$34+W90+1)="",0,IF(INDEX($B$35:$M$50,($Q$32-1-0)*$Q$33+X90+1,0*$Q$34+W90+1)&gt;=0,ABS(INDEX($B$35:$M$50,($Q$32-1-0)*$Q$33+X90+1,0*$Q$34+W90+1))/$Q$48*$Q$42,0)))</f>
        <v>0.29994309441701938</v>
      </c>
      <c r="AJ90">
        <f>IF(V90=1,0,IF(INDEX($B$35:$M$50,($Q$32-1-0)*$Q$33+X90+1,0*$Q$34+W90+1)="",0,IF(INDEX($B$35:$M$50,($Q$32-1-0)*$Q$33+X90+1,0*$Q$34+W90+1)&lt;0,ABS(INDEX($B$35:$M$50,($Q$32-1-0)*$Q$33+X90+1,0*$Q$34+W90+1))/$Q$48*$Q$42,0)))</f>
        <v>0</v>
      </c>
      <c r="AK90">
        <f>IF(V90=1,0,IF(INDEX($B$35:$M$50,($Q$32-1-1)*$Q$33+X90+1,0*$Q$34+W90+1)="",0,IF(INDEX($B$35:$M$50,($Q$32-1-1)*$Q$33+X90+1,0*$Q$34+W90+1)&gt;=0,ABS(INDEX($B$35:$M$50,($Q$32-1-1)*$Q$33+X90+1,0*$Q$34+W90+1))/$Q$48*$Q$42,0)))</f>
        <v>6.5805777022611422E-2</v>
      </c>
      <c r="AL90">
        <f>IF(V90=1,0,IF(INDEX($B$35:$M$50,($Q$32-1-1)*$Q$33+X90+1,0*$Q$34+W90+1)="",0,IF(INDEX($B$35:$M$50,($Q$32-1-1)*$Q$33+X90+1,0*$Q$34+W90+1)&lt;0,ABS(INDEX($B$35:$M$50,($Q$32-1-1)*$Q$33+X90+1,0*$Q$34+W90+1))/$Q$48*$Q$42,0)))</f>
        <v>0</v>
      </c>
      <c r="AM90">
        <f>IF(V90=1,0,IF(INDEX($B$35:$M$50,($Q$32-1-2)*$Q$33+X90+1,0*$Q$34+W90+1)="",0,IF(INDEX($B$35:$M$50,($Q$32-1-2)*$Q$33+X90+1,0*$Q$34+W90+1)&gt;=0,ABS(INDEX($B$35:$M$50,($Q$32-1-2)*$Q$33+X90+1,0*$Q$34+W90+1))/$Q$48*$Q$42,0)))</f>
        <v>0</v>
      </c>
      <c r="AN90">
        <f>IF(V90=1,0,IF(INDEX($B$35:$M$50,($Q$32-1-2)*$Q$33+X90+1,0*$Q$34+W90+1)="",0,IF(INDEX($B$35:$M$50,($Q$32-1-2)*$Q$33+X90+1,0*$Q$34+W90+1)&lt;0,ABS(INDEX($B$35:$M$50,($Q$32-1-2)*$Q$33+X90+1,0*$Q$34+W90+1))/$Q$48*$Q$42,0)))</f>
        <v>6.7758919945562213E-2</v>
      </c>
      <c r="AO90">
        <f>IF(V90=1,0,IF(INDEX($B$35:$M$50,($Q$32-1-3)*$Q$33+X90+1,0*$Q$34+W90+1)="",0,IF(INDEX($B$35:$M$50,($Q$32-1-3)*$Q$33+X90+1,0*$Q$34+W90+1)&gt;=0,ABS(INDEX($B$35:$M$50,($Q$32-1-3)*$Q$33+X90+1,0*$Q$34+W90+1))/$Q$48*$Q$42,0)))</f>
        <v>0</v>
      </c>
      <c r="AP90">
        <f>IF(V90=1,0,IF(INDEX($B$35:$M$50,($Q$32-1-3)*$Q$33+X90+1,0*$Q$34+W90+1)="",0,IF(INDEX($B$35:$M$50,($Q$32-1-3)*$Q$33+X90+1,0*$Q$34+W90+1)&lt;0,ABS(INDEX($B$35:$M$50,($Q$32-1-3)*$Q$33+X90+1,0*$Q$34+W90+1))/$Q$48*$Q$42,0)))</f>
        <v>0.13278373959069292</v>
      </c>
      <c r="AR90" t="str">
        <f>IF(V90=1,"",IF(INDEX($B$35:$M$50,($Q$32-1-0)*$Q$33+X90+1,0*$Q$34+W90+1)="","",IF(INDEX($B$35:$M$50,($Q$32-1-0)*$Q$33+X90+1,0*$Q$34+W90+1)&gt;=0,TEXT(INDEX($B$35:$M$50,($Q$32-1-0)*$Q$33+X90+1,0*$Q$34+W90+1),"+0;-0;0"),"")))</f>
        <v>+128</v>
      </c>
      <c r="AS90" t="str">
        <f>IF(V90=1,"",IF(INDEX($B$35:$M$50,($Q$32-1-0)*$Q$33+X90+1,0*$Q$34+W90+1)="","",IF(INDEX($B$35:$M$50,($Q$32-1-0)*$Q$33+X90+1,0*$Q$34+W90+1)&lt;0,TEXT(INDEX($B$35:$M$50,($Q$32-1-0)*$Q$33+X90+1,0*$Q$34+W90+1),"+0;-0;0"),"")))</f>
        <v/>
      </c>
      <c r="AT90" t="str">
        <f>IF(V90=1,"",IF(INDEX($B$35:$M$50,($Q$32-1-1)*$Q$33+X90+1,0*$Q$34+W90+1)="","",IF(INDEX($B$35:$M$50,($Q$32-1-1)*$Q$33+X90+1,0*$Q$34+W90+1)&gt;=0,TEXT(INDEX($B$35:$M$50,($Q$32-1-1)*$Q$33+X90+1,0*$Q$34+W90+1),"+0;-0;0"),"")))</f>
        <v>+28</v>
      </c>
      <c r="AU90" t="str">
        <f>IF(V90=1,"",IF(INDEX($B$35:$M$50,($Q$32-1-1)*$Q$33+X90+1,0*$Q$34+W90+1)="","",IF(INDEX($B$35:$M$50,($Q$32-1-1)*$Q$33+X90+1,0*$Q$34+W90+1)&lt;0,TEXT(INDEX($B$35:$M$50,($Q$32-1-1)*$Q$33+X90+1,0*$Q$34+W90+1),"+0;-0;0"),"")))</f>
        <v/>
      </c>
      <c r="AV90" t="str">
        <f>IF(V90=1,"",IF(INDEX($B$35:$M$50,($Q$32-1-2)*$Q$33+X90+1,0*$Q$34+W90+1)="","",IF(INDEX($B$35:$M$50,($Q$32-1-2)*$Q$33+X90+1,0*$Q$34+W90+1)&gt;=0,TEXT(INDEX($B$35:$M$50,($Q$32-1-2)*$Q$33+X90+1,0*$Q$34+W90+1),"+0;-0;0"),"")))</f>
        <v/>
      </c>
      <c r="AW90" t="str">
        <f>IF(V90=1,"",IF(INDEX($B$35:$M$50,($Q$32-1-2)*$Q$33+X90+1,0*$Q$34+W90+1)="","",IF(INDEX($B$35:$M$50,($Q$32-1-2)*$Q$33+X90+1,0*$Q$34+W90+1)&lt;0,TEXT(INDEX($B$35:$M$50,($Q$32-1-2)*$Q$33+X90+1,0*$Q$34+W90+1),"+0;-0;0"),"")))</f>
        <v>-29</v>
      </c>
      <c r="AX90" t="str">
        <f>IF(V90=1,"",IF(INDEX($B$35:$M$50,($Q$32-1-3)*$Q$33+X90+1,0*$Q$34+W90+1)="","",IF(INDEX($B$35:$M$50,($Q$32-1-3)*$Q$33+X90+1,0*$Q$34+W90+1)&gt;=0,TEXT(INDEX($B$35:$M$50,($Q$32-1-3)*$Q$33+X90+1,0*$Q$34+W90+1),"+0;-0;0"),"")))</f>
        <v/>
      </c>
      <c r="AY90" t="str">
        <f>IF(V90=1,"",IF(INDEX($B$35:$M$50,($Q$32-1-3)*$Q$33+X90+1,0*$Q$34+W90+1)="","",IF(INDEX($B$35:$M$50,($Q$32-1-3)*$Q$33+X90+1,0*$Q$34+W90+1)&lt;0,TEXT(INDEX($B$35:$M$50,($Q$32-1-3)*$Q$33+X90+1,0*$Q$34+W90+1),"+0;-0;0"),"")))</f>
        <v>-57</v>
      </c>
      <c r="BG90">
        <v>15.5</v>
      </c>
      <c r="BH90">
        <f>IF(OR($Q$46&gt;0,$Q$47&lt;0),NA(),3+$Q$49)</f>
        <v>3.2342857142857144</v>
      </c>
    </row>
    <row r="91" spans="16:60" x14ac:dyDescent="0.35">
      <c r="P91">
        <v>39</v>
      </c>
      <c r="Q91">
        <f>P91-$Q$41</f>
        <v>36</v>
      </c>
      <c r="R91">
        <f>IF(Q91&lt;=0,-1,INT((Q91-1)/($Q$39+$Q$40)))</f>
        <v>2</v>
      </c>
      <c r="S91">
        <f>IF(Q91&lt;=0,-1,MOD(Q91-1,($Q$39+$Q$40)))</f>
        <v>9</v>
      </c>
      <c r="T91">
        <f>IF(OR(S91&lt;0,S91&gt;=$Q$39),-1,INT(S91/$Q$38))</f>
        <v>9</v>
      </c>
      <c r="U91">
        <f>IF(OR(S91&lt;0,S91&gt;=$Q$39),-1,MOD(S91,$Q$38))</f>
        <v>0</v>
      </c>
      <c r="V91">
        <f>IF(OR(Q91&lt;=0,S91&lt;0,S91&gt;=$Q$39,R91&gt;=$Q$36),1,0)</f>
        <v>0</v>
      </c>
      <c r="W91">
        <f>IF(V91=1,-1,T91)</f>
        <v>9</v>
      </c>
      <c r="X91">
        <f>IF(V91=1,-1,R91)</f>
        <v>2</v>
      </c>
      <c r="Y91" t="str">
        <f>IF(V91=1,"",IF(AND(MOD(W91,3)=0,U91=INT(($Q$38-1)/2)),INDEX($B$34:$M$34,W91+1),""))</f>
        <v>Oct</v>
      </c>
      <c r="Z91">
        <f>IF(V91=1,NA(),IF(INDEX($B$35:$M$50,($Q$32-1-0)*$Q$33+X91+1,0*$Q$34+W91+1)="",NA(),IF(INDEX($B$35:$M$50,($Q$32-1-0)*$Q$33+X91+1,0*$Q$34+W91+1)&gt;=0,0+(INDEX($B$35:$M$50,($Q$32-1-0)*$Q$33+X91+1,0*$Q$34+W91+1)-$Q$46)/$Q$48*$Q$42,NA())))</f>
        <v>0.46656974972513543</v>
      </c>
      <c r="AA91" t="e">
        <f>IF(V91=1,NA(),IF(INDEX($B$35:$M$50,($Q$32-1-0)*$Q$33+X91+1,0*$Q$34+W91+1)="",NA(),IF(INDEX($B$35:$M$50,($Q$32-1-0)*$Q$33+X91+1,0*$Q$34+W91+1)&lt;0,0+(INDEX($B$35:$M$50,($Q$32-1-0)*$Q$33+X91+1,0*$Q$34+W91+1)-$Q$46)/$Q$48*$Q$42,NA())))</f>
        <v>#N/A</v>
      </c>
      <c r="AB91">
        <f>IF(V91=1,NA(),IF(INDEX($B$35:$M$50,($Q$32-1-1)*$Q$33+X91+1,0*$Q$34+W91+1)="",NA(),IF(INDEX($B$35:$M$50,($Q$32-1-1)*$Q$33+X91+1,0*$Q$34+W91+1)&gt;=0,1+(INDEX($B$35:$M$50,($Q$32-1-1)*$Q$33+X91+1,0*$Q$34+W91+1)-$Q$46)/$Q$48*$Q$42,NA())))</f>
        <v>1.2896304019073515</v>
      </c>
      <c r="AC91" t="e">
        <f>IF(V91=1,NA(),IF(INDEX($B$35:$M$50,($Q$32-1-1)*$Q$33+X91+1,0*$Q$34+W91+1)="",NA(),IF(INDEX($B$35:$M$50,($Q$32-1-1)*$Q$33+X91+1,0*$Q$34+W91+1)&lt;0,1+(INDEX($B$35:$M$50,($Q$32-1-1)*$Q$33+X91+1,0*$Q$34+W91+1)-$Q$46)/$Q$48*$Q$42,NA())))</f>
        <v>#N/A</v>
      </c>
      <c r="AD91" t="e">
        <f>IF(V91=1,NA(),IF(INDEX($B$35:$M$50,($Q$32-1-2)*$Q$33+X91+1,0*$Q$34+W91+1)="",NA(),IF(INDEX($B$35:$M$50,($Q$32-1-2)*$Q$33+X91+1,0*$Q$34+W91+1)&gt;=0,2+(INDEX($B$35:$M$50,($Q$32-1-2)*$Q$33+X91+1,0*$Q$34+W91+1)-$Q$46)/$Q$48*$Q$42,NA())))</f>
        <v>#N/A</v>
      </c>
      <c r="AE91">
        <f>IF(V91=1,NA(),IF(INDEX($B$35:$M$50,($Q$32-1-2)*$Q$33+X91+1,0*$Q$34+W91+1)="",NA(),IF(INDEX($B$35:$M$50,($Q$32-1-2)*$Q$33+X91+1,0*$Q$34+W91+1)&lt;0,2+(INDEX($B$35:$M$50,($Q$32-1-2)*$Q$33+X91+1,0*$Q$34+W91+1)-$Q$46)/$Q$48*$Q$42,NA())))</f>
        <v>2.1837893007272022</v>
      </c>
      <c r="AF91" t="e">
        <f>IF(V91=1,NA(),IF(INDEX($B$35:$M$50,($Q$32-1-3)*$Q$33+X91+1,0*$Q$34+W91+1)="",NA(),IF(INDEX($B$35:$M$50,($Q$32-1-3)*$Q$33+X91+1,0*$Q$34+W91+1)&gt;=0,3+(INDEX($B$35:$M$50,($Q$32-1-3)*$Q$33+X91+1,0*$Q$34+W91+1)-$Q$46)/$Q$48*$Q$42,NA())))</f>
        <v>#N/A</v>
      </c>
      <c r="AG91">
        <f>IF(V91=1,NA(),IF(INDEX($B$35:$M$50,($Q$32-1-3)*$Q$33+X91+1,0*$Q$34+W91+1)="",NA(),IF(INDEX($B$35:$M$50,($Q$32-1-3)*$Q$33+X91+1,0*$Q$34+W91+1)&lt;0,3+(INDEX($B$35:$M$50,($Q$32-1-3)*$Q$33+X91+1,0*$Q$34+W91+1)-$Q$46)/$Q$48*$Q$42,NA())))</f>
        <v>3.1105987532981692</v>
      </c>
      <c r="AI91">
        <f>IF(V91=1,0,IF(INDEX($B$35:$M$50,($Q$32-1-0)*$Q$33+X91+1,0*$Q$34+W91+1)="",0,IF(INDEX($B$35:$M$50,($Q$32-1-0)*$Q$33+X91+1,0*$Q$34+W91+1)&gt;=0,ABS(INDEX($B$35:$M$50,($Q$32-1-0)*$Q$33+X91+1,0*$Q$34+W91+1))/$Q$48*$Q$42,0)))</f>
        <v>0.23228403543942122</v>
      </c>
      <c r="AJ91">
        <f>IF(V91=1,0,IF(INDEX($B$35:$M$50,($Q$32-1-0)*$Q$33+X91+1,0*$Q$34+W91+1)="",0,IF(INDEX($B$35:$M$50,($Q$32-1-0)*$Q$33+X91+1,0*$Q$34+W91+1)&lt;0,ABS(INDEX($B$35:$M$50,($Q$32-1-0)*$Q$33+X91+1,0*$Q$34+W91+1))/$Q$48*$Q$42,0)))</f>
        <v>0</v>
      </c>
      <c r="AK91">
        <f>IF(V91=1,0,IF(INDEX($B$35:$M$50,($Q$32-1-1)*$Q$33+X91+1,0*$Q$34+W91+1)="",0,IF(INDEX($B$35:$M$50,($Q$32-1-1)*$Q$33+X91+1,0*$Q$34+W91+1)&gt;=0,ABS(INDEX($B$35:$M$50,($Q$32-1-1)*$Q$33+X91+1,0*$Q$34+W91+1))/$Q$48*$Q$42,0)))</f>
        <v>5.5344687621637072E-2</v>
      </c>
      <c r="AL91">
        <f>IF(V91=1,0,IF(INDEX($B$35:$M$50,($Q$32-1-1)*$Q$33+X91+1,0*$Q$34+W91+1)="",0,IF(INDEX($B$35:$M$50,($Q$32-1-1)*$Q$33+X91+1,0*$Q$34+W91+1)&lt;0,ABS(INDEX($B$35:$M$50,($Q$32-1-1)*$Q$33+X91+1,0*$Q$34+W91+1))/$Q$48*$Q$42,0)))</f>
        <v>0</v>
      </c>
      <c r="AM91">
        <f>IF(V91=1,0,IF(INDEX($B$35:$M$50,($Q$32-1-2)*$Q$33+X91+1,0*$Q$34+W91+1)="",0,IF(INDEX($B$35:$M$50,($Q$32-1-2)*$Q$33+X91+1,0*$Q$34+W91+1)&gt;=0,ABS(INDEX($B$35:$M$50,($Q$32-1-2)*$Q$33+X91+1,0*$Q$34+W91+1))/$Q$48*$Q$42,0)))</f>
        <v>0</v>
      </c>
      <c r="AN91">
        <f>IF(V91=1,0,IF(INDEX($B$35:$M$50,($Q$32-1-2)*$Q$33+X91+1,0*$Q$34+W91+1)="",0,IF(INDEX($B$35:$M$50,($Q$32-1-2)*$Q$33+X91+1,0*$Q$34+W91+1)&lt;0,ABS(INDEX($B$35:$M$50,($Q$32-1-2)*$Q$33+X91+1,0*$Q$34+W91+1))/$Q$48*$Q$42,0)))</f>
        <v>5.049641355851224E-2</v>
      </c>
      <c r="AO91">
        <f>IF(V91=1,0,IF(INDEX($B$35:$M$50,($Q$32-1-3)*$Q$33+X91+1,0*$Q$34+W91+1)="",0,IF(INDEX($B$35:$M$50,($Q$32-1-3)*$Q$33+X91+1,0*$Q$34+W91+1)&gt;=0,ABS(INDEX($B$35:$M$50,($Q$32-1-3)*$Q$33+X91+1,0*$Q$34+W91+1))/$Q$48*$Q$42,0)))</f>
        <v>0</v>
      </c>
      <c r="AP91">
        <f>IF(V91=1,0,IF(INDEX($B$35:$M$50,($Q$32-1-3)*$Q$33+X91+1,0*$Q$34+W91+1)="",0,IF(INDEX($B$35:$M$50,($Q$32-1-3)*$Q$33+X91+1,0*$Q$34+W91+1)&lt;0,ABS(INDEX($B$35:$M$50,($Q$32-1-3)*$Q$33+X91+1,0*$Q$34+W91+1))/$Q$48*$Q$42,0)))</f>
        <v>0.1236869609875452</v>
      </c>
      <c r="AR91" t="str">
        <f>IF(V91=1,"",IF(INDEX($B$35:$M$50,($Q$32-1-0)*$Q$33+X91+1,0*$Q$34+W91+1)="","",IF(INDEX($B$35:$M$50,($Q$32-1-0)*$Q$33+X91+1,0*$Q$34+W91+1)&gt;=0,TEXT(INDEX($B$35:$M$50,($Q$32-1-0)*$Q$33+X91+1,0*$Q$34+W91+1),"+0;-0;0"),"")))</f>
        <v>+99</v>
      </c>
      <c r="AS91" t="str">
        <f>IF(V91=1,"",IF(INDEX($B$35:$M$50,($Q$32-1-0)*$Q$33+X91+1,0*$Q$34+W91+1)="","",IF(INDEX($B$35:$M$50,($Q$32-1-0)*$Q$33+X91+1,0*$Q$34+W91+1)&lt;0,TEXT(INDEX($B$35:$M$50,($Q$32-1-0)*$Q$33+X91+1,0*$Q$34+W91+1),"+0;-0;0"),"")))</f>
        <v/>
      </c>
      <c r="AT91" t="str">
        <f>IF(V91=1,"",IF(INDEX($B$35:$M$50,($Q$32-1-1)*$Q$33+X91+1,0*$Q$34+W91+1)="","",IF(INDEX($B$35:$M$50,($Q$32-1-1)*$Q$33+X91+1,0*$Q$34+W91+1)&gt;=0,TEXT(INDEX($B$35:$M$50,($Q$32-1-1)*$Q$33+X91+1,0*$Q$34+W91+1),"+0;-0;0"),"")))</f>
        <v>+24</v>
      </c>
      <c r="AU91" t="str">
        <f>IF(V91=1,"",IF(INDEX($B$35:$M$50,($Q$32-1-1)*$Q$33+X91+1,0*$Q$34+W91+1)="","",IF(INDEX($B$35:$M$50,($Q$32-1-1)*$Q$33+X91+1,0*$Q$34+W91+1)&lt;0,TEXT(INDEX($B$35:$M$50,($Q$32-1-1)*$Q$33+X91+1,0*$Q$34+W91+1),"+0;-0;0"),"")))</f>
        <v/>
      </c>
      <c r="AV91" t="str">
        <f>IF(V91=1,"",IF(INDEX($B$35:$M$50,($Q$32-1-2)*$Q$33+X91+1,0*$Q$34+W91+1)="","",IF(INDEX($B$35:$M$50,($Q$32-1-2)*$Q$33+X91+1,0*$Q$34+W91+1)&gt;=0,TEXT(INDEX($B$35:$M$50,($Q$32-1-2)*$Q$33+X91+1,0*$Q$34+W91+1),"+0;-0;0"),"")))</f>
        <v/>
      </c>
      <c r="AW91" t="str">
        <f>IF(V91=1,"",IF(INDEX($B$35:$M$50,($Q$32-1-2)*$Q$33+X91+1,0*$Q$34+W91+1)="","",IF(INDEX($B$35:$M$50,($Q$32-1-2)*$Q$33+X91+1,0*$Q$34+W91+1)&lt;0,TEXT(INDEX($B$35:$M$50,($Q$32-1-2)*$Q$33+X91+1,0*$Q$34+W91+1),"+0;-0;0"),"")))</f>
        <v>-22</v>
      </c>
      <c r="AX91" t="str">
        <f>IF(V91=1,"",IF(INDEX($B$35:$M$50,($Q$32-1-3)*$Q$33+X91+1,0*$Q$34+W91+1)="","",IF(INDEX($B$35:$M$50,($Q$32-1-3)*$Q$33+X91+1,0*$Q$34+W91+1)&gt;=0,TEXT(INDEX($B$35:$M$50,($Q$32-1-3)*$Q$33+X91+1,0*$Q$34+W91+1),"+0;-0;0"),"")))</f>
        <v/>
      </c>
      <c r="AY91" t="str">
        <f>IF(V91=1,"",IF(INDEX($B$35:$M$50,($Q$32-1-3)*$Q$33+X91+1,0*$Q$34+W91+1)="","",IF(INDEX($B$35:$M$50,($Q$32-1-3)*$Q$33+X91+1,0*$Q$34+W91+1)&lt;0,TEXT(INDEX($B$35:$M$50,($Q$32-1-3)*$Q$33+X91+1,0*$Q$34+W91+1),"+0;-0;0"),"")))</f>
        <v>-53</v>
      </c>
      <c r="BG91">
        <v>15.5</v>
      </c>
      <c r="BH91" t="e">
        <f>NA()</f>
        <v>#N/A</v>
      </c>
    </row>
    <row r="92" spans="16:60" x14ac:dyDescent="0.35">
      <c r="P92">
        <v>40</v>
      </c>
      <c r="Q92">
        <f>P92-$Q$41</f>
        <v>37</v>
      </c>
      <c r="R92">
        <f>IF(Q92&lt;=0,-1,INT((Q92-1)/($Q$39+$Q$40)))</f>
        <v>2</v>
      </c>
      <c r="S92">
        <f>IF(Q92&lt;=0,-1,MOD(Q92-1,($Q$39+$Q$40)))</f>
        <v>10</v>
      </c>
      <c r="T92">
        <f>IF(OR(S92&lt;0,S92&gt;=$Q$39),-1,INT(S92/$Q$38))</f>
        <v>10</v>
      </c>
      <c r="U92">
        <f>IF(OR(S92&lt;0,S92&gt;=$Q$39),-1,MOD(S92,$Q$38))</f>
        <v>0</v>
      </c>
      <c r="V92">
        <f>IF(OR(Q92&lt;=0,S92&lt;0,S92&gt;=$Q$39,R92&gt;=$Q$36),1,0)</f>
        <v>0</v>
      </c>
      <c r="W92">
        <f>IF(V92=1,-1,T92)</f>
        <v>10</v>
      </c>
      <c r="X92">
        <f>IF(V92=1,-1,R92)</f>
        <v>2</v>
      </c>
      <c r="Y92" t="str">
        <f>IF(V92=1,"",IF(AND(MOD(W92,3)=0,U92=INT(($Q$38-1)/2)),INDEX($B$34:$M$34,W92+1),""))</f>
        <v/>
      </c>
      <c r="Z92">
        <f>IF(V92=1,NA(),IF(INDEX($B$35:$M$50,($Q$32-1-0)*$Q$33+X92+1,0*$Q$34+W92+1)="",NA(),IF(INDEX($B$35:$M$50,($Q$32-1-0)*$Q$33+X92+1,0*$Q$34+W92+1)&gt;=0,0+(INDEX($B$35:$M$50,($Q$32-1-0)*$Q$33+X92+1,0*$Q$34+W92+1)-$Q$46)/$Q$48*$Q$42,NA())))</f>
        <v>0.52757433849672197</v>
      </c>
      <c r="AA92" t="e">
        <f>IF(V92=1,NA(),IF(INDEX($B$35:$M$50,($Q$32-1-0)*$Q$33+X92+1,0*$Q$34+W92+1)="",NA(),IF(INDEX($B$35:$M$50,($Q$32-1-0)*$Q$33+X92+1,0*$Q$34+W92+1)&lt;0,0+(INDEX($B$35:$M$50,($Q$32-1-0)*$Q$33+X92+1,0*$Q$34+W92+1)-$Q$46)/$Q$48*$Q$42,NA())))</f>
        <v>#N/A</v>
      </c>
      <c r="AB92">
        <f>IF(V92=1,NA(),IF(INDEX($B$35:$M$50,($Q$32-1-1)*$Q$33+X92+1,0*$Q$34+W92+1)="",NA(),IF(INDEX($B$35:$M$50,($Q$32-1-1)*$Q$33+X92+1,0*$Q$34+W92+1)&gt;=0,1+(INDEX($B$35:$M$50,($Q$32-1-1)*$Q$33+X92+1,0*$Q$34+W92+1)-$Q$46)/$Q$48*$Q$42,NA())))</f>
        <v>1.2802200918861808</v>
      </c>
      <c r="AC92" t="e">
        <f>IF(V92=1,NA(),IF(INDEX($B$35:$M$50,($Q$32-1-1)*$Q$33+X92+1,0*$Q$34+W92+1)="",NA(),IF(INDEX($B$35:$M$50,($Q$32-1-1)*$Q$33+X92+1,0*$Q$34+W92+1)&lt;0,1+(INDEX($B$35:$M$50,($Q$32-1-1)*$Q$33+X92+1,0*$Q$34+W92+1)-$Q$46)/$Q$48*$Q$42,NA())))</f>
        <v>#N/A</v>
      </c>
      <c r="AD92" t="e">
        <f>IF(V92=1,NA(),IF(INDEX($B$35:$M$50,($Q$32-1-2)*$Q$33+X92+1,0*$Q$34+W92+1)="",NA(),IF(INDEX($B$35:$M$50,($Q$32-1-2)*$Q$33+X92+1,0*$Q$34+W92+1)&gt;=0,2+(INDEX($B$35:$M$50,($Q$32-1-2)*$Q$33+X92+1,0*$Q$34+W92+1)-$Q$46)/$Q$48*$Q$42,NA())))</f>
        <v>#N/A</v>
      </c>
      <c r="AE92">
        <f>IF(V92=1,NA(),IF(INDEX($B$35:$M$50,($Q$32-1-2)*$Q$33+X92+1,0*$Q$34+W92+1)="",NA(),IF(INDEX($B$35:$M$50,($Q$32-1-2)*$Q$33+X92+1,0*$Q$34+W92+1)&lt;0,2+(INDEX($B$35:$M$50,($Q$32-1-2)*$Q$33+X92+1,0*$Q$34+W92+1)-$Q$46)/$Q$48*$Q$42,NA())))</f>
        <v>2.1722603051629616</v>
      </c>
      <c r="AF92" t="e">
        <f>IF(V92=1,NA(),IF(INDEX($B$35:$M$50,($Q$32-1-3)*$Q$33+X92+1,0*$Q$34+W92+1)="",NA(),IF(INDEX($B$35:$M$50,($Q$32-1-3)*$Q$33+X92+1,0*$Q$34+W92+1)&gt;=0,3+(INDEX($B$35:$M$50,($Q$32-1-3)*$Q$33+X92+1,0*$Q$34+W92+1)-$Q$46)/$Q$48*$Q$42,NA())))</f>
        <v>#N/A</v>
      </c>
      <c r="AG92">
        <f>IF(V92=1,NA(),IF(INDEX($B$35:$M$50,($Q$32-1-3)*$Q$33+X92+1,0*$Q$34+W92+1)="",NA(),IF(INDEX($B$35:$M$50,($Q$32-1-3)*$Q$33+X92+1,0*$Q$34+W92+1)&lt;0,3+(INDEX($B$35:$M$50,($Q$32-1-3)*$Q$33+X92+1,0*$Q$34+W92+1)-$Q$46)/$Q$48*$Q$42,NA())))</f>
        <v>3.1017835975514103</v>
      </c>
      <c r="AI92">
        <f>IF(V92=1,0,IF(INDEX($B$35:$M$50,($Q$32-1-0)*$Q$33+X92+1,0*$Q$34+W92+1)="",0,IF(INDEX($B$35:$M$50,($Q$32-1-0)*$Q$33+X92+1,0*$Q$34+W92+1)&gt;=0,ABS(INDEX($B$35:$M$50,($Q$32-1-0)*$Q$33+X92+1,0*$Q$34+W92+1))/$Q$48*$Q$42,0)))</f>
        <v>0.29328862421100776</v>
      </c>
      <c r="AJ92">
        <f>IF(V92=1,0,IF(INDEX($B$35:$M$50,($Q$32-1-0)*$Q$33+X92+1,0*$Q$34+W92+1)="",0,IF(INDEX($B$35:$M$50,($Q$32-1-0)*$Q$33+X92+1,0*$Q$34+W92+1)&lt;0,ABS(INDEX($B$35:$M$50,($Q$32-1-0)*$Q$33+X92+1,0*$Q$34+W92+1))/$Q$48*$Q$42,0)))</f>
        <v>0</v>
      </c>
      <c r="AK92">
        <f>IF(V92=1,0,IF(INDEX($B$35:$M$50,($Q$32-1-1)*$Q$33+X92+1,0*$Q$34+W92+1)="",0,IF(INDEX($B$35:$M$50,($Q$32-1-1)*$Q$33+X92+1,0*$Q$34+W92+1)&gt;=0,ABS(INDEX($B$35:$M$50,($Q$32-1-1)*$Q$33+X92+1,0*$Q$34+W92+1))/$Q$48*$Q$42,0)))</f>
        <v>4.5934377600466508E-2</v>
      </c>
      <c r="AL92">
        <f>IF(V92=1,0,IF(INDEX($B$35:$M$50,($Q$32-1-1)*$Q$33+X92+1,0*$Q$34+W92+1)="",0,IF(INDEX($B$35:$M$50,($Q$32-1-1)*$Q$33+X92+1,0*$Q$34+W92+1)&lt;0,ABS(INDEX($B$35:$M$50,($Q$32-1-1)*$Q$33+X92+1,0*$Q$34+W92+1))/$Q$48*$Q$42,0)))</f>
        <v>0</v>
      </c>
      <c r="AM92">
        <f>IF(V92=1,0,IF(INDEX($B$35:$M$50,($Q$32-1-2)*$Q$33+X92+1,0*$Q$34+W92+1)="",0,IF(INDEX($B$35:$M$50,($Q$32-1-2)*$Q$33+X92+1,0*$Q$34+W92+1)&gt;=0,ABS(INDEX($B$35:$M$50,($Q$32-1-2)*$Q$33+X92+1,0*$Q$34+W92+1))/$Q$48*$Q$42,0)))</f>
        <v>0</v>
      </c>
      <c r="AN92">
        <f>IF(V92=1,0,IF(INDEX($B$35:$M$50,($Q$32-1-2)*$Q$33+X92+1,0*$Q$34+W92+1)="",0,IF(INDEX($B$35:$M$50,($Q$32-1-2)*$Q$33+X92+1,0*$Q$34+W92+1)&lt;0,ABS(INDEX($B$35:$M$50,($Q$32-1-2)*$Q$33+X92+1,0*$Q$34+W92+1))/$Q$48*$Q$42,0)))</f>
        <v>6.2025409122752603E-2</v>
      </c>
      <c r="AO92">
        <f>IF(V92=1,0,IF(INDEX($B$35:$M$50,($Q$32-1-3)*$Q$33+X92+1,0*$Q$34+W92+1)="",0,IF(INDEX($B$35:$M$50,($Q$32-1-3)*$Q$33+X92+1,0*$Q$34+W92+1)&gt;=0,ABS(INDEX($B$35:$M$50,($Q$32-1-3)*$Q$33+X92+1,0*$Q$34+W92+1))/$Q$48*$Q$42,0)))</f>
        <v>0</v>
      </c>
      <c r="AP92">
        <f>IF(V92=1,0,IF(INDEX($B$35:$M$50,($Q$32-1-3)*$Q$33+X92+1,0*$Q$34+W92+1)="",0,IF(INDEX($B$35:$M$50,($Q$32-1-3)*$Q$33+X92+1,0*$Q$34+W92+1)&lt;0,ABS(INDEX($B$35:$M$50,($Q$32-1-3)*$Q$33+X92+1,0*$Q$34+W92+1))/$Q$48*$Q$42,0)))</f>
        <v>0.13250211673430404</v>
      </c>
      <c r="AR92" t="str">
        <f>IF(V92=1,"",IF(INDEX($B$35:$M$50,($Q$32-1-0)*$Q$33+X92+1,0*$Q$34+W92+1)="","",IF(INDEX($B$35:$M$50,($Q$32-1-0)*$Q$33+X92+1,0*$Q$34+W92+1)&gt;=0,TEXT(INDEX($B$35:$M$50,($Q$32-1-0)*$Q$33+X92+1,0*$Q$34+W92+1),"+0;-0;0"),"")))</f>
        <v>+125</v>
      </c>
      <c r="AS92" t="str">
        <f>IF(V92=1,"",IF(INDEX($B$35:$M$50,($Q$32-1-0)*$Q$33+X92+1,0*$Q$34+W92+1)="","",IF(INDEX($B$35:$M$50,($Q$32-1-0)*$Q$33+X92+1,0*$Q$34+W92+1)&lt;0,TEXT(INDEX($B$35:$M$50,($Q$32-1-0)*$Q$33+X92+1,0*$Q$34+W92+1),"+0;-0;0"),"")))</f>
        <v/>
      </c>
      <c r="AT92" t="str">
        <f>IF(V92=1,"",IF(INDEX($B$35:$M$50,($Q$32-1-1)*$Q$33+X92+1,0*$Q$34+W92+1)="","",IF(INDEX($B$35:$M$50,($Q$32-1-1)*$Q$33+X92+1,0*$Q$34+W92+1)&gt;=0,TEXT(INDEX($B$35:$M$50,($Q$32-1-1)*$Q$33+X92+1,0*$Q$34+W92+1),"+0;-0;0"),"")))</f>
        <v>+20</v>
      </c>
      <c r="AU92" t="str">
        <f>IF(V92=1,"",IF(INDEX($B$35:$M$50,($Q$32-1-1)*$Q$33+X92+1,0*$Q$34+W92+1)="","",IF(INDEX($B$35:$M$50,($Q$32-1-1)*$Q$33+X92+1,0*$Q$34+W92+1)&lt;0,TEXT(INDEX($B$35:$M$50,($Q$32-1-1)*$Q$33+X92+1,0*$Q$34+W92+1),"+0;-0;0"),"")))</f>
        <v/>
      </c>
      <c r="AV92" t="str">
        <f>IF(V92=1,"",IF(INDEX($B$35:$M$50,($Q$32-1-2)*$Q$33+X92+1,0*$Q$34+W92+1)="","",IF(INDEX($B$35:$M$50,($Q$32-1-2)*$Q$33+X92+1,0*$Q$34+W92+1)&gt;=0,TEXT(INDEX($B$35:$M$50,($Q$32-1-2)*$Q$33+X92+1,0*$Q$34+W92+1),"+0;-0;0"),"")))</f>
        <v/>
      </c>
      <c r="AW92" t="str">
        <f>IF(V92=1,"",IF(INDEX($B$35:$M$50,($Q$32-1-2)*$Q$33+X92+1,0*$Q$34+W92+1)="","",IF(INDEX($B$35:$M$50,($Q$32-1-2)*$Q$33+X92+1,0*$Q$34+W92+1)&lt;0,TEXT(INDEX($B$35:$M$50,($Q$32-1-2)*$Q$33+X92+1,0*$Q$34+W92+1),"+0;-0;0"),"")))</f>
        <v>-26</v>
      </c>
      <c r="AX92" t="str">
        <f>IF(V92=1,"",IF(INDEX($B$35:$M$50,($Q$32-1-3)*$Q$33+X92+1,0*$Q$34+W92+1)="","",IF(INDEX($B$35:$M$50,($Q$32-1-3)*$Q$33+X92+1,0*$Q$34+W92+1)&gt;=0,TEXT(INDEX($B$35:$M$50,($Q$32-1-3)*$Q$33+X92+1,0*$Q$34+W92+1),"+0;-0;0"),"")))</f>
        <v/>
      </c>
      <c r="AY92" t="str">
        <f>IF(V92=1,"",IF(INDEX($B$35:$M$50,($Q$32-1-3)*$Q$33+X92+1,0*$Q$34+W92+1)="","",IF(INDEX($B$35:$M$50,($Q$32-1-3)*$Q$33+X92+1,0*$Q$34+W92+1)&lt;0,TEXT(INDEX($B$35:$M$50,($Q$32-1-3)*$Q$33+X92+1,0*$Q$34+W92+1),"+0;-0;0"),"")))</f>
        <v>-57</v>
      </c>
      <c r="BG92">
        <v>16.5</v>
      </c>
      <c r="BH92">
        <f>IF(OR($Q$46&gt;0,$Q$47&lt;0),NA(),3+$Q$49)</f>
        <v>3.2342857142857144</v>
      </c>
    </row>
    <row r="93" spans="16:60" x14ac:dyDescent="0.35">
      <c r="P93">
        <v>41</v>
      </c>
      <c r="Q93">
        <f>P93-$Q$41</f>
        <v>38</v>
      </c>
      <c r="R93">
        <f>IF(Q93&lt;=0,-1,INT((Q93-1)/($Q$39+$Q$40)))</f>
        <v>2</v>
      </c>
      <c r="S93">
        <f>IF(Q93&lt;=0,-1,MOD(Q93-1,($Q$39+$Q$40)))</f>
        <v>11</v>
      </c>
      <c r="T93">
        <f>IF(OR(S93&lt;0,S93&gt;=$Q$39),-1,INT(S93/$Q$38))</f>
        <v>11</v>
      </c>
      <c r="U93">
        <f>IF(OR(S93&lt;0,S93&gt;=$Q$39),-1,MOD(S93,$Q$38))</f>
        <v>0</v>
      </c>
      <c r="V93">
        <f>IF(OR(Q93&lt;=0,S93&lt;0,S93&gt;=$Q$39,R93&gt;=$Q$36),1,0)</f>
        <v>0</v>
      </c>
      <c r="W93">
        <f>IF(V93=1,-1,T93)</f>
        <v>11</v>
      </c>
      <c r="X93">
        <f>IF(V93=1,-1,R93)</f>
        <v>2</v>
      </c>
      <c r="Y93" t="str">
        <f>IF(V93=1,"",IF(AND(MOD(W93,3)=0,U93=INT(($Q$38-1)/2)),INDEX($B$34:$M$34,W93+1),""))</f>
        <v/>
      </c>
      <c r="Z93">
        <f>IF(V93=1,NA(),IF(INDEX($B$35:$M$50,($Q$32-1-0)*$Q$33+X93+1,0*$Q$34+W93+1)="",NA(),IF(INDEX($B$35:$M$50,($Q$32-1-0)*$Q$33+X93+1,0*$Q$34+W93+1)&gt;=0,0+(INDEX($B$35:$M$50,($Q$32-1-0)*$Q$33+X93+1,0*$Q$34+W93+1)-$Q$46)/$Q$48*$Q$42,NA())))</f>
        <v>0.5255303870656417</v>
      </c>
      <c r="AA93" t="e">
        <f>IF(V93=1,NA(),IF(INDEX($B$35:$M$50,($Q$32-1-0)*$Q$33+X93+1,0*$Q$34+W93+1)="",NA(),IF(INDEX($B$35:$M$50,($Q$32-1-0)*$Q$33+X93+1,0*$Q$34+W93+1)&lt;0,0+(INDEX($B$35:$M$50,($Q$32-1-0)*$Q$33+X93+1,0*$Q$34+W93+1)-$Q$46)/$Q$48*$Q$42,NA())))</f>
        <v>#N/A</v>
      </c>
      <c r="AB93">
        <f>IF(V93=1,NA(),IF(INDEX($B$35:$M$50,($Q$32-1-1)*$Q$33+X93+1,0*$Q$34+W93+1)="",NA(),IF(INDEX($B$35:$M$50,($Q$32-1-1)*$Q$33+X93+1,0*$Q$34+W93+1)&gt;=0,1+(INDEX($B$35:$M$50,($Q$32-1-1)*$Q$33+X93+1,0*$Q$34+W93+1)-$Q$46)/$Q$48*$Q$42,NA())))</f>
        <v>1.2591689773564807</v>
      </c>
      <c r="AC93" t="e">
        <f>IF(V93=1,NA(),IF(INDEX($B$35:$M$50,($Q$32-1-1)*$Q$33+X93+1,0*$Q$34+W93+1)="",NA(),IF(INDEX($B$35:$M$50,($Q$32-1-1)*$Q$33+X93+1,0*$Q$34+W93+1)&lt;0,1+(INDEX($B$35:$M$50,($Q$32-1-1)*$Q$33+X93+1,0*$Q$34+W93+1)-$Q$46)/$Q$48*$Q$42,NA())))</f>
        <v>#N/A</v>
      </c>
      <c r="AD93" t="e">
        <f>IF(V93=1,NA(),IF(INDEX($B$35:$M$50,($Q$32-1-2)*$Q$33+X93+1,0*$Q$34+W93+1)="",NA(),IF(INDEX($B$35:$M$50,($Q$32-1-2)*$Q$33+X93+1,0*$Q$34+W93+1)&gt;=0,2+(INDEX($B$35:$M$50,($Q$32-1-2)*$Q$33+X93+1,0*$Q$34+W93+1)-$Q$46)/$Q$48*$Q$42,NA())))</f>
        <v>#N/A</v>
      </c>
      <c r="AE93">
        <f>IF(V93=1,NA(),IF(INDEX($B$35:$M$50,($Q$32-1-2)*$Q$33+X93+1,0*$Q$34+W93+1)="",NA(),IF(INDEX($B$35:$M$50,($Q$32-1-2)*$Q$33+X93+1,0*$Q$34+W93+1)&lt;0,2+(INDEX($B$35:$M$50,($Q$32-1-2)*$Q$33+X93+1,0*$Q$34+W93+1)-$Q$46)/$Q$48*$Q$42,NA())))</f>
        <v>2.1641855825137912</v>
      </c>
      <c r="AF93" t="e">
        <f>IF(V93=1,NA(),IF(INDEX($B$35:$M$50,($Q$32-1-3)*$Q$33+X93+1,0*$Q$34+W93+1)="",NA(),IF(INDEX($B$35:$M$50,($Q$32-1-3)*$Q$33+X93+1,0*$Q$34+W93+1)&gt;=0,3+(INDEX($B$35:$M$50,($Q$32-1-3)*$Q$33+X93+1,0*$Q$34+W93+1)-$Q$46)/$Q$48*$Q$42,NA())))</f>
        <v>#N/A</v>
      </c>
      <c r="AG93">
        <f>IF(V93=1,NA(),IF(INDEX($B$35:$M$50,($Q$32-1-3)*$Q$33+X93+1,0*$Q$34+W93+1)="",NA(),IF(INDEX($B$35:$M$50,($Q$32-1-3)*$Q$33+X93+1,0*$Q$34+W93+1)&lt;0,3+(INDEX($B$35:$M$50,($Q$32-1-3)*$Q$33+X93+1,0*$Q$34+W93+1)-$Q$46)/$Q$48*$Q$42,NA())))</f>
        <v>3.099395419318292</v>
      </c>
      <c r="AI93">
        <f>IF(V93=1,0,IF(INDEX($B$35:$M$50,($Q$32-1-0)*$Q$33+X93+1,0*$Q$34+W93+1)="",0,IF(INDEX($B$35:$M$50,($Q$32-1-0)*$Q$33+X93+1,0*$Q$34+W93+1)&gt;=0,ABS(INDEX($B$35:$M$50,($Q$32-1-0)*$Q$33+X93+1,0*$Q$34+W93+1))/$Q$48*$Q$42,0)))</f>
        <v>0.29124467277992738</v>
      </c>
      <c r="AJ93">
        <f>IF(V93=1,0,IF(INDEX($B$35:$M$50,($Q$32-1-0)*$Q$33+X93+1,0*$Q$34+W93+1)="",0,IF(INDEX($B$35:$M$50,($Q$32-1-0)*$Q$33+X93+1,0*$Q$34+W93+1)&lt;0,ABS(INDEX($B$35:$M$50,($Q$32-1-0)*$Q$33+X93+1,0*$Q$34+W93+1))/$Q$48*$Q$42,0)))</f>
        <v>0</v>
      </c>
      <c r="AK93">
        <f>IF(V93=1,0,IF(INDEX($B$35:$M$50,($Q$32-1-1)*$Q$33+X93+1,0*$Q$34+W93+1)="",0,IF(INDEX($B$35:$M$50,($Q$32-1-1)*$Q$33+X93+1,0*$Q$34+W93+1)&gt;=0,ABS(INDEX($B$35:$M$50,($Q$32-1-1)*$Q$33+X93+1,0*$Q$34+W93+1))/$Q$48*$Q$42,0)))</f>
        <v>2.4883263070766371E-2</v>
      </c>
      <c r="AL93">
        <f>IF(V93=1,0,IF(INDEX($B$35:$M$50,($Q$32-1-1)*$Q$33+X93+1,0*$Q$34+W93+1)="",0,IF(INDEX($B$35:$M$50,($Q$32-1-1)*$Q$33+X93+1,0*$Q$34+W93+1)&lt;0,ABS(INDEX($B$35:$M$50,($Q$32-1-1)*$Q$33+X93+1,0*$Q$34+W93+1))/$Q$48*$Q$42,0)))</f>
        <v>0</v>
      </c>
      <c r="AM93">
        <f>IF(V93=1,0,IF(INDEX($B$35:$M$50,($Q$32-1-2)*$Q$33+X93+1,0*$Q$34+W93+1)="",0,IF(INDEX($B$35:$M$50,($Q$32-1-2)*$Q$33+X93+1,0*$Q$34+W93+1)&gt;=0,ABS(INDEX($B$35:$M$50,($Q$32-1-2)*$Q$33+X93+1,0*$Q$34+W93+1))/$Q$48*$Q$42,0)))</f>
        <v>0</v>
      </c>
      <c r="AN93">
        <f>IF(V93=1,0,IF(INDEX($B$35:$M$50,($Q$32-1-2)*$Q$33+X93+1,0*$Q$34+W93+1)="",0,IF(INDEX($B$35:$M$50,($Q$32-1-2)*$Q$33+X93+1,0*$Q$34+W93+1)&lt;0,ABS(INDEX($B$35:$M$50,($Q$32-1-2)*$Q$33+X93+1,0*$Q$34+W93+1))/$Q$48*$Q$42,0)))</f>
        <v>7.0100131771922883E-2</v>
      </c>
      <c r="AO93">
        <f>IF(V93=1,0,IF(INDEX($B$35:$M$50,($Q$32-1-3)*$Q$33+X93+1,0*$Q$34+W93+1)="",0,IF(INDEX($B$35:$M$50,($Q$32-1-3)*$Q$33+X93+1,0*$Q$34+W93+1)&gt;=0,ABS(INDEX($B$35:$M$50,($Q$32-1-3)*$Q$33+X93+1,0*$Q$34+W93+1))/$Q$48*$Q$42,0)))</f>
        <v>0</v>
      </c>
      <c r="AP93">
        <f>IF(V93=1,0,IF(INDEX($B$35:$M$50,($Q$32-1-3)*$Q$33+X93+1,0*$Q$34+W93+1)="",0,IF(INDEX($B$35:$M$50,($Q$32-1-3)*$Q$33+X93+1,0*$Q$34+W93+1)&lt;0,ABS(INDEX($B$35:$M$50,($Q$32-1-3)*$Q$33+X93+1,0*$Q$34+W93+1))/$Q$48*$Q$42,0)))</f>
        <v>0.13489029496742247</v>
      </c>
      <c r="AR93" t="str">
        <f>IF(V93=1,"",IF(INDEX($B$35:$M$50,($Q$32-1-0)*$Q$33+X93+1,0*$Q$34+W93+1)="","",IF(INDEX($B$35:$M$50,($Q$32-1-0)*$Q$33+X93+1,0*$Q$34+W93+1)&gt;=0,TEXT(INDEX($B$35:$M$50,($Q$32-1-0)*$Q$33+X93+1,0*$Q$34+W93+1),"+0;-0;0"),"")))</f>
        <v>+124</v>
      </c>
      <c r="AS93" t="str">
        <f>IF(V93=1,"",IF(INDEX($B$35:$M$50,($Q$32-1-0)*$Q$33+X93+1,0*$Q$34+W93+1)="","",IF(INDEX($B$35:$M$50,($Q$32-1-0)*$Q$33+X93+1,0*$Q$34+W93+1)&lt;0,TEXT(INDEX($B$35:$M$50,($Q$32-1-0)*$Q$33+X93+1,0*$Q$34+W93+1),"+0;-0;0"),"")))</f>
        <v/>
      </c>
      <c r="AT93" t="str">
        <f>IF(V93=1,"",IF(INDEX($B$35:$M$50,($Q$32-1-1)*$Q$33+X93+1,0*$Q$34+W93+1)="","",IF(INDEX($B$35:$M$50,($Q$32-1-1)*$Q$33+X93+1,0*$Q$34+W93+1)&gt;=0,TEXT(INDEX($B$35:$M$50,($Q$32-1-1)*$Q$33+X93+1,0*$Q$34+W93+1),"+0;-0;0"),"")))</f>
        <v>+11</v>
      </c>
      <c r="AU93" t="str">
        <f>IF(V93=1,"",IF(INDEX($B$35:$M$50,($Q$32-1-1)*$Q$33+X93+1,0*$Q$34+W93+1)="","",IF(INDEX($B$35:$M$50,($Q$32-1-1)*$Q$33+X93+1,0*$Q$34+W93+1)&lt;0,TEXT(INDEX($B$35:$M$50,($Q$32-1-1)*$Q$33+X93+1,0*$Q$34+W93+1),"+0;-0;0"),"")))</f>
        <v/>
      </c>
      <c r="AV93" t="str">
        <f>IF(V93=1,"",IF(INDEX($B$35:$M$50,($Q$32-1-2)*$Q$33+X93+1,0*$Q$34+W93+1)="","",IF(INDEX($B$35:$M$50,($Q$32-1-2)*$Q$33+X93+1,0*$Q$34+W93+1)&gt;=0,TEXT(INDEX($B$35:$M$50,($Q$32-1-2)*$Q$33+X93+1,0*$Q$34+W93+1),"+0;-0;0"),"")))</f>
        <v/>
      </c>
      <c r="AW93" t="str">
        <f>IF(V93=1,"",IF(INDEX($B$35:$M$50,($Q$32-1-2)*$Q$33+X93+1,0*$Q$34+W93+1)="","",IF(INDEX($B$35:$M$50,($Q$32-1-2)*$Q$33+X93+1,0*$Q$34+W93+1)&lt;0,TEXT(INDEX($B$35:$M$50,($Q$32-1-2)*$Q$33+X93+1,0*$Q$34+W93+1),"+0;-0;0"),"")))</f>
        <v>-30</v>
      </c>
      <c r="AX93" t="str">
        <f>IF(V93=1,"",IF(INDEX($B$35:$M$50,($Q$32-1-3)*$Q$33+X93+1,0*$Q$34+W93+1)="","",IF(INDEX($B$35:$M$50,($Q$32-1-3)*$Q$33+X93+1,0*$Q$34+W93+1)&gt;=0,TEXT(INDEX($B$35:$M$50,($Q$32-1-3)*$Q$33+X93+1,0*$Q$34+W93+1),"+0;-0;0"),"")))</f>
        <v/>
      </c>
      <c r="AY93" t="str">
        <f>IF(V93=1,"",IF(INDEX($B$35:$M$50,($Q$32-1-3)*$Q$33+X93+1,0*$Q$34+W93+1)="","",IF(INDEX($B$35:$M$50,($Q$32-1-3)*$Q$33+X93+1,0*$Q$34+W93+1)&lt;0,TEXT(INDEX($B$35:$M$50,($Q$32-1-3)*$Q$33+X93+1,0*$Q$34+W93+1),"+0;-0;0"),"")))</f>
        <v>-58</v>
      </c>
      <c r="BG93">
        <v>28.5</v>
      </c>
      <c r="BH93">
        <f>IF(OR($Q$46&gt;0,$Q$47&lt;0),NA(),3+$Q$49)</f>
        <v>3.2342857142857144</v>
      </c>
    </row>
    <row r="94" spans="16:60" x14ac:dyDescent="0.35">
      <c r="P94">
        <v>42</v>
      </c>
      <c r="Q94">
        <f>P94-$Q$41</f>
        <v>39</v>
      </c>
      <c r="R94">
        <f>IF(Q94&lt;=0,-1,INT((Q94-1)/($Q$39+$Q$40)))</f>
        <v>2</v>
      </c>
      <c r="S94">
        <f>IF(Q94&lt;=0,-1,MOD(Q94-1,($Q$39+$Q$40)))</f>
        <v>12</v>
      </c>
      <c r="T94">
        <f>IF(OR(S94&lt;0,S94&gt;=$Q$39),-1,INT(S94/$Q$38))</f>
        <v>-1</v>
      </c>
      <c r="U94">
        <f>IF(OR(S94&lt;0,S94&gt;=$Q$39),-1,MOD(S94,$Q$38))</f>
        <v>-1</v>
      </c>
      <c r="V94">
        <f>IF(OR(Q94&lt;=0,S94&lt;0,S94&gt;=$Q$39,R94&gt;=$Q$36),1,0)</f>
        <v>1</v>
      </c>
      <c r="W94">
        <f>IF(V94=1,-1,T94)</f>
        <v>-1</v>
      </c>
      <c r="X94">
        <f>IF(V94=1,-1,R94)</f>
        <v>-1</v>
      </c>
      <c r="Y94" t="str">
        <f>IF(V94=1,"",IF(AND(MOD(W94,3)=0,U94=INT(($Q$38-1)/2)),INDEX($B$34:$M$34,W94+1),""))</f>
        <v/>
      </c>
      <c r="Z94" t="e">
        <f>IF(V94=1,NA(),IF(INDEX($B$35:$M$50,($Q$32-1-0)*$Q$33+X94+1,0*$Q$34+W94+1)="",NA(),IF(INDEX($B$35:$M$50,($Q$32-1-0)*$Q$33+X94+1,0*$Q$34+W94+1)&gt;=0,0+(INDEX($B$35:$M$50,($Q$32-1-0)*$Q$33+X94+1,0*$Q$34+W94+1)-$Q$46)/$Q$48*$Q$42,NA())))</f>
        <v>#N/A</v>
      </c>
      <c r="AA94" t="e">
        <f>IF(V94=1,NA(),IF(INDEX($B$35:$M$50,($Q$32-1-0)*$Q$33+X94+1,0*$Q$34+W94+1)="",NA(),IF(INDEX($B$35:$M$50,($Q$32-1-0)*$Q$33+X94+1,0*$Q$34+W94+1)&lt;0,0+(INDEX($B$35:$M$50,($Q$32-1-0)*$Q$33+X94+1,0*$Q$34+W94+1)-$Q$46)/$Q$48*$Q$42,NA())))</f>
        <v>#N/A</v>
      </c>
      <c r="AB94" t="e">
        <f>IF(V94=1,NA(),IF(INDEX($B$35:$M$50,($Q$32-1-1)*$Q$33+X94+1,0*$Q$34+W94+1)="",NA(),IF(INDEX($B$35:$M$50,($Q$32-1-1)*$Q$33+X94+1,0*$Q$34+W94+1)&gt;=0,1+(INDEX($B$35:$M$50,($Q$32-1-1)*$Q$33+X94+1,0*$Q$34+W94+1)-$Q$46)/$Q$48*$Q$42,NA())))</f>
        <v>#N/A</v>
      </c>
      <c r="AC94" t="e">
        <f>IF(V94=1,NA(),IF(INDEX($B$35:$M$50,($Q$32-1-1)*$Q$33+X94+1,0*$Q$34+W94+1)="",NA(),IF(INDEX($B$35:$M$50,($Q$32-1-1)*$Q$33+X94+1,0*$Q$34+W94+1)&lt;0,1+(INDEX($B$35:$M$50,($Q$32-1-1)*$Q$33+X94+1,0*$Q$34+W94+1)-$Q$46)/$Q$48*$Q$42,NA())))</f>
        <v>#N/A</v>
      </c>
      <c r="AD94" t="e">
        <f>IF(V94=1,NA(),IF(INDEX($B$35:$M$50,($Q$32-1-2)*$Q$33+X94+1,0*$Q$34+W94+1)="",NA(),IF(INDEX($B$35:$M$50,($Q$32-1-2)*$Q$33+X94+1,0*$Q$34+W94+1)&gt;=0,2+(INDEX($B$35:$M$50,($Q$32-1-2)*$Q$33+X94+1,0*$Q$34+W94+1)-$Q$46)/$Q$48*$Q$42,NA())))</f>
        <v>#N/A</v>
      </c>
      <c r="AE94" t="e">
        <f>IF(V94=1,NA(),IF(INDEX($B$35:$M$50,($Q$32-1-2)*$Q$33+X94+1,0*$Q$34+W94+1)="",NA(),IF(INDEX($B$35:$M$50,($Q$32-1-2)*$Q$33+X94+1,0*$Q$34+W94+1)&lt;0,2+(INDEX($B$35:$M$50,($Q$32-1-2)*$Q$33+X94+1,0*$Q$34+W94+1)-$Q$46)/$Q$48*$Q$42,NA())))</f>
        <v>#N/A</v>
      </c>
      <c r="AF94" t="e">
        <f>IF(V94=1,NA(),IF(INDEX($B$35:$M$50,($Q$32-1-3)*$Q$33+X94+1,0*$Q$34+W94+1)="",NA(),IF(INDEX($B$35:$M$50,($Q$32-1-3)*$Q$33+X94+1,0*$Q$34+W94+1)&gt;=0,3+(INDEX($B$35:$M$50,($Q$32-1-3)*$Q$33+X94+1,0*$Q$34+W94+1)-$Q$46)/$Q$48*$Q$42,NA())))</f>
        <v>#N/A</v>
      </c>
      <c r="AG94" t="e">
        <f>IF(V94=1,NA(),IF(INDEX($B$35:$M$50,($Q$32-1-3)*$Q$33+X94+1,0*$Q$34+W94+1)="",NA(),IF(INDEX($B$35:$M$50,($Q$32-1-3)*$Q$33+X94+1,0*$Q$34+W94+1)&lt;0,3+(INDEX($B$35:$M$50,($Q$32-1-3)*$Q$33+X94+1,0*$Q$34+W94+1)-$Q$46)/$Q$48*$Q$42,NA())))</f>
        <v>#N/A</v>
      </c>
      <c r="AI94">
        <f>IF(V94=1,0,IF(INDEX($B$35:$M$50,($Q$32-1-0)*$Q$33+X94+1,0*$Q$34+W94+1)="",0,IF(INDEX($B$35:$M$50,($Q$32-1-0)*$Q$33+X94+1,0*$Q$34+W94+1)&gt;=0,ABS(INDEX($B$35:$M$50,($Q$32-1-0)*$Q$33+X94+1,0*$Q$34+W94+1))/$Q$48*$Q$42,0)))</f>
        <v>0</v>
      </c>
      <c r="AJ94">
        <f>IF(V94=1,0,IF(INDEX($B$35:$M$50,($Q$32-1-0)*$Q$33+X94+1,0*$Q$34+W94+1)="",0,IF(INDEX($B$35:$M$50,($Q$32-1-0)*$Q$33+X94+1,0*$Q$34+W94+1)&lt;0,ABS(INDEX($B$35:$M$50,($Q$32-1-0)*$Q$33+X94+1,0*$Q$34+W94+1))/$Q$48*$Q$42,0)))</f>
        <v>0</v>
      </c>
      <c r="AK94">
        <f>IF(V94=1,0,IF(INDEX($B$35:$M$50,($Q$32-1-1)*$Q$33+X94+1,0*$Q$34+W94+1)="",0,IF(INDEX($B$35:$M$50,($Q$32-1-1)*$Q$33+X94+1,0*$Q$34+W94+1)&gt;=0,ABS(INDEX($B$35:$M$50,($Q$32-1-1)*$Q$33+X94+1,0*$Q$34+W94+1))/$Q$48*$Q$42,0)))</f>
        <v>0</v>
      </c>
      <c r="AL94">
        <f>IF(V94=1,0,IF(INDEX($B$35:$M$50,($Q$32-1-1)*$Q$33+X94+1,0*$Q$34+W94+1)="",0,IF(INDEX($B$35:$M$50,($Q$32-1-1)*$Q$33+X94+1,0*$Q$34+W94+1)&lt;0,ABS(INDEX($B$35:$M$50,($Q$32-1-1)*$Q$33+X94+1,0*$Q$34+W94+1))/$Q$48*$Q$42,0)))</f>
        <v>0</v>
      </c>
      <c r="AM94">
        <f>IF(V94=1,0,IF(INDEX($B$35:$M$50,($Q$32-1-2)*$Q$33+X94+1,0*$Q$34+W94+1)="",0,IF(INDEX($B$35:$M$50,($Q$32-1-2)*$Q$33+X94+1,0*$Q$34+W94+1)&gt;=0,ABS(INDEX($B$35:$M$50,($Q$32-1-2)*$Q$33+X94+1,0*$Q$34+W94+1))/$Q$48*$Q$42,0)))</f>
        <v>0</v>
      </c>
      <c r="AN94">
        <f>IF(V94=1,0,IF(INDEX($B$35:$M$50,($Q$32-1-2)*$Q$33+X94+1,0*$Q$34+W94+1)="",0,IF(INDEX($B$35:$M$50,($Q$32-1-2)*$Q$33+X94+1,0*$Q$34+W94+1)&lt;0,ABS(INDEX($B$35:$M$50,($Q$32-1-2)*$Q$33+X94+1,0*$Q$34+W94+1))/$Q$48*$Q$42,0)))</f>
        <v>0</v>
      </c>
      <c r="AO94">
        <f>IF(V94=1,0,IF(INDEX($B$35:$M$50,($Q$32-1-3)*$Q$33+X94+1,0*$Q$34+W94+1)="",0,IF(INDEX($B$35:$M$50,($Q$32-1-3)*$Q$33+X94+1,0*$Q$34+W94+1)&gt;=0,ABS(INDEX($B$35:$M$50,($Q$32-1-3)*$Q$33+X94+1,0*$Q$34+W94+1))/$Q$48*$Q$42,0)))</f>
        <v>0</v>
      </c>
      <c r="AP94">
        <f>IF(V94=1,0,IF(INDEX($B$35:$M$50,($Q$32-1-3)*$Q$33+X94+1,0*$Q$34+W94+1)="",0,IF(INDEX($B$35:$M$50,($Q$32-1-3)*$Q$33+X94+1,0*$Q$34+W94+1)&lt;0,ABS(INDEX($B$35:$M$50,($Q$32-1-3)*$Q$33+X94+1,0*$Q$34+W94+1))/$Q$48*$Q$42,0)))</f>
        <v>0</v>
      </c>
      <c r="AR94" t="str">
        <f>IF(V94=1,"",IF(INDEX($B$35:$M$50,($Q$32-1-0)*$Q$33+X94+1,0*$Q$34+W94+1)="","",IF(INDEX($B$35:$M$50,($Q$32-1-0)*$Q$33+X94+1,0*$Q$34+W94+1)&gt;=0,TEXT(INDEX($B$35:$M$50,($Q$32-1-0)*$Q$33+X94+1,0*$Q$34+W94+1),"+0;-0;0"),"")))</f>
        <v/>
      </c>
      <c r="AS94" t="str">
        <f>IF(V94=1,"",IF(INDEX($B$35:$M$50,($Q$32-1-0)*$Q$33+X94+1,0*$Q$34+W94+1)="","",IF(INDEX($B$35:$M$50,($Q$32-1-0)*$Q$33+X94+1,0*$Q$34+W94+1)&lt;0,TEXT(INDEX($B$35:$M$50,($Q$32-1-0)*$Q$33+X94+1,0*$Q$34+W94+1),"+0;-0;0"),"")))</f>
        <v/>
      </c>
      <c r="AT94" t="str">
        <f>IF(V94=1,"",IF(INDEX($B$35:$M$50,($Q$32-1-1)*$Q$33+X94+1,0*$Q$34+W94+1)="","",IF(INDEX($B$35:$M$50,($Q$32-1-1)*$Q$33+X94+1,0*$Q$34+W94+1)&gt;=0,TEXT(INDEX($B$35:$M$50,($Q$32-1-1)*$Q$33+X94+1,0*$Q$34+W94+1),"+0;-0;0"),"")))</f>
        <v/>
      </c>
      <c r="AU94" t="str">
        <f>IF(V94=1,"",IF(INDEX($B$35:$M$50,($Q$32-1-1)*$Q$33+X94+1,0*$Q$34+W94+1)="","",IF(INDEX($B$35:$M$50,($Q$32-1-1)*$Q$33+X94+1,0*$Q$34+W94+1)&lt;0,TEXT(INDEX($B$35:$M$50,($Q$32-1-1)*$Q$33+X94+1,0*$Q$34+W94+1),"+0;-0;0"),"")))</f>
        <v/>
      </c>
      <c r="AV94" t="str">
        <f>IF(V94=1,"",IF(INDEX($B$35:$M$50,($Q$32-1-2)*$Q$33+X94+1,0*$Q$34+W94+1)="","",IF(INDEX($B$35:$M$50,($Q$32-1-2)*$Q$33+X94+1,0*$Q$34+W94+1)&gt;=0,TEXT(INDEX($B$35:$M$50,($Q$32-1-2)*$Q$33+X94+1,0*$Q$34+W94+1),"+0;-0;0"),"")))</f>
        <v/>
      </c>
      <c r="AW94" t="str">
        <f>IF(V94=1,"",IF(INDEX($B$35:$M$50,($Q$32-1-2)*$Q$33+X94+1,0*$Q$34+W94+1)="","",IF(INDEX($B$35:$M$50,($Q$32-1-2)*$Q$33+X94+1,0*$Q$34+W94+1)&lt;0,TEXT(INDEX($B$35:$M$50,($Q$32-1-2)*$Q$33+X94+1,0*$Q$34+W94+1),"+0;-0;0"),"")))</f>
        <v/>
      </c>
      <c r="AX94" t="str">
        <f>IF(V94=1,"",IF(INDEX($B$35:$M$50,($Q$32-1-3)*$Q$33+X94+1,0*$Q$34+W94+1)="","",IF(INDEX($B$35:$M$50,($Q$32-1-3)*$Q$33+X94+1,0*$Q$34+W94+1)&gt;=0,TEXT(INDEX($B$35:$M$50,($Q$32-1-3)*$Q$33+X94+1,0*$Q$34+W94+1),"+0;-0;0"),"")))</f>
        <v/>
      </c>
      <c r="AY94" t="str">
        <f>IF(V94=1,"",IF(INDEX($B$35:$M$50,($Q$32-1-3)*$Q$33+X94+1,0*$Q$34+W94+1)="","",IF(INDEX($B$35:$M$50,($Q$32-1-3)*$Q$33+X94+1,0*$Q$34+W94+1)&lt;0,TEXT(INDEX($B$35:$M$50,($Q$32-1-3)*$Q$33+X94+1,0*$Q$34+W94+1),"+0;-0;0"),"")))</f>
        <v/>
      </c>
      <c r="BG94">
        <v>28.5</v>
      </c>
      <c r="BH94" t="e">
        <f>NA()</f>
        <v>#N/A</v>
      </c>
    </row>
    <row r="95" spans="16:60" x14ac:dyDescent="0.35">
      <c r="P95">
        <v>43</v>
      </c>
      <c r="Q95">
        <f>P95-$Q$41</f>
        <v>40</v>
      </c>
      <c r="R95">
        <f>IF(Q95&lt;=0,-1,INT((Q95-1)/($Q$39+$Q$40)))</f>
        <v>3</v>
      </c>
      <c r="S95">
        <f>IF(Q95&lt;=0,-1,MOD(Q95-1,($Q$39+$Q$40)))</f>
        <v>0</v>
      </c>
      <c r="T95">
        <f>IF(OR(S95&lt;0,S95&gt;=$Q$39),-1,INT(S95/$Q$38))</f>
        <v>0</v>
      </c>
      <c r="U95">
        <f>IF(OR(S95&lt;0,S95&gt;=$Q$39),-1,MOD(S95,$Q$38))</f>
        <v>0</v>
      </c>
      <c r="V95">
        <f>IF(OR(Q95&lt;=0,S95&lt;0,S95&gt;=$Q$39,R95&gt;=$Q$36),1,0)</f>
        <v>0</v>
      </c>
      <c r="W95">
        <f>IF(V95=1,-1,T95)</f>
        <v>0</v>
      </c>
      <c r="X95">
        <f>IF(V95=1,-1,R95)</f>
        <v>3</v>
      </c>
      <c r="Y95" t="str">
        <f>IF(V95=1,"",IF(AND(MOD(W95,3)=0,U95=INT(($Q$38-1)/2)),INDEX($B$34:$M$34,W95+1),""))</f>
        <v>Jan</v>
      </c>
      <c r="Z95" t="e">
        <f>IF(V95=1,NA(),IF(INDEX($B$35:$M$50,($Q$32-1-0)*$Q$33+X95+1,0*$Q$34+W95+1)="",NA(),IF(INDEX($B$35:$M$50,($Q$32-1-0)*$Q$33+X95+1,0*$Q$34+W95+1)&gt;=0,0+(INDEX($B$35:$M$50,($Q$32-1-0)*$Q$33+X95+1,0*$Q$34+W95+1)-$Q$46)/$Q$48*$Q$42,NA())))</f>
        <v>#N/A</v>
      </c>
      <c r="AA95" t="e">
        <f>IF(V95=1,NA(),IF(INDEX($B$35:$M$50,($Q$32-1-0)*$Q$33+X95+1,0*$Q$34+W95+1)="",NA(),IF(INDEX($B$35:$M$50,($Q$32-1-0)*$Q$33+X95+1,0*$Q$34+W95+1)&lt;0,0+(INDEX($B$35:$M$50,($Q$32-1-0)*$Q$33+X95+1,0*$Q$34+W95+1)-$Q$46)/$Q$48*$Q$42,NA())))</f>
        <v>#N/A</v>
      </c>
      <c r="AB95">
        <f>IF(V95=1,NA(),IF(INDEX($B$35:$M$50,($Q$32-1-1)*$Q$33+X95+1,0*$Q$34+W95+1)="",NA(),IF(INDEX($B$35:$M$50,($Q$32-1-1)*$Q$33+X95+1,0*$Q$34+W95+1)&gt;=0,1+(INDEX($B$35:$M$50,($Q$32-1-1)*$Q$33+X95+1,0*$Q$34+W95+1)-$Q$46)/$Q$48*$Q$42,NA())))</f>
        <v>1.3392522765763997</v>
      </c>
      <c r="AC95" t="e">
        <f>IF(V95=1,NA(),IF(INDEX($B$35:$M$50,($Q$32-1-1)*$Q$33+X95+1,0*$Q$34+W95+1)="",NA(),IF(INDEX($B$35:$M$50,($Q$32-1-1)*$Q$33+X95+1,0*$Q$34+W95+1)&lt;0,1+(INDEX($B$35:$M$50,($Q$32-1-1)*$Q$33+X95+1,0*$Q$34+W95+1)-$Q$46)/$Q$48*$Q$42,NA())))</f>
        <v>#N/A</v>
      </c>
      <c r="AD95" t="e">
        <f>IF(V95=1,NA(),IF(INDEX($B$35:$M$50,($Q$32-1-2)*$Q$33+X95+1,0*$Q$34+W95+1)="",NA(),IF(INDEX($B$35:$M$50,($Q$32-1-2)*$Q$33+X95+1,0*$Q$34+W95+1)&gt;=0,2+(INDEX($B$35:$M$50,($Q$32-1-2)*$Q$33+X95+1,0*$Q$34+W95+1)-$Q$46)/$Q$48*$Q$42,NA())))</f>
        <v>#N/A</v>
      </c>
      <c r="AE95">
        <f>IF(V95=1,NA(),IF(INDEX($B$35:$M$50,($Q$32-1-2)*$Q$33+X95+1,0*$Q$34+W95+1)="",NA(),IF(INDEX($B$35:$M$50,($Q$32-1-2)*$Q$33+X95+1,0*$Q$34+W95+1)&lt;0,2+(INDEX($B$35:$M$50,($Q$32-1-2)*$Q$33+X95+1,0*$Q$34+W95+1)-$Q$46)/$Q$48*$Q$42,NA())))</f>
        <v>2.2019295370392369</v>
      </c>
      <c r="AF95" t="e">
        <f>IF(V95=1,NA(),IF(INDEX($B$35:$M$50,($Q$32-1-3)*$Q$33+X95+1,0*$Q$34+W95+1)="",NA(),IF(INDEX($B$35:$M$50,($Q$32-1-3)*$Q$33+X95+1,0*$Q$34+W95+1)&gt;=0,3+(INDEX($B$35:$M$50,($Q$32-1-3)*$Q$33+X95+1,0*$Q$34+W95+1)-$Q$46)/$Q$48*$Q$42,NA())))</f>
        <v>#N/A</v>
      </c>
      <c r="AG95">
        <f>IF(V95=1,NA(),IF(INDEX($B$35:$M$50,($Q$32-1-3)*$Q$33+X95+1,0*$Q$34+W95+1)="",NA(),IF(INDEX($B$35:$M$50,($Q$32-1-3)*$Q$33+X95+1,0*$Q$34+W95+1)&lt;0,3+(INDEX($B$35:$M$50,($Q$32-1-3)*$Q$33+X95+1,0*$Q$34+W95+1)-$Q$46)/$Q$48*$Q$42,NA())))</f>
        <v>3.1167835194425955</v>
      </c>
      <c r="AI95">
        <f>IF(V95=1,0,IF(INDEX($B$35:$M$50,($Q$32-1-0)*$Q$33+X95+1,0*$Q$34+W95+1)="",0,IF(INDEX($B$35:$M$50,($Q$32-1-0)*$Q$33+X95+1,0*$Q$34+W95+1)&gt;=0,ABS(INDEX($B$35:$M$50,($Q$32-1-0)*$Q$33+X95+1,0*$Q$34+W95+1))/$Q$48*$Q$42,0)))</f>
        <v>0</v>
      </c>
      <c r="AJ95">
        <f>IF(V95=1,0,IF(INDEX($B$35:$M$50,($Q$32-1-0)*$Q$33+X95+1,0*$Q$34+W95+1)="",0,IF(INDEX($B$35:$M$50,($Q$32-1-0)*$Q$33+X95+1,0*$Q$34+W95+1)&lt;0,ABS(INDEX($B$35:$M$50,($Q$32-1-0)*$Q$33+X95+1,0*$Q$34+W95+1))/$Q$48*$Q$42,0)))</f>
        <v>0</v>
      </c>
      <c r="AK95">
        <f>IF(V95=1,0,IF(INDEX($B$35:$M$50,($Q$32-1-1)*$Q$33+X95+1,0*$Q$34+W95+1)="",0,IF(INDEX($B$35:$M$50,($Q$32-1-1)*$Q$33+X95+1,0*$Q$34+W95+1)&gt;=0,ABS(INDEX($B$35:$M$50,($Q$32-1-1)*$Q$33+X95+1,0*$Q$34+W95+1))/$Q$48*$Q$42,0)))</f>
        <v>0.10496656229068534</v>
      </c>
      <c r="AL95">
        <f>IF(V95=1,0,IF(INDEX($B$35:$M$50,($Q$32-1-1)*$Q$33+X95+1,0*$Q$34+W95+1)="",0,IF(INDEX($B$35:$M$50,($Q$32-1-1)*$Q$33+X95+1,0*$Q$34+W95+1)&lt;0,ABS(INDEX($B$35:$M$50,($Q$32-1-1)*$Q$33+X95+1,0*$Q$34+W95+1))/$Q$48*$Q$42,0)))</f>
        <v>0</v>
      </c>
      <c r="AM95">
        <f>IF(V95=1,0,IF(INDEX($B$35:$M$50,($Q$32-1-2)*$Q$33+X95+1,0*$Q$34+W95+1)="",0,IF(INDEX($B$35:$M$50,($Q$32-1-2)*$Q$33+X95+1,0*$Q$34+W95+1)&gt;=0,ABS(INDEX($B$35:$M$50,($Q$32-1-2)*$Q$33+X95+1,0*$Q$34+W95+1))/$Q$48*$Q$42,0)))</f>
        <v>0</v>
      </c>
      <c r="AN95">
        <f>IF(V95=1,0,IF(INDEX($B$35:$M$50,($Q$32-1-2)*$Q$33+X95+1,0*$Q$34+W95+1)="",0,IF(INDEX($B$35:$M$50,($Q$32-1-2)*$Q$33+X95+1,0*$Q$34+W95+1)&lt;0,ABS(INDEX($B$35:$M$50,($Q$32-1-2)*$Q$33+X95+1,0*$Q$34+W95+1))/$Q$48*$Q$42,0)))</f>
        <v>3.2356177246477207E-2</v>
      </c>
      <c r="AO95">
        <f>IF(V95=1,0,IF(INDEX($B$35:$M$50,($Q$32-1-3)*$Q$33+X95+1,0*$Q$34+W95+1)="",0,IF(INDEX($B$35:$M$50,($Q$32-1-3)*$Q$33+X95+1,0*$Q$34+W95+1)&gt;=0,ABS(INDEX($B$35:$M$50,($Q$32-1-3)*$Q$33+X95+1,0*$Q$34+W95+1))/$Q$48*$Q$42,0)))</f>
        <v>0</v>
      </c>
      <c r="AP95">
        <f>IF(V95=1,0,IF(INDEX($B$35:$M$50,($Q$32-1-3)*$Q$33+X95+1,0*$Q$34+W95+1)="",0,IF(INDEX($B$35:$M$50,($Q$32-1-3)*$Q$33+X95+1,0*$Q$34+W95+1)&lt;0,ABS(INDEX($B$35:$M$50,($Q$32-1-3)*$Q$33+X95+1,0*$Q$34+W95+1))/$Q$48*$Q$42,0)))</f>
        <v>0.11750219484311872</v>
      </c>
      <c r="AR95" t="str">
        <f>IF(V95=1,"",IF(INDEX($B$35:$M$50,($Q$32-1-0)*$Q$33+X95+1,0*$Q$34+W95+1)="","",IF(INDEX($B$35:$M$50,($Q$32-1-0)*$Q$33+X95+1,0*$Q$34+W95+1)&gt;=0,TEXT(INDEX($B$35:$M$50,($Q$32-1-0)*$Q$33+X95+1,0*$Q$34+W95+1),"+0;-0;0"),"")))</f>
        <v/>
      </c>
      <c r="AS95" t="str">
        <f>IF(V95=1,"",IF(INDEX($B$35:$M$50,($Q$32-1-0)*$Q$33+X95+1,0*$Q$34+W95+1)="","",IF(INDEX($B$35:$M$50,($Q$32-1-0)*$Q$33+X95+1,0*$Q$34+W95+1)&lt;0,TEXT(INDEX($B$35:$M$50,($Q$32-1-0)*$Q$33+X95+1,0*$Q$34+W95+1),"+0;-0;0"),"")))</f>
        <v/>
      </c>
      <c r="AT95" t="str">
        <f>IF(V95=1,"",IF(INDEX($B$35:$M$50,($Q$32-1-1)*$Q$33+X95+1,0*$Q$34+W95+1)="","",IF(INDEX($B$35:$M$50,($Q$32-1-1)*$Q$33+X95+1,0*$Q$34+W95+1)&gt;=0,TEXT(INDEX($B$35:$M$50,($Q$32-1-1)*$Q$33+X95+1,0*$Q$34+W95+1),"+0;-0;0"),"")))</f>
        <v>+45</v>
      </c>
      <c r="AU95" t="str">
        <f>IF(V95=1,"",IF(INDEX($B$35:$M$50,($Q$32-1-1)*$Q$33+X95+1,0*$Q$34+W95+1)="","",IF(INDEX($B$35:$M$50,($Q$32-1-1)*$Q$33+X95+1,0*$Q$34+W95+1)&lt;0,TEXT(INDEX($B$35:$M$50,($Q$32-1-1)*$Q$33+X95+1,0*$Q$34+W95+1),"+0;-0;0"),"")))</f>
        <v/>
      </c>
      <c r="AV95" t="str">
        <f>IF(V95=1,"",IF(INDEX($B$35:$M$50,($Q$32-1-2)*$Q$33+X95+1,0*$Q$34+W95+1)="","",IF(INDEX($B$35:$M$50,($Q$32-1-2)*$Q$33+X95+1,0*$Q$34+W95+1)&gt;=0,TEXT(INDEX($B$35:$M$50,($Q$32-1-2)*$Q$33+X95+1,0*$Q$34+W95+1),"+0;-0;0"),"")))</f>
        <v/>
      </c>
      <c r="AW95" t="str">
        <f>IF(V95=1,"",IF(INDEX($B$35:$M$50,($Q$32-1-2)*$Q$33+X95+1,0*$Q$34+W95+1)="","",IF(INDEX($B$35:$M$50,($Q$32-1-2)*$Q$33+X95+1,0*$Q$34+W95+1)&lt;0,TEXT(INDEX($B$35:$M$50,($Q$32-1-2)*$Q$33+X95+1,0*$Q$34+W95+1),"+0;-0;0"),"")))</f>
        <v>-14</v>
      </c>
      <c r="AX95" t="str">
        <f>IF(V95=1,"",IF(INDEX($B$35:$M$50,($Q$32-1-3)*$Q$33+X95+1,0*$Q$34+W95+1)="","",IF(INDEX($B$35:$M$50,($Q$32-1-3)*$Q$33+X95+1,0*$Q$34+W95+1)&gt;=0,TEXT(INDEX($B$35:$M$50,($Q$32-1-3)*$Q$33+X95+1,0*$Q$34+W95+1),"+0;-0;0"),"")))</f>
        <v/>
      </c>
      <c r="AY95" t="str">
        <f>IF(V95=1,"",IF(INDEX($B$35:$M$50,($Q$32-1-3)*$Q$33+X95+1,0*$Q$34+W95+1)="","",IF(INDEX($B$35:$M$50,($Q$32-1-3)*$Q$33+X95+1,0*$Q$34+W95+1)&lt;0,TEXT(INDEX($B$35:$M$50,($Q$32-1-3)*$Q$33+X95+1,0*$Q$34+W95+1),"+0;-0;0"),"")))</f>
        <v>-50</v>
      </c>
      <c r="BG95">
        <v>29.5</v>
      </c>
      <c r="BH95">
        <f>IF(OR($Q$46&gt;0,$Q$47&lt;0),NA(),3+$Q$49)</f>
        <v>3.2342857142857144</v>
      </c>
    </row>
    <row r="96" spans="16:60" x14ac:dyDescent="0.35">
      <c r="P96">
        <v>44</v>
      </c>
      <c r="Q96">
        <f>P96-$Q$41</f>
        <v>41</v>
      </c>
      <c r="R96">
        <f>IF(Q96&lt;=0,-1,INT((Q96-1)/($Q$39+$Q$40)))</f>
        <v>3</v>
      </c>
      <c r="S96">
        <f>IF(Q96&lt;=0,-1,MOD(Q96-1,($Q$39+$Q$40)))</f>
        <v>1</v>
      </c>
      <c r="T96">
        <f>IF(OR(S96&lt;0,S96&gt;=$Q$39),-1,INT(S96/$Q$38))</f>
        <v>1</v>
      </c>
      <c r="U96">
        <f>IF(OR(S96&lt;0,S96&gt;=$Q$39),-1,MOD(S96,$Q$38))</f>
        <v>0</v>
      </c>
      <c r="V96">
        <f>IF(OR(Q96&lt;=0,S96&lt;0,S96&gt;=$Q$39,R96&gt;=$Q$36),1,0)</f>
        <v>0</v>
      </c>
      <c r="W96">
        <f>IF(V96=1,-1,T96)</f>
        <v>1</v>
      </c>
      <c r="X96">
        <f>IF(V96=1,-1,R96)</f>
        <v>3</v>
      </c>
      <c r="Y96" t="str">
        <f>IF(V96=1,"",IF(AND(MOD(W96,3)=0,U96=INT(($Q$38-1)/2)),INDEX($B$34:$M$34,W96+1),""))</f>
        <v/>
      </c>
      <c r="Z96" t="e">
        <f>IF(V96=1,NA(),IF(INDEX($B$35:$M$50,($Q$32-1-0)*$Q$33+X96+1,0*$Q$34+W96+1)="",NA(),IF(INDEX($B$35:$M$50,($Q$32-1-0)*$Q$33+X96+1,0*$Q$34+W96+1)&gt;=0,0+(INDEX($B$35:$M$50,($Q$32-1-0)*$Q$33+X96+1,0*$Q$34+W96+1)-$Q$46)/$Q$48*$Q$42,NA())))</f>
        <v>#N/A</v>
      </c>
      <c r="AA96" t="e">
        <f>IF(V96=1,NA(),IF(INDEX($B$35:$M$50,($Q$32-1-0)*$Q$33+X96+1,0*$Q$34+W96+1)="",NA(),IF(INDEX($B$35:$M$50,($Q$32-1-0)*$Q$33+X96+1,0*$Q$34+W96+1)&lt;0,0+(INDEX($B$35:$M$50,($Q$32-1-0)*$Q$33+X96+1,0*$Q$34+W96+1)-$Q$46)/$Q$48*$Q$42,NA())))</f>
        <v>#N/A</v>
      </c>
      <c r="AB96">
        <f>IF(V96=1,NA(),IF(INDEX($B$35:$M$50,($Q$32-1-1)*$Q$33+X96+1,0*$Q$34+W96+1)="",NA(),IF(INDEX($B$35:$M$50,($Q$32-1-1)*$Q$33+X96+1,0*$Q$34+W96+1)&gt;=0,1+(INDEX($B$35:$M$50,($Q$32-1-1)*$Q$33+X96+1,0*$Q$34+W96+1)-$Q$46)/$Q$48*$Q$42,NA())))</f>
        <v>1.340885920628663</v>
      </c>
      <c r="AC96" t="e">
        <f>IF(V96=1,NA(),IF(INDEX($B$35:$M$50,($Q$32-1-1)*$Q$33+X96+1,0*$Q$34+W96+1)="",NA(),IF(INDEX($B$35:$M$50,($Q$32-1-1)*$Q$33+X96+1,0*$Q$34+W96+1)&lt;0,1+(INDEX($B$35:$M$50,($Q$32-1-1)*$Q$33+X96+1,0*$Q$34+W96+1)-$Q$46)/$Q$48*$Q$42,NA())))</f>
        <v>#N/A</v>
      </c>
      <c r="AD96" t="e">
        <f>IF(V96=1,NA(),IF(INDEX($B$35:$M$50,($Q$32-1-2)*$Q$33+X96+1,0*$Q$34+W96+1)="",NA(),IF(INDEX($B$35:$M$50,($Q$32-1-2)*$Q$33+X96+1,0*$Q$34+W96+1)&gt;=0,2+(INDEX($B$35:$M$50,($Q$32-1-2)*$Q$33+X96+1,0*$Q$34+W96+1)-$Q$46)/$Q$48*$Q$42,NA())))</f>
        <v>#N/A</v>
      </c>
      <c r="AE96">
        <f>IF(V96=1,NA(),IF(INDEX($B$35:$M$50,($Q$32-1-2)*$Q$33+X96+1,0*$Q$34+W96+1)="",NA(),IF(INDEX($B$35:$M$50,($Q$32-1-2)*$Q$33+X96+1,0*$Q$34+W96+1)&lt;0,2+(INDEX($B$35:$M$50,($Q$32-1-2)*$Q$33+X96+1,0*$Q$34+W96+1)-$Q$46)/$Q$48*$Q$42,NA())))</f>
        <v>2.1990398821856054</v>
      </c>
      <c r="AF96" t="e">
        <f>IF(V96=1,NA(),IF(INDEX($B$35:$M$50,($Q$32-1-3)*$Q$33+X96+1,0*$Q$34+W96+1)="",NA(),IF(INDEX($B$35:$M$50,($Q$32-1-3)*$Q$33+X96+1,0*$Q$34+W96+1)&gt;=0,3+(INDEX($B$35:$M$50,($Q$32-1-3)*$Q$33+X96+1,0*$Q$34+W96+1)-$Q$46)/$Q$48*$Q$42,NA())))</f>
        <v>#N/A</v>
      </c>
      <c r="AG96">
        <f>IF(V96=1,NA(),IF(INDEX($B$35:$M$50,($Q$32-1-3)*$Q$33+X96+1,0*$Q$34+W96+1)="",NA(),IF(INDEX($B$35:$M$50,($Q$32-1-3)*$Q$33+X96+1,0*$Q$34+W96+1)&lt;0,3+(INDEX($B$35:$M$50,($Q$32-1-3)*$Q$33+X96+1,0*$Q$34+W96+1)-$Q$46)/$Q$48*$Q$42,NA())))</f>
        <v>3.1133928196967644</v>
      </c>
      <c r="AI96">
        <f>IF(V96=1,0,IF(INDEX($B$35:$M$50,($Q$32-1-0)*$Q$33+X96+1,0*$Q$34+W96+1)="",0,IF(INDEX($B$35:$M$50,($Q$32-1-0)*$Q$33+X96+1,0*$Q$34+W96+1)&gt;=0,ABS(INDEX($B$35:$M$50,($Q$32-1-0)*$Q$33+X96+1,0*$Q$34+W96+1))/$Q$48*$Q$42,0)))</f>
        <v>0</v>
      </c>
      <c r="AJ96">
        <f>IF(V96=1,0,IF(INDEX($B$35:$M$50,($Q$32-1-0)*$Q$33+X96+1,0*$Q$34+W96+1)="",0,IF(INDEX($B$35:$M$50,($Q$32-1-0)*$Q$33+X96+1,0*$Q$34+W96+1)&lt;0,ABS(INDEX($B$35:$M$50,($Q$32-1-0)*$Q$33+X96+1,0*$Q$34+W96+1))/$Q$48*$Q$42,0)))</f>
        <v>0</v>
      </c>
      <c r="AK96">
        <f>IF(V96=1,0,IF(INDEX($B$35:$M$50,($Q$32-1-1)*$Q$33+X96+1,0*$Q$34+W96+1)="",0,IF(INDEX($B$35:$M$50,($Q$32-1-1)*$Q$33+X96+1,0*$Q$34+W96+1)&gt;=0,ABS(INDEX($B$35:$M$50,($Q$32-1-1)*$Q$33+X96+1,0*$Q$34+W96+1))/$Q$48*$Q$42,0)))</f>
        <v>0.10660020634294864</v>
      </c>
      <c r="AL96">
        <f>IF(V96=1,0,IF(INDEX($B$35:$M$50,($Q$32-1-1)*$Q$33+X96+1,0*$Q$34+W96+1)="",0,IF(INDEX($B$35:$M$50,($Q$32-1-1)*$Q$33+X96+1,0*$Q$34+W96+1)&lt;0,ABS(INDEX($B$35:$M$50,($Q$32-1-1)*$Q$33+X96+1,0*$Q$34+W96+1))/$Q$48*$Q$42,0)))</f>
        <v>0</v>
      </c>
      <c r="AM96">
        <f>IF(V96=1,0,IF(INDEX($B$35:$M$50,($Q$32-1-2)*$Q$33+X96+1,0*$Q$34+W96+1)="",0,IF(INDEX($B$35:$M$50,($Q$32-1-2)*$Q$33+X96+1,0*$Q$34+W96+1)&gt;=0,ABS(INDEX($B$35:$M$50,($Q$32-1-2)*$Q$33+X96+1,0*$Q$34+W96+1))/$Q$48*$Q$42,0)))</f>
        <v>0</v>
      </c>
      <c r="AN96">
        <f>IF(V96=1,0,IF(INDEX($B$35:$M$50,($Q$32-1-2)*$Q$33+X96+1,0*$Q$34+W96+1)="",0,IF(INDEX($B$35:$M$50,($Q$32-1-2)*$Q$33+X96+1,0*$Q$34+W96+1)&lt;0,ABS(INDEX($B$35:$M$50,($Q$32-1-2)*$Q$33+X96+1,0*$Q$34+W96+1))/$Q$48*$Q$42,0)))</f>
        <v>3.5245832100108697E-2</v>
      </c>
      <c r="AO96">
        <f>IF(V96=1,0,IF(INDEX($B$35:$M$50,($Q$32-1-3)*$Q$33+X96+1,0*$Q$34+W96+1)="",0,IF(INDEX($B$35:$M$50,($Q$32-1-3)*$Q$33+X96+1,0*$Q$34+W96+1)&gt;=0,ABS(INDEX($B$35:$M$50,($Q$32-1-3)*$Q$33+X96+1,0*$Q$34+W96+1))/$Q$48*$Q$42,0)))</f>
        <v>0</v>
      </c>
      <c r="AP96">
        <f>IF(V96=1,0,IF(INDEX($B$35:$M$50,($Q$32-1-3)*$Q$33+X96+1,0*$Q$34+W96+1)="",0,IF(INDEX($B$35:$M$50,($Q$32-1-3)*$Q$33+X96+1,0*$Q$34+W96+1)&lt;0,ABS(INDEX($B$35:$M$50,($Q$32-1-3)*$Q$33+X96+1,0*$Q$34+W96+1))/$Q$48*$Q$42,0)))</f>
        <v>0.12089289458894974</v>
      </c>
      <c r="AR96" t="str">
        <f>IF(V96=1,"",IF(INDEX($B$35:$M$50,($Q$32-1-0)*$Q$33+X96+1,0*$Q$34+W96+1)="","",IF(INDEX($B$35:$M$50,($Q$32-1-0)*$Q$33+X96+1,0*$Q$34+W96+1)&gt;=0,TEXT(INDEX($B$35:$M$50,($Q$32-1-0)*$Q$33+X96+1,0*$Q$34+W96+1),"+0;-0;0"),"")))</f>
        <v/>
      </c>
      <c r="AS96" t="str">
        <f>IF(V96=1,"",IF(INDEX($B$35:$M$50,($Q$32-1-0)*$Q$33+X96+1,0*$Q$34+W96+1)="","",IF(INDEX($B$35:$M$50,($Q$32-1-0)*$Q$33+X96+1,0*$Q$34+W96+1)&lt;0,TEXT(INDEX($B$35:$M$50,($Q$32-1-0)*$Q$33+X96+1,0*$Q$34+W96+1),"+0;-0;0"),"")))</f>
        <v/>
      </c>
      <c r="AT96" t="str">
        <f>IF(V96=1,"",IF(INDEX($B$35:$M$50,($Q$32-1-1)*$Q$33+X96+1,0*$Q$34+W96+1)="","",IF(INDEX($B$35:$M$50,($Q$32-1-1)*$Q$33+X96+1,0*$Q$34+W96+1)&gt;=0,TEXT(INDEX($B$35:$M$50,($Q$32-1-1)*$Q$33+X96+1,0*$Q$34+W96+1),"+0;-0;0"),"")))</f>
        <v>+46</v>
      </c>
      <c r="AU96" t="str">
        <f>IF(V96=1,"",IF(INDEX($B$35:$M$50,($Q$32-1-1)*$Q$33+X96+1,0*$Q$34+W96+1)="","",IF(INDEX($B$35:$M$50,($Q$32-1-1)*$Q$33+X96+1,0*$Q$34+W96+1)&lt;0,TEXT(INDEX($B$35:$M$50,($Q$32-1-1)*$Q$33+X96+1,0*$Q$34+W96+1),"+0;-0;0"),"")))</f>
        <v/>
      </c>
      <c r="AV96" t="str">
        <f>IF(V96=1,"",IF(INDEX($B$35:$M$50,($Q$32-1-2)*$Q$33+X96+1,0*$Q$34+W96+1)="","",IF(INDEX($B$35:$M$50,($Q$32-1-2)*$Q$33+X96+1,0*$Q$34+W96+1)&gt;=0,TEXT(INDEX($B$35:$M$50,($Q$32-1-2)*$Q$33+X96+1,0*$Q$34+W96+1),"+0;-0;0"),"")))</f>
        <v/>
      </c>
      <c r="AW96" t="str">
        <f>IF(V96=1,"",IF(INDEX($B$35:$M$50,($Q$32-1-2)*$Q$33+X96+1,0*$Q$34+W96+1)="","",IF(INDEX($B$35:$M$50,($Q$32-1-2)*$Q$33+X96+1,0*$Q$34+W96+1)&lt;0,TEXT(INDEX($B$35:$M$50,($Q$32-1-2)*$Q$33+X96+1,0*$Q$34+W96+1),"+0;-0;0"),"")))</f>
        <v>-15</v>
      </c>
      <c r="AX96" t="str">
        <f>IF(V96=1,"",IF(INDEX($B$35:$M$50,($Q$32-1-3)*$Q$33+X96+1,0*$Q$34+W96+1)="","",IF(INDEX($B$35:$M$50,($Q$32-1-3)*$Q$33+X96+1,0*$Q$34+W96+1)&gt;=0,TEXT(INDEX($B$35:$M$50,($Q$32-1-3)*$Q$33+X96+1,0*$Q$34+W96+1),"+0;-0;0"),"")))</f>
        <v/>
      </c>
      <c r="AY96" t="str">
        <f>IF(V96=1,"",IF(INDEX($B$35:$M$50,($Q$32-1-3)*$Q$33+X96+1,0*$Q$34+W96+1)="","",IF(INDEX($B$35:$M$50,($Q$32-1-3)*$Q$33+X96+1,0*$Q$34+W96+1)&lt;0,TEXT(INDEX($B$35:$M$50,($Q$32-1-3)*$Q$33+X96+1,0*$Q$34+W96+1),"+0;-0;0"),"")))</f>
        <v>-52</v>
      </c>
      <c r="BG96">
        <v>41.5</v>
      </c>
      <c r="BH96">
        <f>IF(OR($Q$46&gt;0,$Q$47&lt;0),NA(),3+$Q$49)</f>
        <v>3.2342857142857144</v>
      </c>
    </row>
    <row r="97" spans="16:60" x14ac:dyDescent="0.35">
      <c r="P97">
        <v>45</v>
      </c>
      <c r="Q97">
        <f>P97-$Q$41</f>
        <v>42</v>
      </c>
      <c r="R97">
        <f>IF(Q97&lt;=0,-1,INT((Q97-1)/($Q$39+$Q$40)))</f>
        <v>3</v>
      </c>
      <c r="S97">
        <f>IF(Q97&lt;=0,-1,MOD(Q97-1,($Q$39+$Q$40)))</f>
        <v>2</v>
      </c>
      <c r="T97">
        <f>IF(OR(S97&lt;0,S97&gt;=$Q$39),-1,INT(S97/$Q$38))</f>
        <v>2</v>
      </c>
      <c r="U97">
        <f>IF(OR(S97&lt;0,S97&gt;=$Q$39),-1,MOD(S97,$Q$38))</f>
        <v>0</v>
      </c>
      <c r="V97">
        <f>IF(OR(Q97&lt;=0,S97&lt;0,S97&gt;=$Q$39,R97&gt;=$Q$36),1,0)</f>
        <v>0</v>
      </c>
      <c r="W97">
        <f>IF(V97=1,-1,T97)</f>
        <v>2</v>
      </c>
      <c r="X97">
        <f>IF(V97=1,-1,R97)</f>
        <v>3</v>
      </c>
      <c r="Y97" t="str">
        <f>IF(V97=1,"",IF(AND(MOD(W97,3)=0,U97=INT(($Q$38-1)/2)),INDEX($B$34:$M$34,W97+1),""))</f>
        <v/>
      </c>
      <c r="Z97" t="e">
        <f>IF(V97=1,NA(),IF(INDEX($B$35:$M$50,($Q$32-1-0)*$Q$33+X97+1,0*$Q$34+W97+1)="",NA(),IF(INDEX($B$35:$M$50,($Q$32-1-0)*$Q$33+X97+1,0*$Q$34+W97+1)&gt;=0,0+(INDEX($B$35:$M$50,($Q$32-1-0)*$Q$33+X97+1,0*$Q$34+W97+1)-$Q$46)/$Q$48*$Q$42,NA())))</f>
        <v>#N/A</v>
      </c>
      <c r="AA97" t="e">
        <f>IF(V97=1,NA(),IF(INDEX($B$35:$M$50,($Q$32-1-0)*$Q$33+X97+1,0*$Q$34+W97+1)="",NA(),IF(INDEX($B$35:$M$50,($Q$32-1-0)*$Q$33+X97+1,0*$Q$34+W97+1)&lt;0,0+(INDEX($B$35:$M$50,($Q$32-1-0)*$Q$33+X97+1,0*$Q$34+W97+1)-$Q$46)/$Q$48*$Q$42,NA())))</f>
        <v>#N/A</v>
      </c>
      <c r="AB97">
        <f>IF(V97=1,NA(),IF(INDEX($B$35:$M$50,($Q$32-1-1)*$Q$33+X97+1,0*$Q$34+W97+1)="",NA(),IF(INDEX($B$35:$M$50,($Q$32-1-1)*$Q$33+X97+1,0*$Q$34+W97+1)&gt;=0,1+(INDEX($B$35:$M$50,($Q$32-1-1)*$Q$33+X97+1,0*$Q$34+W97+1)-$Q$46)/$Q$48*$Q$42,NA())))</f>
        <v>1.2867738853297457</v>
      </c>
      <c r="AC97" t="e">
        <f>IF(V97=1,NA(),IF(INDEX($B$35:$M$50,($Q$32-1-1)*$Q$33+X97+1,0*$Q$34+W97+1)="",NA(),IF(INDEX($B$35:$M$50,($Q$32-1-1)*$Q$33+X97+1,0*$Q$34+W97+1)&lt;0,1+(INDEX($B$35:$M$50,($Q$32-1-1)*$Q$33+X97+1,0*$Q$34+W97+1)-$Q$46)/$Q$48*$Q$42,NA())))</f>
        <v>#N/A</v>
      </c>
      <c r="AD97" t="e">
        <f>IF(V97=1,NA(),IF(INDEX($B$35:$M$50,($Q$32-1-2)*$Q$33+X97+1,0*$Q$34+W97+1)="",NA(),IF(INDEX($B$35:$M$50,($Q$32-1-2)*$Q$33+X97+1,0*$Q$34+W97+1)&gt;=0,2+(INDEX($B$35:$M$50,($Q$32-1-2)*$Q$33+X97+1,0*$Q$34+W97+1)-$Q$46)/$Q$48*$Q$42,NA())))</f>
        <v>#N/A</v>
      </c>
      <c r="AE97">
        <f>IF(V97=1,NA(),IF(INDEX($B$35:$M$50,($Q$32-1-2)*$Q$33+X97+1,0*$Q$34+W97+1)="",NA(),IF(INDEX($B$35:$M$50,($Q$32-1-2)*$Q$33+X97+1,0*$Q$34+W97+1)&lt;0,2+(INDEX($B$35:$M$50,($Q$32-1-2)*$Q$33+X97+1,0*$Q$34+W97+1)-$Q$46)/$Q$48*$Q$42,NA())))</f>
        <v>2.183378973498558</v>
      </c>
      <c r="AF97" t="e">
        <f>IF(V97=1,NA(),IF(INDEX($B$35:$M$50,($Q$32-1-3)*$Q$33+X97+1,0*$Q$34+W97+1)="",NA(),IF(INDEX($B$35:$M$50,($Q$32-1-3)*$Q$33+X97+1,0*$Q$34+W97+1)&gt;=0,3+(INDEX($B$35:$M$50,($Q$32-1-3)*$Q$33+X97+1,0*$Q$34+W97+1)-$Q$46)/$Q$48*$Q$42,NA())))</f>
        <v>#N/A</v>
      </c>
      <c r="AG97">
        <f>IF(V97=1,NA(),IF(INDEX($B$35:$M$50,($Q$32-1-3)*$Q$33+X97+1,0*$Q$34+W97+1)="",NA(),IF(INDEX($B$35:$M$50,($Q$32-1-3)*$Q$33+X97+1,0*$Q$34+W97+1)&lt;0,3+(INDEX($B$35:$M$50,($Q$32-1-3)*$Q$33+X97+1,0*$Q$34+W97+1)-$Q$46)/$Q$48*$Q$42,NA())))</f>
        <v>3.1129658394668116</v>
      </c>
      <c r="AI97">
        <f>IF(V97=1,0,IF(INDEX($B$35:$M$50,($Q$32-1-0)*$Q$33+X97+1,0*$Q$34+W97+1)="",0,IF(INDEX($B$35:$M$50,($Q$32-1-0)*$Q$33+X97+1,0*$Q$34+W97+1)&gt;=0,ABS(INDEX($B$35:$M$50,($Q$32-1-0)*$Q$33+X97+1,0*$Q$34+W97+1))/$Q$48*$Q$42,0)))</f>
        <v>0</v>
      </c>
      <c r="AJ97">
        <f>IF(V97=1,0,IF(INDEX($B$35:$M$50,($Q$32-1-0)*$Q$33+X97+1,0*$Q$34+W97+1)="",0,IF(INDEX($B$35:$M$50,($Q$32-1-0)*$Q$33+X97+1,0*$Q$34+W97+1)&lt;0,ABS(INDEX($B$35:$M$50,($Q$32-1-0)*$Q$33+X97+1,0*$Q$34+W97+1))/$Q$48*$Q$42,0)))</f>
        <v>0</v>
      </c>
      <c r="AK97">
        <f>IF(V97=1,0,IF(INDEX($B$35:$M$50,($Q$32-1-1)*$Q$33+X97+1,0*$Q$34+W97+1)="",0,IF(INDEX($B$35:$M$50,($Q$32-1-1)*$Q$33+X97+1,0*$Q$34+W97+1)&gt;=0,ABS(INDEX($B$35:$M$50,($Q$32-1-1)*$Q$33+X97+1,0*$Q$34+W97+1))/$Q$48*$Q$42,0)))</f>
        <v>5.2488171044031286E-2</v>
      </c>
      <c r="AL97">
        <f>IF(V97=1,0,IF(INDEX($B$35:$M$50,($Q$32-1-1)*$Q$33+X97+1,0*$Q$34+W97+1)="",0,IF(INDEX($B$35:$M$50,($Q$32-1-1)*$Q$33+X97+1,0*$Q$34+W97+1)&lt;0,ABS(INDEX($B$35:$M$50,($Q$32-1-1)*$Q$33+X97+1,0*$Q$34+W97+1))/$Q$48*$Q$42,0)))</f>
        <v>0</v>
      </c>
      <c r="AM97">
        <f>IF(V97=1,0,IF(INDEX($B$35:$M$50,($Q$32-1-2)*$Q$33+X97+1,0*$Q$34+W97+1)="",0,IF(INDEX($B$35:$M$50,($Q$32-1-2)*$Q$33+X97+1,0*$Q$34+W97+1)&gt;=0,ABS(INDEX($B$35:$M$50,($Q$32-1-2)*$Q$33+X97+1,0*$Q$34+W97+1))/$Q$48*$Q$42,0)))</f>
        <v>0</v>
      </c>
      <c r="AN97">
        <f>IF(V97=1,0,IF(INDEX($B$35:$M$50,($Q$32-1-2)*$Q$33+X97+1,0*$Q$34+W97+1)="",0,IF(INDEX($B$35:$M$50,($Q$32-1-2)*$Q$33+X97+1,0*$Q$34+W97+1)&lt;0,ABS(INDEX($B$35:$M$50,($Q$32-1-2)*$Q$33+X97+1,0*$Q$34+W97+1))/$Q$48*$Q$42,0)))</f>
        <v>5.0906740787156297E-2</v>
      </c>
      <c r="AO97">
        <f>IF(V97=1,0,IF(INDEX($B$35:$M$50,($Q$32-1-3)*$Q$33+X97+1,0*$Q$34+W97+1)="",0,IF(INDEX($B$35:$M$50,($Q$32-1-3)*$Q$33+X97+1,0*$Q$34+W97+1)&gt;=0,ABS(INDEX($B$35:$M$50,($Q$32-1-3)*$Q$33+X97+1,0*$Q$34+W97+1))/$Q$48*$Q$42,0)))</f>
        <v>0</v>
      </c>
      <c r="AP97">
        <f>IF(V97=1,0,IF(INDEX($B$35:$M$50,($Q$32-1-3)*$Q$33+X97+1,0*$Q$34+W97+1)="",0,IF(INDEX($B$35:$M$50,($Q$32-1-3)*$Q$33+X97+1,0*$Q$34+W97+1)&lt;0,ABS(INDEX($B$35:$M$50,($Q$32-1-3)*$Q$33+X97+1,0*$Q$34+W97+1))/$Q$48*$Q$42,0)))</f>
        <v>0.12131987481890256</v>
      </c>
      <c r="AR97" t="str">
        <f>IF(V97=1,"",IF(INDEX($B$35:$M$50,($Q$32-1-0)*$Q$33+X97+1,0*$Q$34+W97+1)="","",IF(INDEX($B$35:$M$50,($Q$32-1-0)*$Q$33+X97+1,0*$Q$34+W97+1)&gt;=0,TEXT(INDEX($B$35:$M$50,($Q$32-1-0)*$Q$33+X97+1,0*$Q$34+W97+1),"+0;-0;0"),"")))</f>
        <v/>
      </c>
      <c r="AS97" t="str">
        <f>IF(V97=1,"",IF(INDEX($B$35:$M$50,($Q$32-1-0)*$Q$33+X97+1,0*$Q$34+W97+1)="","",IF(INDEX($B$35:$M$50,($Q$32-1-0)*$Q$33+X97+1,0*$Q$34+W97+1)&lt;0,TEXT(INDEX($B$35:$M$50,($Q$32-1-0)*$Q$33+X97+1,0*$Q$34+W97+1),"+0;-0;0"),"")))</f>
        <v/>
      </c>
      <c r="AT97" t="str">
        <f>IF(V97=1,"",IF(INDEX($B$35:$M$50,($Q$32-1-1)*$Q$33+X97+1,0*$Q$34+W97+1)="","",IF(INDEX($B$35:$M$50,($Q$32-1-1)*$Q$33+X97+1,0*$Q$34+W97+1)&gt;=0,TEXT(INDEX($B$35:$M$50,($Q$32-1-1)*$Q$33+X97+1,0*$Q$34+W97+1),"+0;-0;0"),"")))</f>
        <v>+22</v>
      </c>
      <c r="AU97" t="str">
        <f>IF(V97=1,"",IF(INDEX($B$35:$M$50,($Q$32-1-1)*$Q$33+X97+1,0*$Q$34+W97+1)="","",IF(INDEX($B$35:$M$50,($Q$32-1-1)*$Q$33+X97+1,0*$Q$34+W97+1)&lt;0,TEXT(INDEX($B$35:$M$50,($Q$32-1-1)*$Q$33+X97+1,0*$Q$34+W97+1),"+0;-0;0"),"")))</f>
        <v/>
      </c>
      <c r="AV97" t="str">
        <f>IF(V97=1,"",IF(INDEX($B$35:$M$50,($Q$32-1-2)*$Q$33+X97+1,0*$Q$34+W97+1)="","",IF(INDEX($B$35:$M$50,($Q$32-1-2)*$Q$33+X97+1,0*$Q$34+W97+1)&gt;=0,TEXT(INDEX($B$35:$M$50,($Q$32-1-2)*$Q$33+X97+1,0*$Q$34+W97+1),"+0;-0;0"),"")))</f>
        <v/>
      </c>
      <c r="AW97" t="str">
        <f>IF(V97=1,"",IF(INDEX($B$35:$M$50,($Q$32-1-2)*$Q$33+X97+1,0*$Q$34+W97+1)="","",IF(INDEX($B$35:$M$50,($Q$32-1-2)*$Q$33+X97+1,0*$Q$34+W97+1)&lt;0,TEXT(INDEX($B$35:$M$50,($Q$32-1-2)*$Q$33+X97+1,0*$Q$34+W97+1),"+0;-0;0"),"")))</f>
        <v>-22</v>
      </c>
      <c r="AX97" t="str">
        <f>IF(V97=1,"",IF(INDEX($B$35:$M$50,($Q$32-1-3)*$Q$33+X97+1,0*$Q$34+W97+1)="","",IF(INDEX($B$35:$M$50,($Q$32-1-3)*$Q$33+X97+1,0*$Q$34+W97+1)&gt;=0,TEXT(INDEX($B$35:$M$50,($Q$32-1-3)*$Q$33+X97+1,0*$Q$34+W97+1),"+0;-0;0"),"")))</f>
        <v/>
      </c>
      <c r="AY97" t="str">
        <f>IF(V97=1,"",IF(INDEX($B$35:$M$50,($Q$32-1-3)*$Q$33+X97+1,0*$Q$34+W97+1)="","",IF(INDEX($B$35:$M$50,($Q$32-1-3)*$Q$33+X97+1,0*$Q$34+W97+1)&lt;0,TEXT(INDEX($B$35:$M$50,($Q$32-1-3)*$Q$33+X97+1,0*$Q$34+W97+1),"+0;-0;0"),"")))</f>
        <v>-52</v>
      </c>
      <c r="BG97">
        <v>41.5</v>
      </c>
      <c r="BH97" t="e">
        <f>NA()</f>
        <v>#N/A</v>
      </c>
    </row>
    <row r="98" spans="16:60" x14ac:dyDescent="0.35">
      <c r="P98">
        <v>46</v>
      </c>
      <c r="Q98">
        <f>P98-$Q$41</f>
        <v>43</v>
      </c>
      <c r="R98">
        <f>IF(Q98&lt;=0,-1,INT((Q98-1)/($Q$39+$Q$40)))</f>
        <v>3</v>
      </c>
      <c r="S98">
        <f>IF(Q98&lt;=0,-1,MOD(Q98-1,($Q$39+$Q$40)))</f>
        <v>3</v>
      </c>
      <c r="T98">
        <f>IF(OR(S98&lt;0,S98&gt;=$Q$39),-1,INT(S98/$Q$38))</f>
        <v>3</v>
      </c>
      <c r="U98">
        <f>IF(OR(S98&lt;0,S98&gt;=$Q$39),-1,MOD(S98,$Q$38))</f>
        <v>0</v>
      </c>
      <c r="V98">
        <f>IF(OR(Q98&lt;=0,S98&lt;0,S98&gt;=$Q$39,R98&gt;=$Q$36),1,0)</f>
        <v>0</v>
      </c>
      <c r="W98">
        <f>IF(V98=1,-1,T98)</f>
        <v>3</v>
      </c>
      <c r="X98">
        <f>IF(V98=1,-1,R98)</f>
        <v>3</v>
      </c>
      <c r="Y98" t="str">
        <f>IF(V98=1,"",IF(AND(MOD(W98,3)=0,U98=INT(($Q$38-1)/2)),INDEX($B$34:$M$34,W98+1),""))</f>
        <v>Apr</v>
      </c>
      <c r="Z98" t="e">
        <f>IF(V98=1,NA(),IF(INDEX($B$35:$M$50,($Q$32-1-0)*$Q$33+X98+1,0*$Q$34+W98+1)="",NA(),IF(INDEX($B$35:$M$50,($Q$32-1-0)*$Q$33+X98+1,0*$Q$34+W98+1)&gt;=0,0+(INDEX($B$35:$M$50,($Q$32-1-0)*$Q$33+X98+1,0*$Q$34+W98+1)-$Q$46)/$Q$48*$Q$42,NA())))</f>
        <v>#N/A</v>
      </c>
      <c r="AA98" t="e">
        <f>IF(V98=1,NA(),IF(INDEX($B$35:$M$50,($Q$32-1-0)*$Q$33+X98+1,0*$Q$34+W98+1)="",NA(),IF(INDEX($B$35:$M$50,($Q$32-1-0)*$Q$33+X98+1,0*$Q$34+W98+1)&lt;0,0+(INDEX($B$35:$M$50,($Q$32-1-0)*$Q$33+X98+1,0*$Q$34+W98+1)-$Q$46)/$Q$48*$Q$42,NA())))</f>
        <v>#N/A</v>
      </c>
      <c r="AB98">
        <f>IF(V98=1,NA(),IF(INDEX($B$35:$M$50,($Q$32-1-1)*$Q$33+X98+1,0*$Q$34+W98+1)="",NA(),IF(INDEX($B$35:$M$50,($Q$32-1-1)*$Q$33+X98+1,0*$Q$34+W98+1)&gt;=0,1+(INDEX($B$35:$M$50,($Q$32-1-1)*$Q$33+X98+1,0*$Q$34+W98+1)-$Q$46)/$Q$48*$Q$42,NA())))</f>
        <v>1.3197283302355149</v>
      </c>
      <c r="AC98" t="e">
        <f>IF(V98=1,NA(),IF(INDEX($B$35:$M$50,($Q$32-1-1)*$Q$33+X98+1,0*$Q$34+W98+1)="",NA(),IF(INDEX($B$35:$M$50,($Q$32-1-1)*$Q$33+X98+1,0*$Q$34+W98+1)&lt;0,1+(INDEX($B$35:$M$50,($Q$32-1-1)*$Q$33+X98+1,0*$Q$34+W98+1)-$Q$46)/$Q$48*$Q$42,NA())))</f>
        <v>#N/A</v>
      </c>
      <c r="AD98" t="e">
        <f>IF(V98=1,NA(),IF(INDEX($B$35:$M$50,($Q$32-1-2)*$Q$33+X98+1,0*$Q$34+W98+1)="",NA(),IF(INDEX($B$35:$M$50,($Q$32-1-2)*$Q$33+X98+1,0*$Q$34+W98+1)&gt;=0,2+(INDEX($B$35:$M$50,($Q$32-1-2)*$Q$33+X98+1,0*$Q$34+W98+1)-$Q$46)/$Q$48*$Q$42,NA())))</f>
        <v>#N/A</v>
      </c>
      <c r="AE98">
        <f>IF(V98=1,NA(),IF(INDEX($B$35:$M$50,($Q$32-1-2)*$Q$33+X98+1,0*$Q$34+W98+1)="",NA(),IF(INDEX($B$35:$M$50,($Q$32-1-2)*$Q$33+X98+1,0*$Q$34+W98+1)&lt;0,2+(INDEX($B$35:$M$50,($Q$32-1-2)*$Q$33+X98+1,0*$Q$34+W98+1)-$Q$46)/$Q$48*$Q$42,NA())))</f>
        <v>2.2140210651641845</v>
      </c>
      <c r="AF98" t="e">
        <f>IF(V98=1,NA(),IF(INDEX($B$35:$M$50,($Q$32-1-3)*$Q$33+X98+1,0*$Q$34+W98+1)="",NA(),IF(INDEX($B$35:$M$50,($Q$32-1-3)*$Q$33+X98+1,0*$Q$34+W98+1)&gt;=0,3+(INDEX($B$35:$M$50,($Q$32-1-3)*$Q$33+X98+1,0*$Q$34+W98+1)-$Q$46)/$Q$48*$Q$42,NA())))</f>
        <v>#N/A</v>
      </c>
      <c r="AG98">
        <f>IF(V98=1,NA(),IF(INDEX($B$35:$M$50,($Q$32-1-3)*$Q$33+X98+1,0*$Q$34+W98+1)="",NA(),IF(INDEX($B$35:$M$50,($Q$32-1-3)*$Q$33+X98+1,0*$Q$34+W98+1)&lt;0,3+(INDEX($B$35:$M$50,($Q$32-1-3)*$Q$33+X98+1,0*$Q$34+W98+1)-$Q$46)/$Q$48*$Q$42,NA())))</f>
        <v>3.1245034998066896</v>
      </c>
      <c r="AI98">
        <f>IF(V98=1,0,IF(INDEX($B$35:$M$50,($Q$32-1-0)*$Q$33+X98+1,0*$Q$34+W98+1)="",0,IF(INDEX($B$35:$M$50,($Q$32-1-0)*$Q$33+X98+1,0*$Q$34+W98+1)&gt;=0,ABS(INDEX($B$35:$M$50,($Q$32-1-0)*$Q$33+X98+1,0*$Q$34+W98+1))/$Q$48*$Q$42,0)))</f>
        <v>0</v>
      </c>
      <c r="AJ98">
        <f>IF(V98=1,0,IF(INDEX($B$35:$M$50,($Q$32-1-0)*$Q$33+X98+1,0*$Q$34+W98+1)="",0,IF(INDEX($B$35:$M$50,($Q$32-1-0)*$Q$33+X98+1,0*$Q$34+W98+1)&lt;0,ABS(INDEX($B$35:$M$50,($Q$32-1-0)*$Q$33+X98+1,0*$Q$34+W98+1))/$Q$48*$Q$42,0)))</f>
        <v>0</v>
      </c>
      <c r="AK98">
        <f>IF(V98=1,0,IF(INDEX($B$35:$M$50,($Q$32-1-1)*$Q$33+X98+1,0*$Q$34+W98+1)="",0,IF(INDEX($B$35:$M$50,($Q$32-1-1)*$Q$33+X98+1,0*$Q$34+W98+1)&gt;=0,ABS(INDEX($B$35:$M$50,($Q$32-1-1)*$Q$33+X98+1,0*$Q$34+W98+1))/$Q$48*$Q$42,0)))</f>
        <v>8.5442615949800751E-2</v>
      </c>
      <c r="AL98">
        <f>IF(V98=1,0,IF(INDEX($B$35:$M$50,($Q$32-1-1)*$Q$33+X98+1,0*$Q$34+W98+1)="",0,IF(INDEX($B$35:$M$50,($Q$32-1-1)*$Q$33+X98+1,0*$Q$34+W98+1)&lt;0,ABS(INDEX($B$35:$M$50,($Q$32-1-1)*$Q$33+X98+1,0*$Q$34+W98+1))/$Q$48*$Q$42,0)))</f>
        <v>0</v>
      </c>
      <c r="AM98">
        <f>IF(V98=1,0,IF(INDEX($B$35:$M$50,($Q$32-1-2)*$Q$33+X98+1,0*$Q$34+W98+1)="",0,IF(INDEX($B$35:$M$50,($Q$32-1-2)*$Q$33+X98+1,0*$Q$34+W98+1)&gt;=0,ABS(INDEX($B$35:$M$50,($Q$32-1-2)*$Q$33+X98+1,0*$Q$34+W98+1))/$Q$48*$Q$42,0)))</f>
        <v>0</v>
      </c>
      <c r="AN98">
        <f>IF(V98=1,0,IF(INDEX($B$35:$M$50,($Q$32-1-2)*$Q$33+X98+1,0*$Q$34+W98+1)="",0,IF(INDEX($B$35:$M$50,($Q$32-1-2)*$Q$33+X98+1,0*$Q$34+W98+1)&lt;0,ABS(INDEX($B$35:$M$50,($Q$32-1-2)*$Q$33+X98+1,0*$Q$34+W98+1))/$Q$48*$Q$42,0)))</f>
        <v>2.0264649121529917E-2</v>
      </c>
      <c r="AO98">
        <f>IF(V98=1,0,IF(INDEX($B$35:$M$50,($Q$32-1-3)*$Q$33+X98+1,0*$Q$34+W98+1)="",0,IF(INDEX($B$35:$M$50,($Q$32-1-3)*$Q$33+X98+1,0*$Q$34+W98+1)&gt;=0,ABS(INDEX($B$35:$M$50,($Q$32-1-3)*$Q$33+X98+1,0*$Q$34+W98+1))/$Q$48*$Q$42,0)))</f>
        <v>0</v>
      </c>
      <c r="AP98">
        <f>IF(V98=1,0,IF(INDEX($B$35:$M$50,($Q$32-1-3)*$Q$33+X98+1,0*$Q$34+W98+1)="",0,IF(INDEX($B$35:$M$50,($Q$32-1-3)*$Q$33+X98+1,0*$Q$34+W98+1)&lt;0,ABS(INDEX($B$35:$M$50,($Q$32-1-3)*$Q$33+X98+1,0*$Q$34+W98+1))/$Q$48*$Q$42,0)))</f>
        <v>0.1097822144790246</v>
      </c>
      <c r="AR98" t="str">
        <f>IF(V98=1,"",IF(INDEX($B$35:$M$50,($Q$32-1-0)*$Q$33+X98+1,0*$Q$34+W98+1)="","",IF(INDEX($B$35:$M$50,($Q$32-1-0)*$Q$33+X98+1,0*$Q$34+W98+1)&gt;=0,TEXT(INDEX($B$35:$M$50,($Q$32-1-0)*$Q$33+X98+1,0*$Q$34+W98+1),"+0;-0;0"),"")))</f>
        <v/>
      </c>
      <c r="AS98" t="str">
        <f>IF(V98=1,"",IF(INDEX($B$35:$M$50,($Q$32-1-0)*$Q$33+X98+1,0*$Q$34+W98+1)="","",IF(INDEX($B$35:$M$50,($Q$32-1-0)*$Q$33+X98+1,0*$Q$34+W98+1)&lt;0,TEXT(INDEX($B$35:$M$50,($Q$32-1-0)*$Q$33+X98+1,0*$Q$34+W98+1),"+0;-0;0"),"")))</f>
        <v/>
      </c>
      <c r="AT98" t="str">
        <f>IF(V98=1,"",IF(INDEX($B$35:$M$50,($Q$32-1-1)*$Q$33+X98+1,0*$Q$34+W98+1)="","",IF(INDEX($B$35:$M$50,($Q$32-1-1)*$Q$33+X98+1,0*$Q$34+W98+1)&gt;=0,TEXT(INDEX($B$35:$M$50,($Q$32-1-1)*$Q$33+X98+1,0*$Q$34+W98+1),"+0;-0;0"),"")))</f>
        <v>+36</v>
      </c>
      <c r="AU98" t="str">
        <f>IF(V98=1,"",IF(INDEX($B$35:$M$50,($Q$32-1-1)*$Q$33+X98+1,0*$Q$34+W98+1)="","",IF(INDEX($B$35:$M$50,($Q$32-1-1)*$Q$33+X98+1,0*$Q$34+W98+1)&lt;0,TEXT(INDEX($B$35:$M$50,($Q$32-1-1)*$Q$33+X98+1,0*$Q$34+W98+1),"+0;-0;0"),"")))</f>
        <v/>
      </c>
      <c r="AV98" t="str">
        <f>IF(V98=1,"",IF(INDEX($B$35:$M$50,($Q$32-1-2)*$Q$33+X98+1,0*$Q$34+W98+1)="","",IF(INDEX($B$35:$M$50,($Q$32-1-2)*$Q$33+X98+1,0*$Q$34+W98+1)&gt;=0,TEXT(INDEX($B$35:$M$50,($Q$32-1-2)*$Q$33+X98+1,0*$Q$34+W98+1),"+0;-0;0"),"")))</f>
        <v/>
      </c>
      <c r="AW98" t="str">
        <f>IF(V98=1,"",IF(INDEX($B$35:$M$50,($Q$32-1-2)*$Q$33+X98+1,0*$Q$34+W98+1)="","",IF(INDEX($B$35:$M$50,($Q$32-1-2)*$Q$33+X98+1,0*$Q$34+W98+1)&lt;0,TEXT(INDEX($B$35:$M$50,($Q$32-1-2)*$Q$33+X98+1,0*$Q$34+W98+1),"+0;-0;0"),"")))</f>
        <v>-9</v>
      </c>
      <c r="AX98" t="str">
        <f>IF(V98=1,"",IF(INDEX($B$35:$M$50,($Q$32-1-3)*$Q$33+X98+1,0*$Q$34+W98+1)="","",IF(INDEX($B$35:$M$50,($Q$32-1-3)*$Q$33+X98+1,0*$Q$34+W98+1)&gt;=0,TEXT(INDEX($B$35:$M$50,($Q$32-1-3)*$Q$33+X98+1,0*$Q$34+W98+1),"+0;-0;0"),"")))</f>
        <v/>
      </c>
      <c r="AY98" t="str">
        <f>IF(V98=1,"",IF(INDEX($B$35:$M$50,($Q$32-1-3)*$Q$33+X98+1,0*$Q$34+W98+1)="","",IF(INDEX($B$35:$M$50,($Q$32-1-3)*$Q$33+X98+1,0*$Q$34+W98+1)&lt;0,TEXT(INDEX($B$35:$M$50,($Q$32-1-3)*$Q$33+X98+1,0*$Q$34+W98+1),"+0;-0;0"),"")))</f>
        <v>-47</v>
      </c>
      <c r="BG98">
        <v>42.5</v>
      </c>
      <c r="BH98">
        <f>IF(OR($Q$46&gt;0,$Q$47&lt;0),NA(),3+$Q$49)</f>
        <v>3.2342857142857144</v>
      </c>
    </row>
    <row r="99" spans="16:60" x14ac:dyDescent="0.35">
      <c r="P99">
        <v>47</v>
      </c>
      <c r="Q99">
        <f>P99-$Q$41</f>
        <v>44</v>
      </c>
      <c r="R99">
        <f>IF(Q99&lt;=0,-1,INT((Q99-1)/($Q$39+$Q$40)))</f>
        <v>3</v>
      </c>
      <c r="S99">
        <f>IF(Q99&lt;=0,-1,MOD(Q99-1,($Q$39+$Q$40)))</f>
        <v>4</v>
      </c>
      <c r="T99">
        <f>IF(OR(S99&lt;0,S99&gt;=$Q$39),-1,INT(S99/$Q$38))</f>
        <v>4</v>
      </c>
      <c r="U99">
        <f>IF(OR(S99&lt;0,S99&gt;=$Q$39),-1,MOD(S99,$Q$38))</f>
        <v>0</v>
      </c>
      <c r="V99">
        <f>IF(OR(Q99&lt;=0,S99&lt;0,S99&gt;=$Q$39,R99&gt;=$Q$36),1,0)</f>
        <v>0</v>
      </c>
      <c r="W99">
        <f>IF(V99=1,-1,T99)</f>
        <v>4</v>
      </c>
      <c r="X99">
        <f>IF(V99=1,-1,R99)</f>
        <v>3</v>
      </c>
      <c r="Y99" t="str">
        <f>IF(V99=1,"",IF(AND(MOD(W99,3)=0,U99=INT(($Q$38-1)/2)),INDEX($B$34:$M$34,W99+1),""))</f>
        <v/>
      </c>
      <c r="Z99" t="e">
        <f>IF(V99=1,NA(),IF(INDEX($B$35:$M$50,($Q$32-1-0)*$Q$33+X99+1,0*$Q$34+W99+1)="",NA(),IF(INDEX($B$35:$M$50,($Q$32-1-0)*$Q$33+X99+1,0*$Q$34+W99+1)&gt;=0,0+(INDEX($B$35:$M$50,($Q$32-1-0)*$Q$33+X99+1,0*$Q$34+W99+1)-$Q$46)/$Q$48*$Q$42,NA())))</f>
        <v>#N/A</v>
      </c>
      <c r="AA99" t="e">
        <f>IF(V99=1,NA(),IF(INDEX($B$35:$M$50,($Q$32-1-0)*$Q$33+X99+1,0*$Q$34+W99+1)="",NA(),IF(INDEX($B$35:$M$50,($Q$32-1-0)*$Q$33+X99+1,0*$Q$34+W99+1)&lt;0,0+(INDEX($B$35:$M$50,($Q$32-1-0)*$Q$33+X99+1,0*$Q$34+W99+1)-$Q$46)/$Q$48*$Q$42,NA())))</f>
        <v>#N/A</v>
      </c>
      <c r="AB99">
        <f>IF(V99=1,NA(),IF(INDEX($B$35:$M$50,($Q$32-1-1)*$Q$33+X99+1,0*$Q$34+W99+1)="",NA(),IF(INDEX($B$35:$M$50,($Q$32-1-1)*$Q$33+X99+1,0*$Q$34+W99+1)&gt;=0,1+(INDEX($B$35:$M$50,($Q$32-1-1)*$Q$33+X99+1,0*$Q$34+W99+1)-$Q$46)/$Q$48*$Q$42,NA())))</f>
        <v>1.3068369839625062</v>
      </c>
      <c r="AC99" t="e">
        <f>IF(V99=1,NA(),IF(INDEX($B$35:$M$50,($Q$32-1-1)*$Q$33+X99+1,0*$Q$34+W99+1)="",NA(),IF(INDEX($B$35:$M$50,($Q$32-1-1)*$Q$33+X99+1,0*$Q$34+W99+1)&lt;0,1+(INDEX($B$35:$M$50,($Q$32-1-1)*$Q$33+X99+1,0*$Q$34+W99+1)-$Q$46)/$Q$48*$Q$42,NA())))</f>
        <v>#N/A</v>
      </c>
      <c r="AD99" t="e">
        <f>IF(V99=1,NA(),IF(INDEX($B$35:$M$50,($Q$32-1-2)*$Q$33+X99+1,0*$Q$34+W99+1)="",NA(),IF(INDEX($B$35:$M$50,($Q$32-1-2)*$Q$33+X99+1,0*$Q$34+W99+1)&gt;=0,2+(INDEX($B$35:$M$50,($Q$32-1-2)*$Q$33+X99+1,0*$Q$34+W99+1)-$Q$46)/$Q$48*$Q$42,NA())))</f>
        <v>#N/A</v>
      </c>
      <c r="AE99">
        <f>IF(V99=1,NA(),IF(INDEX($B$35:$M$50,($Q$32-1-2)*$Q$33+X99+1,0*$Q$34+W99+1)="",NA(),IF(INDEX($B$35:$M$50,($Q$32-1-2)*$Q$33+X99+1,0*$Q$34+W99+1)&lt;0,2+(INDEX($B$35:$M$50,($Q$32-1-2)*$Q$33+X99+1,0*$Q$34+W99+1)-$Q$46)/$Q$48*$Q$42,NA())))</f>
        <v>2.198785348899051</v>
      </c>
      <c r="AF99" t="e">
        <f>IF(V99=1,NA(),IF(INDEX($B$35:$M$50,($Q$32-1-3)*$Q$33+X99+1,0*$Q$34+W99+1)="",NA(),IF(INDEX($B$35:$M$50,($Q$32-1-3)*$Q$33+X99+1,0*$Q$34+W99+1)&gt;=0,3+(INDEX($B$35:$M$50,($Q$32-1-3)*$Q$33+X99+1,0*$Q$34+W99+1)-$Q$46)/$Q$48*$Q$42,NA())))</f>
        <v>#N/A</v>
      </c>
      <c r="AG99">
        <f>IF(V99=1,NA(),IF(INDEX($B$35:$M$50,($Q$32-1-3)*$Q$33+X99+1,0*$Q$34+W99+1)="",NA(),IF(INDEX($B$35:$M$50,($Q$32-1-3)*$Q$33+X99+1,0*$Q$34+W99+1)&lt;0,3+(INDEX($B$35:$M$50,($Q$32-1-3)*$Q$33+X99+1,0*$Q$34+W99+1)-$Q$46)/$Q$48*$Q$42,NA())))</f>
        <v>3.1130360985947854</v>
      </c>
      <c r="AI99">
        <f>IF(V99=1,0,IF(INDEX($B$35:$M$50,($Q$32-1-0)*$Q$33+X99+1,0*$Q$34+W99+1)="",0,IF(INDEX($B$35:$M$50,($Q$32-1-0)*$Q$33+X99+1,0*$Q$34+W99+1)&gt;=0,ABS(INDEX($B$35:$M$50,($Q$32-1-0)*$Q$33+X99+1,0*$Q$34+W99+1))/$Q$48*$Q$42,0)))</f>
        <v>0</v>
      </c>
      <c r="AJ99">
        <f>IF(V99=1,0,IF(INDEX($B$35:$M$50,($Q$32-1-0)*$Q$33+X99+1,0*$Q$34+W99+1)="",0,IF(INDEX($B$35:$M$50,($Q$32-1-0)*$Q$33+X99+1,0*$Q$34+W99+1)&lt;0,ABS(INDEX($B$35:$M$50,($Q$32-1-0)*$Q$33+X99+1,0*$Q$34+W99+1))/$Q$48*$Q$42,0)))</f>
        <v>0</v>
      </c>
      <c r="AK99">
        <f>IF(V99=1,0,IF(INDEX($B$35:$M$50,($Q$32-1-1)*$Q$33+X99+1,0*$Q$34+W99+1)="",0,IF(INDEX($B$35:$M$50,($Q$32-1-1)*$Q$33+X99+1,0*$Q$34+W99+1)&gt;=0,ABS(INDEX($B$35:$M$50,($Q$32-1-1)*$Q$33+X99+1,0*$Q$34+W99+1))/$Q$48*$Q$42,0)))</f>
        <v>7.255126967679186E-2</v>
      </c>
      <c r="AL99">
        <f>IF(V99=1,0,IF(INDEX($B$35:$M$50,($Q$32-1-1)*$Q$33+X99+1,0*$Q$34+W99+1)="",0,IF(INDEX($B$35:$M$50,($Q$32-1-1)*$Q$33+X99+1,0*$Q$34+W99+1)&lt;0,ABS(INDEX($B$35:$M$50,($Q$32-1-1)*$Q$33+X99+1,0*$Q$34+W99+1))/$Q$48*$Q$42,0)))</f>
        <v>0</v>
      </c>
      <c r="AM99">
        <f>IF(V99=1,0,IF(INDEX($B$35:$M$50,($Q$32-1-2)*$Q$33+X99+1,0*$Q$34+W99+1)="",0,IF(INDEX($B$35:$M$50,($Q$32-1-2)*$Q$33+X99+1,0*$Q$34+W99+1)&gt;=0,ABS(INDEX($B$35:$M$50,($Q$32-1-2)*$Q$33+X99+1,0*$Q$34+W99+1))/$Q$48*$Q$42,0)))</f>
        <v>0</v>
      </c>
      <c r="AN99">
        <f>IF(V99=1,0,IF(INDEX($B$35:$M$50,($Q$32-1-2)*$Q$33+X99+1,0*$Q$34+W99+1)="",0,IF(INDEX($B$35:$M$50,($Q$32-1-2)*$Q$33+X99+1,0*$Q$34+W99+1)&lt;0,ABS(INDEX($B$35:$M$50,($Q$32-1-2)*$Q$33+X99+1,0*$Q$34+W99+1))/$Q$48*$Q$42,0)))</f>
        <v>3.5500365386663492E-2</v>
      </c>
      <c r="AO99">
        <f>IF(V99=1,0,IF(INDEX($B$35:$M$50,($Q$32-1-3)*$Q$33+X99+1,0*$Q$34+W99+1)="",0,IF(INDEX($B$35:$M$50,($Q$32-1-3)*$Q$33+X99+1,0*$Q$34+W99+1)&gt;=0,ABS(INDEX($B$35:$M$50,($Q$32-1-3)*$Q$33+X99+1,0*$Q$34+W99+1))/$Q$48*$Q$42,0)))</f>
        <v>0</v>
      </c>
      <c r="AP99">
        <f>IF(V99=1,0,IF(INDEX($B$35:$M$50,($Q$32-1-3)*$Q$33+X99+1,0*$Q$34+W99+1)="",0,IF(INDEX($B$35:$M$50,($Q$32-1-3)*$Q$33+X99+1,0*$Q$34+W99+1)&lt;0,ABS(INDEX($B$35:$M$50,($Q$32-1-3)*$Q$33+X99+1,0*$Q$34+W99+1))/$Q$48*$Q$42,0)))</f>
        <v>0.12124961569092911</v>
      </c>
      <c r="AR99" t="str">
        <f>IF(V99=1,"",IF(INDEX($B$35:$M$50,($Q$32-1-0)*$Q$33+X99+1,0*$Q$34+W99+1)="","",IF(INDEX($B$35:$M$50,($Q$32-1-0)*$Q$33+X99+1,0*$Q$34+W99+1)&gt;=0,TEXT(INDEX($B$35:$M$50,($Q$32-1-0)*$Q$33+X99+1,0*$Q$34+W99+1),"+0;-0;0"),"")))</f>
        <v/>
      </c>
      <c r="AS99" t="str">
        <f>IF(V99=1,"",IF(INDEX($B$35:$M$50,($Q$32-1-0)*$Q$33+X99+1,0*$Q$34+W99+1)="","",IF(INDEX($B$35:$M$50,($Q$32-1-0)*$Q$33+X99+1,0*$Q$34+W99+1)&lt;0,TEXT(INDEX($B$35:$M$50,($Q$32-1-0)*$Q$33+X99+1,0*$Q$34+W99+1),"+0;-0;0"),"")))</f>
        <v/>
      </c>
      <c r="AT99" t="str">
        <f>IF(V99=1,"",IF(INDEX($B$35:$M$50,($Q$32-1-1)*$Q$33+X99+1,0*$Q$34+W99+1)="","",IF(INDEX($B$35:$M$50,($Q$32-1-1)*$Q$33+X99+1,0*$Q$34+W99+1)&gt;=0,TEXT(INDEX($B$35:$M$50,($Q$32-1-1)*$Q$33+X99+1,0*$Q$34+W99+1),"+0;-0;0"),"")))</f>
        <v>+31</v>
      </c>
      <c r="AU99" t="str">
        <f>IF(V99=1,"",IF(INDEX($B$35:$M$50,($Q$32-1-1)*$Q$33+X99+1,0*$Q$34+W99+1)="","",IF(INDEX($B$35:$M$50,($Q$32-1-1)*$Q$33+X99+1,0*$Q$34+W99+1)&lt;0,TEXT(INDEX($B$35:$M$50,($Q$32-1-1)*$Q$33+X99+1,0*$Q$34+W99+1),"+0;-0;0"),"")))</f>
        <v/>
      </c>
      <c r="AV99" t="str">
        <f>IF(V99=1,"",IF(INDEX($B$35:$M$50,($Q$32-1-2)*$Q$33+X99+1,0*$Q$34+W99+1)="","",IF(INDEX($B$35:$M$50,($Q$32-1-2)*$Q$33+X99+1,0*$Q$34+W99+1)&gt;=0,TEXT(INDEX($B$35:$M$50,($Q$32-1-2)*$Q$33+X99+1,0*$Q$34+W99+1),"+0;-0;0"),"")))</f>
        <v/>
      </c>
      <c r="AW99" t="str">
        <f>IF(V99=1,"",IF(INDEX($B$35:$M$50,($Q$32-1-2)*$Q$33+X99+1,0*$Q$34+W99+1)="","",IF(INDEX($B$35:$M$50,($Q$32-1-2)*$Q$33+X99+1,0*$Q$34+W99+1)&lt;0,TEXT(INDEX($B$35:$M$50,($Q$32-1-2)*$Q$33+X99+1,0*$Q$34+W99+1),"+0;-0;0"),"")))</f>
        <v>-15</v>
      </c>
      <c r="AX99" t="str">
        <f>IF(V99=1,"",IF(INDEX($B$35:$M$50,($Q$32-1-3)*$Q$33+X99+1,0*$Q$34+W99+1)="","",IF(INDEX($B$35:$M$50,($Q$32-1-3)*$Q$33+X99+1,0*$Q$34+W99+1)&gt;=0,TEXT(INDEX($B$35:$M$50,($Q$32-1-3)*$Q$33+X99+1,0*$Q$34+W99+1),"+0;-0;0"),"")))</f>
        <v/>
      </c>
      <c r="AY99" t="str">
        <f>IF(V99=1,"",IF(INDEX($B$35:$M$50,($Q$32-1-3)*$Q$33+X99+1,0*$Q$34+W99+1)="","",IF(INDEX($B$35:$M$50,($Q$32-1-3)*$Q$33+X99+1,0*$Q$34+W99+1)&lt;0,TEXT(INDEX($B$35:$M$50,($Q$32-1-3)*$Q$33+X99+1,0*$Q$34+W99+1),"+0;-0;0"),"")))</f>
        <v>-52</v>
      </c>
      <c r="BG99">
        <v>54.5</v>
      </c>
      <c r="BH99">
        <f>IF(OR($Q$46&gt;0,$Q$47&lt;0),NA(),3+$Q$49)</f>
        <v>3.2342857142857144</v>
      </c>
    </row>
    <row r="100" spans="16:60" x14ac:dyDescent="0.35">
      <c r="P100">
        <v>48</v>
      </c>
      <c r="Q100">
        <f>P100-$Q$41</f>
        <v>45</v>
      </c>
      <c r="R100">
        <f>IF(Q100&lt;=0,-1,INT((Q100-1)/($Q$39+$Q$40)))</f>
        <v>3</v>
      </c>
      <c r="S100">
        <f>IF(Q100&lt;=0,-1,MOD(Q100-1,($Q$39+$Q$40)))</f>
        <v>5</v>
      </c>
      <c r="T100">
        <f>IF(OR(S100&lt;0,S100&gt;=$Q$39),-1,INT(S100/$Q$38))</f>
        <v>5</v>
      </c>
      <c r="U100">
        <f>IF(OR(S100&lt;0,S100&gt;=$Q$39),-1,MOD(S100,$Q$38))</f>
        <v>0</v>
      </c>
      <c r="V100">
        <f>IF(OR(Q100&lt;=0,S100&lt;0,S100&gt;=$Q$39,R100&gt;=$Q$36),1,0)</f>
        <v>0</v>
      </c>
      <c r="W100">
        <f>IF(V100=1,-1,T100)</f>
        <v>5</v>
      </c>
      <c r="X100">
        <f>IF(V100=1,-1,R100)</f>
        <v>3</v>
      </c>
      <c r="Y100" t="str">
        <f>IF(V100=1,"",IF(AND(MOD(W100,3)=0,U100=INT(($Q$38-1)/2)),INDEX($B$34:$M$34,W100+1),""))</f>
        <v/>
      </c>
      <c r="Z100" t="e">
        <f>IF(V100=1,NA(),IF(INDEX($B$35:$M$50,($Q$32-1-0)*$Q$33+X100+1,0*$Q$34+W100+1)="",NA(),IF(INDEX($B$35:$M$50,($Q$32-1-0)*$Q$33+X100+1,0*$Q$34+W100+1)&gt;=0,0+(INDEX($B$35:$M$50,($Q$32-1-0)*$Q$33+X100+1,0*$Q$34+W100+1)-$Q$46)/$Q$48*$Q$42,NA())))</f>
        <v>#N/A</v>
      </c>
      <c r="AA100" t="e">
        <f>IF(V100=1,NA(),IF(INDEX($B$35:$M$50,($Q$32-1-0)*$Q$33+X100+1,0*$Q$34+W100+1)="",NA(),IF(INDEX($B$35:$M$50,($Q$32-1-0)*$Q$33+X100+1,0*$Q$34+W100+1)&lt;0,0+(INDEX($B$35:$M$50,($Q$32-1-0)*$Q$33+X100+1,0*$Q$34+W100+1)-$Q$46)/$Q$48*$Q$42,NA())))</f>
        <v>#N/A</v>
      </c>
      <c r="AB100">
        <f>IF(V100=1,NA(),IF(INDEX($B$35:$M$50,($Q$32-1-1)*$Q$33+X100+1,0*$Q$34+W100+1)="",NA(),IF(INDEX($B$35:$M$50,($Q$32-1-1)*$Q$33+X100+1,0*$Q$34+W100+1)&gt;=0,1+(INDEX($B$35:$M$50,($Q$32-1-1)*$Q$33+X100+1,0*$Q$34+W100+1)-$Q$46)/$Q$48*$Q$42,NA())))</f>
        <v>1.3152209664647085</v>
      </c>
      <c r="AC100" t="e">
        <f>IF(V100=1,NA(),IF(INDEX($B$35:$M$50,($Q$32-1-1)*$Q$33+X100+1,0*$Q$34+W100+1)="",NA(),IF(INDEX($B$35:$M$50,($Q$32-1-1)*$Q$33+X100+1,0*$Q$34+W100+1)&lt;0,1+(INDEX($B$35:$M$50,($Q$32-1-1)*$Q$33+X100+1,0*$Q$34+W100+1)-$Q$46)/$Q$48*$Q$42,NA())))</f>
        <v>#N/A</v>
      </c>
      <c r="AD100" t="e">
        <f>IF(V100=1,NA(),IF(INDEX($B$35:$M$50,($Q$32-1-2)*$Q$33+X100+1,0*$Q$34+W100+1)="",NA(),IF(INDEX($B$35:$M$50,($Q$32-1-2)*$Q$33+X100+1,0*$Q$34+W100+1)&gt;=0,2+(INDEX($B$35:$M$50,($Q$32-1-2)*$Q$33+X100+1,0*$Q$34+W100+1)-$Q$46)/$Q$48*$Q$42,NA())))</f>
        <v>#N/A</v>
      </c>
      <c r="AE100">
        <f>IF(V100=1,NA(),IF(INDEX($B$35:$M$50,($Q$32-1-2)*$Q$33+X100+1,0*$Q$34+W100+1)="",NA(),IF(INDEX($B$35:$M$50,($Q$32-1-2)*$Q$33+X100+1,0*$Q$34+W100+1)&lt;0,2+(INDEX($B$35:$M$50,($Q$32-1-2)*$Q$33+X100+1,0*$Q$34+W100+1)-$Q$46)/$Q$48*$Q$42,NA())))</f>
        <v>2.1996483467671037</v>
      </c>
      <c r="AF100" t="e">
        <f>IF(V100=1,NA(),IF(INDEX($B$35:$M$50,($Q$32-1-3)*$Q$33+X100+1,0*$Q$34+W100+1)="",NA(),IF(INDEX($B$35:$M$50,($Q$32-1-3)*$Q$33+X100+1,0*$Q$34+W100+1)&gt;=0,3+(INDEX($B$35:$M$50,($Q$32-1-3)*$Q$33+X100+1,0*$Q$34+W100+1)-$Q$46)/$Q$48*$Q$42,NA())))</f>
        <v>#N/A</v>
      </c>
      <c r="AG100">
        <f>IF(V100=1,NA(),IF(INDEX($B$35:$M$50,($Q$32-1-3)*$Q$33+X100+1,0*$Q$34+W100+1)="",NA(),IF(INDEX($B$35:$M$50,($Q$32-1-3)*$Q$33+X100+1,0*$Q$34+W100+1)&lt;0,3+(INDEX($B$35:$M$50,($Q$32-1-3)*$Q$33+X100+1,0*$Q$34+W100+1)-$Q$46)/$Q$48*$Q$42,NA())))</f>
        <v>3.112076578440484</v>
      </c>
      <c r="AI100">
        <f>IF(V100=1,0,IF(INDEX($B$35:$M$50,($Q$32-1-0)*$Q$33+X100+1,0*$Q$34+W100+1)="",0,IF(INDEX($B$35:$M$50,($Q$32-1-0)*$Q$33+X100+1,0*$Q$34+W100+1)&gt;=0,ABS(INDEX($B$35:$M$50,($Q$32-1-0)*$Q$33+X100+1,0*$Q$34+W100+1))/$Q$48*$Q$42,0)))</f>
        <v>0</v>
      </c>
      <c r="AJ100">
        <f>IF(V100=1,0,IF(INDEX($B$35:$M$50,($Q$32-1-0)*$Q$33+X100+1,0*$Q$34+W100+1)="",0,IF(INDEX($B$35:$M$50,($Q$32-1-0)*$Q$33+X100+1,0*$Q$34+W100+1)&lt;0,ABS(INDEX($B$35:$M$50,($Q$32-1-0)*$Q$33+X100+1,0*$Q$34+W100+1))/$Q$48*$Q$42,0)))</f>
        <v>0</v>
      </c>
      <c r="AK100">
        <f>IF(V100=1,0,IF(INDEX($B$35:$M$50,($Q$32-1-1)*$Q$33+X100+1,0*$Q$34+W100+1)="",0,IF(INDEX($B$35:$M$50,($Q$32-1-1)*$Q$33+X100+1,0*$Q$34+W100+1)&gt;=0,ABS(INDEX($B$35:$M$50,($Q$32-1-1)*$Q$33+X100+1,0*$Q$34+W100+1))/$Q$48*$Q$42,0)))</f>
        <v>8.0935252178994194E-2</v>
      </c>
      <c r="AL100">
        <f>IF(V100=1,0,IF(INDEX($B$35:$M$50,($Q$32-1-1)*$Q$33+X100+1,0*$Q$34+W100+1)="",0,IF(INDEX($B$35:$M$50,($Q$32-1-1)*$Q$33+X100+1,0*$Q$34+W100+1)&lt;0,ABS(INDEX($B$35:$M$50,($Q$32-1-1)*$Q$33+X100+1,0*$Q$34+W100+1))/$Q$48*$Q$42,0)))</f>
        <v>0</v>
      </c>
      <c r="AM100">
        <f>IF(V100=1,0,IF(INDEX($B$35:$M$50,($Q$32-1-2)*$Q$33+X100+1,0*$Q$34+W100+1)="",0,IF(INDEX($B$35:$M$50,($Q$32-1-2)*$Q$33+X100+1,0*$Q$34+W100+1)&gt;=0,ABS(INDEX($B$35:$M$50,($Q$32-1-2)*$Q$33+X100+1,0*$Q$34+W100+1))/$Q$48*$Q$42,0)))</f>
        <v>0</v>
      </c>
      <c r="AN100">
        <f>IF(V100=1,0,IF(INDEX($B$35:$M$50,($Q$32-1-2)*$Q$33+X100+1,0*$Q$34+W100+1)="",0,IF(INDEX($B$35:$M$50,($Q$32-1-2)*$Q$33+X100+1,0*$Q$34+W100+1)&lt;0,ABS(INDEX($B$35:$M$50,($Q$32-1-2)*$Q$33+X100+1,0*$Q$34+W100+1))/$Q$48*$Q$42,0)))</f>
        <v>3.463736751861049E-2</v>
      </c>
      <c r="AO100">
        <f>IF(V100=1,0,IF(INDEX($B$35:$M$50,($Q$32-1-3)*$Q$33+X100+1,0*$Q$34+W100+1)="",0,IF(INDEX($B$35:$M$50,($Q$32-1-3)*$Q$33+X100+1,0*$Q$34+W100+1)&gt;=0,ABS(INDEX($B$35:$M$50,($Q$32-1-3)*$Q$33+X100+1,0*$Q$34+W100+1))/$Q$48*$Q$42,0)))</f>
        <v>0</v>
      </c>
      <c r="AP100">
        <f>IF(V100=1,0,IF(INDEX($B$35:$M$50,($Q$32-1-3)*$Q$33+X100+1,0*$Q$34+W100+1)="",0,IF(INDEX($B$35:$M$50,($Q$32-1-3)*$Q$33+X100+1,0*$Q$34+W100+1)&lt;0,ABS(INDEX($B$35:$M$50,($Q$32-1-3)*$Q$33+X100+1,0*$Q$34+W100+1))/$Q$48*$Q$42,0)))</f>
        <v>0.12220913584523023</v>
      </c>
      <c r="AR100" t="str">
        <f>IF(V100=1,"",IF(INDEX($B$35:$M$50,($Q$32-1-0)*$Q$33+X100+1,0*$Q$34+W100+1)="","",IF(INDEX($B$35:$M$50,($Q$32-1-0)*$Q$33+X100+1,0*$Q$34+W100+1)&gt;=0,TEXT(INDEX($B$35:$M$50,($Q$32-1-0)*$Q$33+X100+1,0*$Q$34+W100+1),"+0;-0;0"),"")))</f>
        <v/>
      </c>
      <c r="AS100" t="str">
        <f>IF(V100=1,"",IF(INDEX($B$35:$M$50,($Q$32-1-0)*$Q$33+X100+1,0*$Q$34+W100+1)="","",IF(INDEX($B$35:$M$50,($Q$32-1-0)*$Q$33+X100+1,0*$Q$34+W100+1)&lt;0,TEXT(INDEX($B$35:$M$50,($Q$32-1-0)*$Q$33+X100+1,0*$Q$34+W100+1),"+0;-0;0"),"")))</f>
        <v/>
      </c>
      <c r="AT100" t="str">
        <f>IF(V100=1,"",IF(INDEX($B$35:$M$50,($Q$32-1-1)*$Q$33+X100+1,0*$Q$34+W100+1)="","",IF(INDEX($B$35:$M$50,($Q$32-1-1)*$Q$33+X100+1,0*$Q$34+W100+1)&gt;=0,TEXT(INDEX($B$35:$M$50,($Q$32-1-1)*$Q$33+X100+1,0*$Q$34+W100+1),"+0;-0;0"),"")))</f>
        <v>+35</v>
      </c>
      <c r="AU100" t="str">
        <f>IF(V100=1,"",IF(INDEX($B$35:$M$50,($Q$32-1-1)*$Q$33+X100+1,0*$Q$34+W100+1)="","",IF(INDEX($B$35:$M$50,($Q$32-1-1)*$Q$33+X100+1,0*$Q$34+W100+1)&lt;0,TEXT(INDEX($B$35:$M$50,($Q$32-1-1)*$Q$33+X100+1,0*$Q$34+W100+1),"+0;-0;0"),"")))</f>
        <v/>
      </c>
      <c r="AV100" t="str">
        <f>IF(V100=1,"",IF(INDEX($B$35:$M$50,($Q$32-1-2)*$Q$33+X100+1,0*$Q$34+W100+1)="","",IF(INDEX($B$35:$M$50,($Q$32-1-2)*$Q$33+X100+1,0*$Q$34+W100+1)&gt;=0,TEXT(INDEX($B$35:$M$50,($Q$32-1-2)*$Q$33+X100+1,0*$Q$34+W100+1),"+0;-0;0"),"")))</f>
        <v/>
      </c>
      <c r="AW100" t="str">
        <f>IF(V100=1,"",IF(INDEX($B$35:$M$50,($Q$32-1-2)*$Q$33+X100+1,0*$Q$34+W100+1)="","",IF(INDEX($B$35:$M$50,($Q$32-1-2)*$Q$33+X100+1,0*$Q$34+W100+1)&lt;0,TEXT(INDEX($B$35:$M$50,($Q$32-1-2)*$Q$33+X100+1,0*$Q$34+W100+1),"+0;-0;0"),"")))</f>
        <v>-15</v>
      </c>
      <c r="AX100" t="str">
        <f>IF(V100=1,"",IF(INDEX($B$35:$M$50,($Q$32-1-3)*$Q$33+X100+1,0*$Q$34+W100+1)="","",IF(INDEX($B$35:$M$50,($Q$32-1-3)*$Q$33+X100+1,0*$Q$34+W100+1)&gt;=0,TEXT(INDEX($B$35:$M$50,($Q$32-1-3)*$Q$33+X100+1,0*$Q$34+W100+1),"+0;-0;0"),"")))</f>
        <v/>
      </c>
      <c r="AY100" t="str">
        <f>IF(V100=1,"",IF(INDEX($B$35:$M$50,($Q$32-1-3)*$Q$33+X100+1,0*$Q$34+W100+1)="","",IF(INDEX($B$35:$M$50,($Q$32-1-3)*$Q$33+X100+1,0*$Q$34+W100+1)&lt;0,TEXT(INDEX($B$35:$M$50,($Q$32-1-3)*$Q$33+X100+1,0*$Q$34+W100+1),"+0;-0;0"),"")))</f>
        <v>-52</v>
      </c>
      <c r="BG100">
        <v>54.5</v>
      </c>
      <c r="BH100" t="e">
        <f>NA()</f>
        <v>#N/A</v>
      </c>
    </row>
    <row r="101" spans="16:60" x14ac:dyDescent="0.35">
      <c r="P101">
        <v>49</v>
      </c>
      <c r="Q101">
        <f>P101-$Q$41</f>
        <v>46</v>
      </c>
      <c r="R101">
        <f>IF(Q101&lt;=0,-1,INT((Q101-1)/($Q$39+$Q$40)))</f>
        <v>3</v>
      </c>
      <c r="S101">
        <f>IF(Q101&lt;=0,-1,MOD(Q101-1,($Q$39+$Q$40)))</f>
        <v>6</v>
      </c>
      <c r="T101">
        <f>IF(OR(S101&lt;0,S101&gt;=$Q$39),-1,INT(S101/$Q$38))</f>
        <v>6</v>
      </c>
      <c r="U101">
        <f>IF(OR(S101&lt;0,S101&gt;=$Q$39),-1,MOD(S101,$Q$38))</f>
        <v>0</v>
      </c>
      <c r="V101">
        <f>IF(OR(Q101&lt;=0,S101&lt;0,S101&gt;=$Q$39,R101&gt;=$Q$36),1,0)</f>
        <v>0</v>
      </c>
      <c r="W101">
        <f>IF(V101=1,-1,T101)</f>
        <v>6</v>
      </c>
      <c r="X101">
        <f>IF(V101=1,-1,R101)</f>
        <v>3</v>
      </c>
      <c r="Y101" t="str">
        <f>IF(V101=1,"",IF(AND(MOD(W101,3)=0,U101=INT(($Q$38-1)/2)),INDEX($B$34:$M$34,W101+1),""))</f>
        <v>Jul</v>
      </c>
      <c r="Z101" t="e">
        <f>IF(V101=1,NA(),IF(INDEX($B$35:$M$50,($Q$32-1-0)*$Q$33+X101+1,0*$Q$34+W101+1)="",NA(),IF(INDEX($B$35:$M$50,($Q$32-1-0)*$Q$33+X101+1,0*$Q$34+W101+1)&gt;=0,0+(INDEX($B$35:$M$50,($Q$32-1-0)*$Q$33+X101+1,0*$Q$34+W101+1)-$Q$46)/$Q$48*$Q$42,NA())))</f>
        <v>#N/A</v>
      </c>
      <c r="AA101" t="e">
        <f>IF(V101=1,NA(),IF(INDEX($B$35:$M$50,($Q$32-1-0)*$Q$33+X101+1,0*$Q$34+W101+1)="",NA(),IF(INDEX($B$35:$M$50,($Q$32-1-0)*$Q$33+X101+1,0*$Q$34+W101+1)&lt;0,0+(INDEX($B$35:$M$50,($Q$32-1-0)*$Q$33+X101+1,0*$Q$34+W101+1)-$Q$46)/$Q$48*$Q$42,NA())))</f>
        <v>#N/A</v>
      </c>
      <c r="AB101">
        <f>IF(V101=1,NA(),IF(INDEX($B$35:$M$50,($Q$32-1-1)*$Q$33+X101+1,0*$Q$34+W101+1)="",NA(),IF(INDEX($B$35:$M$50,($Q$32-1-1)*$Q$33+X101+1,0*$Q$34+W101+1)&gt;=0,1+(INDEX($B$35:$M$50,($Q$32-1-1)*$Q$33+X101+1,0*$Q$34+W101+1)-$Q$46)/$Q$48*$Q$42,NA())))</f>
        <v>1.3230739104406353</v>
      </c>
      <c r="AC101" t="e">
        <f>IF(V101=1,NA(),IF(INDEX($B$35:$M$50,($Q$32-1-1)*$Q$33+X101+1,0*$Q$34+W101+1)="",NA(),IF(INDEX($B$35:$M$50,($Q$32-1-1)*$Q$33+X101+1,0*$Q$34+W101+1)&lt;0,1+(INDEX($B$35:$M$50,($Q$32-1-1)*$Q$33+X101+1,0*$Q$34+W101+1)-$Q$46)/$Q$48*$Q$42,NA())))</f>
        <v>#N/A</v>
      </c>
      <c r="AD101" t="e">
        <f>IF(V101=1,NA(),IF(INDEX($B$35:$M$50,($Q$32-1-2)*$Q$33+X101+1,0*$Q$34+W101+1)="",NA(),IF(INDEX($B$35:$M$50,($Q$32-1-2)*$Q$33+X101+1,0*$Q$34+W101+1)&gt;=0,2+(INDEX($B$35:$M$50,($Q$32-1-2)*$Q$33+X101+1,0*$Q$34+W101+1)-$Q$46)/$Q$48*$Q$42,NA())))</f>
        <v>#N/A</v>
      </c>
      <c r="AE101">
        <f>IF(V101=1,NA(),IF(INDEX($B$35:$M$50,($Q$32-1-2)*$Q$33+X101+1,0*$Q$34+W101+1)="",NA(),IF(INDEX($B$35:$M$50,($Q$32-1-2)*$Q$33+X101+1,0*$Q$34+W101+1)&lt;0,2+(INDEX($B$35:$M$50,($Q$32-1-2)*$Q$33+X101+1,0*$Q$34+W101+1)-$Q$46)/$Q$48*$Q$42,NA())))</f>
        <v>2.2153520215291596</v>
      </c>
      <c r="AF101" t="e">
        <f>IF(V101=1,NA(),IF(INDEX($B$35:$M$50,($Q$32-1-3)*$Q$33+X101+1,0*$Q$34+W101+1)="",NA(),IF(INDEX($B$35:$M$50,($Q$32-1-3)*$Q$33+X101+1,0*$Q$34+W101+1)&gt;=0,3+(INDEX($B$35:$M$50,($Q$32-1-3)*$Q$33+X101+1,0*$Q$34+W101+1)-$Q$46)/$Q$48*$Q$42,NA())))</f>
        <v>#N/A</v>
      </c>
      <c r="AG101">
        <f>IF(V101=1,NA(),IF(INDEX($B$35:$M$50,($Q$32-1-3)*$Q$33+X101+1,0*$Q$34+W101+1)="",NA(),IF(INDEX($B$35:$M$50,($Q$32-1-3)*$Q$33+X101+1,0*$Q$34+W101+1)&lt;0,3+(INDEX($B$35:$M$50,($Q$32-1-3)*$Q$33+X101+1,0*$Q$34+W101+1)-$Q$46)/$Q$48*$Q$42,NA())))</f>
        <v>3.1186081177677645</v>
      </c>
      <c r="AI101">
        <f>IF(V101=1,0,IF(INDEX($B$35:$M$50,($Q$32-1-0)*$Q$33+X101+1,0*$Q$34+W101+1)="",0,IF(INDEX($B$35:$M$50,($Q$32-1-0)*$Q$33+X101+1,0*$Q$34+W101+1)&gt;=0,ABS(INDEX($B$35:$M$50,($Q$32-1-0)*$Q$33+X101+1,0*$Q$34+W101+1))/$Q$48*$Q$42,0)))</f>
        <v>0</v>
      </c>
      <c r="AJ101">
        <f>IF(V101=1,0,IF(INDEX($B$35:$M$50,($Q$32-1-0)*$Q$33+X101+1,0*$Q$34+W101+1)="",0,IF(INDEX($B$35:$M$50,($Q$32-1-0)*$Q$33+X101+1,0*$Q$34+W101+1)&lt;0,ABS(INDEX($B$35:$M$50,($Q$32-1-0)*$Q$33+X101+1,0*$Q$34+W101+1))/$Q$48*$Q$42,0)))</f>
        <v>0</v>
      </c>
      <c r="AK101">
        <f>IF(V101=1,0,IF(INDEX($B$35:$M$50,($Q$32-1-1)*$Q$33+X101+1,0*$Q$34+W101+1)="",0,IF(INDEX($B$35:$M$50,($Q$32-1-1)*$Q$33+X101+1,0*$Q$34+W101+1)&gt;=0,ABS(INDEX($B$35:$M$50,($Q$32-1-1)*$Q$33+X101+1,0*$Q$34+W101+1))/$Q$48*$Q$42,0)))</f>
        <v>8.8788196154921062E-2</v>
      </c>
      <c r="AL101">
        <f>IF(V101=1,0,IF(INDEX($B$35:$M$50,($Q$32-1-1)*$Q$33+X101+1,0*$Q$34+W101+1)="",0,IF(INDEX($B$35:$M$50,($Q$32-1-1)*$Q$33+X101+1,0*$Q$34+W101+1)&lt;0,ABS(INDEX($B$35:$M$50,($Q$32-1-1)*$Q$33+X101+1,0*$Q$34+W101+1))/$Q$48*$Q$42,0)))</f>
        <v>0</v>
      </c>
      <c r="AM101">
        <f>IF(V101=1,0,IF(INDEX($B$35:$M$50,($Q$32-1-2)*$Q$33+X101+1,0*$Q$34+W101+1)="",0,IF(INDEX($B$35:$M$50,($Q$32-1-2)*$Q$33+X101+1,0*$Q$34+W101+1)&gt;=0,ABS(INDEX($B$35:$M$50,($Q$32-1-2)*$Q$33+X101+1,0*$Q$34+W101+1))/$Q$48*$Q$42,0)))</f>
        <v>0</v>
      </c>
      <c r="AN101">
        <f>IF(V101=1,0,IF(INDEX($B$35:$M$50,($Q$32-1-2)*$Q$33+X101+1,0*$Q$34+W101+1)="",0,IF(INDEX($B$35:$M$50,($Q$32-1-2)*$Q$33+X101+1,0*$Q$34+W101+1)&lt;0,ABS(INDEX($B$35:$M$50,($Q$32-1-2)*$Q$33+X101+1,0*$Q$34+W101+1))/$Q$48*$Q$42,0)))</f>
        <v>1.8933692756554595E-2</v>
      </c>
      <c r="AO101">
        <f>IF(V101=1,0,IF(INDEX($B$35:$M$50,($Q$32-1-3)*$Q$33+X101+1,0*$Q$34+W101+1)="",0,IF(INDEX($B$35:$M$50,($Q$32-1-3)*$Q$33+X101+1,0*$Q$34+W101+1)&gt;=0,ABS(INDEX($B$35:$M$50,($Q$32-1-3)*$Q$33+X101+1,0*$Q$34+W101+1))/$Q$48*$Q$42,0)))</f>
        <v>0</v>
      </c>
      <c r="AP101">
        <f>IF(V101=1,0,IF(INDEX($B$35:$M$50,($Q$32-1-3)*$Q$33+X101+1,0*$Q$34+W101+1)="",0,IF(INDEX($B$35:$M$50,($Q$32-1-3)*$Q$33+X101+1,0*$Q$34+W101+1)&lt;0,ABS(INDEX($B$35:$M$50,($Q$32-1-3)*$Q$33+X101+1,0*$Q$34+W101+1))/$Q$48*$Q$42,0)))</f>
        <v>0.11567759651794988</v>
      </c>
      <c r="AR101" t="str">
        <f>IF(V101=1,"",IF(INDEX($B$35:$M$50,($Q$32-1-0)*$Q$33+X101+1,0*$Q$34+W101+1)="","",IF(INDEX($B$35:$M$50,($Q$32-1-0)*$Q$33+X101+1,0*$Q$34+W101+1)&gt;=0,TEXT(INDEX($B$35:$M$50,($Q$32-1-0)*$Q$33+X101+1,0*$Q$34+W101+1),"+0;-0;0"),"")))</f>
        <v/>
      </c>
      <c r="AS101" t="str">
        <f>IF(V101=1,"",IF(INDEX($B$35:$M$50,($Q$32-1-0)*$Q$33+X101+1,0*$Q$34+W101+1)="","",IF(INDEX($B$35:$M$50,($Q$32-1-0)*$Q$33+X101+1,0*$Q$34+W101+1)&lt;0,TEXT(INDEX($B$35:$M$50,($Q$32-1-0)*$Q$33+X101+1,0*$Q$34+W101+1),"+0;-0;0"),"")))</f>
        <v/>
      </c>
      <c r="AT101" t="str">
        <f>IF(V101=1,"",IF(INDEX($B$35:$M$50,($Q$32-1-1)*$Q$33+X101+1,0*$Q$34+W101+1)="","",IF(INDEX($B$35:$M$50,($Q$32-1-1)*$Q$33+X101+1,0*$Q$34+W101+1)&gt;=0,TEXT(INDEX($B$35:$M$50,($Q$32-1-1)*$Q$33+X101+1,0*$Q$34+W101+1),"+0;-0;0"),"")))</f>
        <v>+38</v>
      </c>
      <c r="AU101" t="str">
        <f>IF(V101=1,"",IF(INDEX($B$35:$M$50,($Q$32-1-1)*$Q$33+X101+1,0*$Q$34+W101+1)="","",IF(INDEX($B$35:$M$50,($Q$32-1-1)*$Q$33+X101+1,0*$Q$34+W101+1)&lt;0,TEXT(INDEX($B$35:$M$50,($Q$32-1-1)*$Q$33+X101+1,0*$Q$34+W101+1),"+0;-0;0"),"")))</f>
        <v/>
      </c>
      <c r="AV101" t="str">
        <f>IF(V101=1,"",IF(INDEX($B$35:$M$50,($Q$32-1-2)*$Q$33+X101+1,0*$Q$34+W101+1)="","",IF(INDEX($B$35:$M$50,($Q$32-1-2)*$Q$33+X101+1,0*$Q$34+W101+1)&gt;=0,TEXT(INDEX($B$35:$M$50,($Q$32-1-2)*$Q$33+X101+1,0*$Q$34+W101+1),"+0;-0;0"),"")))</f>
        <v/>
      </c>
      <c r="AW101" t="str">
        <f>IF(V101=1,"",IF(INDEX($B$35:$M$50,($Q$32-1-2)*$Q$33+X101+1,0*$Q$34+W101+1)="","",IF(INDEX($B$35:$M$50,($Q$32-1-2)*$Q$33+X101+1,0*$Q$34+W101+1)&lt;0,TEXT(INDEX($B$35:$M$50,($Q$32-1-2)*$Q$33+X101+1,0*$Q$34+W101+1),"+0;-0;0"),"")))</f>
        <v>-8</v>
      </c>
      <c r="AX101" t="str">
        <f>IF(V101=1,"",IF(INDEX($B$35:$M$50,($Q$32-1-3)*$Q$33+X101+1,0*$Q$34+W101+1)="","",IF(INDEX($B$35:$M$50,($Q$32-1-3)*$Q$33+X101+1,0*$Q$34+W101+1)&gt;=0,TEXT(INDEX($B$35:$M$50,($Q$32-1-3)*$Q$33+X101+1,0*$Q$34+W101+1),"+0;-0;0"),"")))</f>
        <v/>
      </c>
      <c r="AY101" t="str">
        <f>IF(V101=1,"",IF(INDEX($B$35:$M$50,($Q$32-1-3)*$Q$33+X101+1,0*$Q$34+W101+1)="","",IF(INDEX($B$35:$M$50,($Q$32-1-3)*$Q$33+X101+1,0*$Q$34+W101+1)&lt;0,TEXT(INDEX($B$35:$M$50,($Q$32-1-3)*$Q$33+X101+1,0*$Q$34+W101+1),"+0;-0;0"),"")))</f>
        <v>-49</v>
      </c>
    </row>
    <row r="102" spans="16:60" x14ac:dyDescent="0.35">
      <c r="P102">
        <v>50</v>
      </c>
      <c r="Q102">
        <f>P102-$Q$41</f>
        <v>47</v>
      </c>
      <c r="R102">
        <f>IF(Q102&lt;=0,-1,INT((Q102-1)/($Q$39+$Q$40)))</f>
        <v>3</v>
      </c>
      <c r="S102">
        <f>IF(Q102&lt;=0,-1,MOD(Q102-1,($Q$39+$Q$40)))</f>
        <v>7</v>
      </c>
      <c r="T102">
        <f>IF(OR(S102&lt;0,S102&gt;=$Q$39),-1,INT(S102/$Q$38))</f>
        <v>7</v>
      </c>
      <c r="U102">
        <f>IF(OR(S102&lt;0,S102&gt;=$Q$39),-1,MOD(S102,$Q$38))</f>
        <v>0</v>
      </c>
      <c r="V102">
        <f>IF(OR(Q102&lt;=0,S102&lt;0,S102&gt;=$Q$39,R102&gt;=$Q$36),1,0)</f>
        <v>0</v>
      </c>
      <c r="W102">
        <f>IF(V102=1,-1,T102)</f>
        <v>7</v>
      </c>
      <c r="X102">
        <f>IF(V102=1,-1,R102)</f>
        <v>3</v>
      </c>
      <c r="Y102" t="str">
        <f>IF(V102=1,"",IF(AND(MOD(W102,3)=0,U102=INT(($Q$38-1)/2)),INDEX($B$34:$M$34,W102+1),""))</f>
        <v/>
      </c>
      <c r="Z102" t="e">
        <f>IF(V102=1,NA(),IF(INDEX($B$35:$M$50,($Q$32-1-0)*$Q$33+X102+1,0*$Q$34+W102+1)="",NA(),IF(INDEX($B$35:$M$50,($Q$32-1-0)*$Q$33+X102+1,0*$Q$34+W102+1)&gt;=0,0+(INDEX($B$35:$M$50,($Q$32-1-0)*$Q$33+X102+1,0*$Q$34+W102+1)-$Q$46)/$Q$48*$Q$42,NA())))</f>
        <v>#N/A</v>
      </c>
      <c r="AA102" t="e">
        <f>IF(V102=1,NA(),IF(INDEX($B$35:$M$50,($Q$32-1-0)*$Q$33+X102+1,0*$Q$34+W102+1)="",NA(),IF(INDEX($B$35:$M$50,($Q$32-1-0)*$Q$33+X102+1,0*$Q$34+W102+1)&lt;0,0+(INDEX($B$35:$M$50,($Q$32-1-0)*$Q$33+X102+1,0*$Q$34+W102+1)-$Q$46)/$Q$48*$Q$42,NA())))</f>
        <v>#N/A</v>
      </c>
      <c r="AB102">
        <f>IF(V102=1,NA(),IF(INDEX($B$35:$M$50,($Q$32-1-1)*$Q$33+X102+1,0*$Q$34+W102+1)="",NA(),IF(INDEX($B$35:$M$50,($Q$32-1-1)*$Q$33+X102+1,0*$Q$34+W102+1)&gt;=0,1+(INDEX($B$35:$M$50,($Q$32-1-1)*$Q$33+X102+1,0*$Q$34+W102+1)-$Q$46)/$Q$48*$Q$42,NA())))</f>
        <v>1.3082199300392294</v>
      </c>
      <c r="AC102" t="e">
        <f>IF(V102=1,NA(),IF(INDEX($B$35:$M$50,($Q$32-1-1)*$Q$33+X102+1,0*$Q$34+W102+1)="",NA(),IF(INDEX($B$35:$M$50,($Q$32-1-1)*$Q$33+X102+1,0*$Q$34+W102+1)&lt;0,1+(INDEX($B$35:$M$50,($Q$32-1-1)*$Q$33+X102+1,0*$Q$34+W102+1)-$Q$46)/$Q$48*$Q$42,NA())))</f>
        <v>#N/A</v>
      </c>
      <c r="AD102" t="e">
        <f>IF(V102=1,NA(),IF(INDEX($B$35:$M$50,($Q$32-1-2)*$Q$33+X102+1,0*$Q$34+W102+1)="",NA(),IF(INDEX($B$35:$M$50,($Q$32-1-2)*$Q$33+X102+1,0*$Q$34+W102+1)&gt;=0,2+(INDEX($B$35:$M$50,($Q$32-1-2)*$Q$33+X102+1,0*$Q$34+W102+1)-$Q$46)/$Q$48*$Q$42,NA())))</f>
        <v>#N/A</v>
      </c>
      <c r="AE102">
        <f>IF(V102=1,NA(),IF(INDEX($B$35:$M$50,($Q$32-1-2)*$Q$33+X102+1,0*$Q$34+W102+1)="",NA(),IF(INDEX($B$35:$M$50,($Q$32-1-2)*$Q$33+X102+1,0*$Q$34+W102+1)&lt;0,2+(INDEX($B$35:$M$50,($Q$32-1-2)*$Q$33+X102+1,0*$Q$34+W102+1)-$Q$46)/$Q$48*$Q$42,NA())))</f>
        <v>2.1957046641127773</v>
      </c>
      <c r="AF102" t="e">
        <f>IF(V102=1,NA(),IF(INDEX($B$35:$M$50,($Q$32-1-3)*$Q$33+X102+1,0*$Q$34+W102+1)="",NA(),IF(INDEX($B$35:$M$50,($Q$32-1-3)*$Q$33+X102+1,0*$Q$34+W102+1)&gt;=0,3+(INDEX($B$35:$M$50,($Q$32-1-3)*$Q$33+X102+1,0*$Q$34+W102+1)-$Q$46)/$Q$48*$Q$42,NA())))</f>
        <v>#N/A</v>
      </c>
      <c r="AG102">
        <f>IF(V102=1,NA(),IF(INDEX($B$35:$M$50,($Q$32-1-3)*$Q$33+X102+1,0*$Q$34+W102+1)="",NA(),IF(INDEX($B$35:$M$50,($Q$32-1-3)*$Q$33+X102+1,0*$Q$34+W102+1)&lt;0,3+(INDEX($B$35:$M$50,($Q$32-1-3)*$Q$33+X102+1,0*$Q$34+W102+1)-$Q$46)/$Q$48*$Q$42,NA())))</f>
        <v>3.1132402938180443</v>
      </c>
      <c r="AI102">
        <f>IF(V102=1,0,IF(INDEX($B$35:$M$50,($Q$32-1-0)*$Q$33+X102+1,0*$Q$34+W102+1)="",0,IF(INDEX($B$35:$M$50,($Q$32-1-0)*$Q$33+X102+1,0*$Q$34+W102+1)&gt;=0,ABS(INDEX($B$35:$M$50,($Q$32-1-0)*$Q$33+X102+1,0*$Q$34+W102+1))/$Q$48*$Q$42,0)))</f>
        <v>0</v>
      </c>
      <c r="AJ102">
        <f>IF(V102=1,0,IF(INDEX($B$35:$M$50,($Q$32-1-0)*$Q$33+X102+1,0*$Q$34+W102+1)="",0,IF(INDEX($B$35:$M$50,($Q$32-1-0)*$Q$33+X102+1,0*$Q$34+W102+1)&lt;0,ABS(INDEX($B$35:$M$50,($Q$32-1-0)*$Q$33+X102+1,0*$Q$34+W102+1))/$Q$48*$Q$42,0)))</f>
        <v>0</v>
      </c>
      <c r="AK102">
        <f>IF(V102=1,0,IF(INDEX($B$35:$M$50,($Q$32-1-1)*$Q$33+X102+1,0*$Q$34+W102+1)="",0,IF(INDEX($B$35:$M$50,($Q$32-1-1)*$Q$33+X102+1,0*$Q$34+W102+1)&gt;=0,ABS(INDEX($B$35:$M$50,($Q$32-1-1)*$Q$33+X102+1,0*$Q$34+W102+1))/$Q$48*$Q$42,0)))</f>
        <v>7.3934215753515067E-2</v>
      </c>
      <c r="AL102">
        <f>IF(V102=1,0,IF(INDEX($B$35:$M$50,($Q$32-1-1)*$Q$33+X102+1,0*$Q$34+W102+1)="",0,IF(INDEX($B$35:$M$50,($Q$32-1-1)*$Q$33+X102+1,0*$Q$34+W102+1)&lt;0,ABS(INDEX($B$35:$M$50,($Q$32-1-1)*$Q$33+X102+1,0*$Q$34+W102+1))/$Q$48*$Q$42,0)))</f>
        <v>0</v>
      </c>
      <c r="AM102">
        <f>IF(V102=1,0,IF(INDEX($B$35:$M$50,($Q$32-1-2)*$Q$33+X102+1,0*$Q$34+W102+1)="",0,IF(INDEX($B$35:$M$50,($Q$32-1-2)*$Q$33+X102+1,0*$Q$34+W102+1)&gt;=0,ABS(INDEX($B$35:$M$50,($Q$32-1-2)*$Q$33+X102+1,0*$Q$34+W102+1))/$Q$48*$Q$42,0)))</f>
        <v>0</v>
      </c>
      <c r="AN102">
        <f>IF(V102=1,0,IF(INDEX($B$35:$M$50,($Q$32-1-2)*$Q$33+X102+1,0*$Q$34+W102+1)="",0,IF(INDEX($B$35:$M$50,($Q$32-1-2)*$Q$33+X102+1,0*$Q$34+W102+1)&lt;0,ABS(INDEX($B$35:$M$50,($Q$32-1-2)*$Q$33+X102+1,0*$Q$34+W102+1))/$Q$48*$Q$42,0)))</f>
        <v>3.8581050172937059E-2</v>
      </c>
      <c r="AO102">
        <f>IF(V102=1,0,IF(INDEX($B$35:$M$50,($Q$32-1-3)*$Q$33+X102+1,0*$Q$34+W102+1)="",0,IF(INDEX($B$35:$M$50,($Q$32-1-3)*$Q$33+X102+1,0*$Q$34+W102+1)&gt;=0,ABS(INDEX($B$35:$M$50,($Q$32-1-3)*$Q$33+X102+1,0*$Q$34+W102+1))/$Q$48*$Q$42,0)))</f>
        <v>0</v>
      </c>
      <c r="AP102">
        <f>IF(V102=1,0,IF(INDEX($B$35:$M$50,($Q$32-1-3)*$Q$33+X102+1,0*$Q$34+W102+1)="",0,IF(INDEX($B$35:$M$50,($Q$32-1-3)*$Q$33+X102+1,0*$Q$34+W102+1)&lt;0,ABS(INDEX($B$35:$M$50,($Q$32-1-3)*$Q$33+X102+1,0*$Q$34+W102+1))/$Q$48*$Q$42,0)))</f>
        <v>0.12104542046766997</v>
      </c>
      <c r="AR102" t="str">
        <f>IF(V102=1,"",IF(INDEX($B$35:$M$50,($Q$32-1-0)*$Q$33+X102+1,0*$Q$34+W102+1)="","",IF(INDEX($B$35:$M$50,($Q$32-1-0)*$Q$33+X102+1,0*$Q$34+W102+1)&gt;=0,TEXT(INDEX($B$35:$M$50,($Q$32-1-0)*$Q$33+X102+1,0*$Q$34+W102+1),"+0;-0;0"),"")))</f>
        <v/>
      </c>
      <c r="AS102" t="str">
        <f>IF(V102=1,"",IF(INDEX($B$35:$M$50,($Q$32-1-0)*$Q$33+X102+1,0*$Q$34+W102+1)="","",IF(INDEX($B$35:$M$50,($Q$32-1-0)*$Q$33+X102+1,0*$Q$34+W102+1)&lt;0,TEXT(INDEX($B$35:$M$50,($Q$32-1-0)*$Q$33+X102+1,0*$Q$34+W102+1),"+0;-0;0"),"")))</f>
        <v/>
      </c>
      <c r="AT102" t="str">
        <f>IF(V102=1,"",IF(INDEX($B$35:$M$50,($Q$32-1-1)*$Q$33+X102+1,0*$Q$34+W102+1)="","",IF(INDEX($B$35:$M$50,($Q$32-1-1)*$Q$33+X102+1,0*$Q$34+W102+1)&gt;=0,TEXT(INDEX($B$35:$M$50,($Q$32-1-1)*$Q$33+X102+1,0*$Q$34+W102+1),"+0;-0;0"),"")))</f>
        <v>+32</v>
      </c>
      <c r="AU102" t="str">
        <f>IF(V102=1,"",IF(INDEX($B$35:$M$50,($Q$32-1-1)*$Q$33+X102+1,0*$Q$34+W102+1)="","",IF(INDEX($B$35:$M$50,($Q$32-1-1)*$Q$33+X102+1,0*$Q$34+W102+1)&lt;0,TEXT(INDEX($B$35:$M$50,($Q$32-1-1)*$Q$33+X102+1,0*$Q$34+W102+1),"+0;-0;0"),"")))</f>
        <v/>
      </c>
      <c r="AV102" t="str">
        <f>IF(V102=1,"",IF(INDEX($B$35:$M$50,($Q$32-1-2)*$Q$33+X102+1,0*$Q$34+W102+1)="","",IF(INDEX($B$35:$M$50,($Q$32-1-2)*$Q$33+X102+1,0*$Q$34+W102+1)&gt;=0,TEXT(INDEX($B$35:$M$50,($Q$32-1-2)*$Q$33+X102+1,0*$Q$34+W102+1),"+0;-0;0"),"")))</f>
        <v/>
      </c>
      <c r="AW102" t="str">
        <f>IF(V102=1,"",IF(INDEX($B$35:$M$50,($Q$32-1-2)*$Q$33+X102+1,0*$Q$34+W102+1)="","",IF(INDEX($B$35:$M$50,($Q$32-1-2)*$Q$33+X102+1,0*$Q$34+W102+1)&lt;0,TEXT(INDEX($B$35:$M$50,($Q$32-1-2)*$Q$33+X102+1,0*$Q$34+W102+1),"+0;-0;0"),"")))</f>
        <v>-16</v>
      </c>
      <c r="AX102" t="str">
        <f>IF(V102=1,"",IF(INDEX($B$35:$M$50,($Q$32-1-3)*$Q$33+X102+1,0*$Q$34+W102+1)="","",IF(INDEX($B$35:$M$50,($Q$32-1-3)*$Q$33+X102+1,0*$Q$34+W102+1)&gt;=0,TEXT(INDEX($B$35:$M$50,($Q$32-1-3)*$Q$33+X102+1,0*$Q$34+W102+1),"+0;-0;0"),"")))</f>
        <v/>
      </c>
      <c r="AY102" t="str">
        <f>IF(V102=1,"",IF(INDEX($B$35:$M$50,($Q$32-1-3)*$Q$33+X102+1,0*$Q$34+W102+1)="","",IF(INDEX($B$35:$M$50,($Q$32-1-3)*$Q$33+X102+1,0*$Q$34+W102+1)&lt;0,TEXT(INDEX($B$35:$M$50,($Q$32-1-3)*$Q$33+X102+1,0*$Q$34+W102+1),"+0;-0;0"),"")))</f>
        <v>-52</v>
      </c>
    </row>
    <row r="103" spans="16:60" x14ac:dyDescent="0.35">
      <c r="P103">
        <v>51</v>
      </c>
      <c r="Q103">
        <f>P103-$Q$41</f>
        <v>48</v>
      </c>
      <c r="R103">
        <f>IF(Q103&lt;=0,-1,INT((Q103-1)/($Q$39+$Q$40)))</f>
        <v>3</v>
      </c>
      <c r="S103">
        <f>IF(Q103&lt;=0,-1,MOD(Q103-1,($Q$39+$Q$40)))</f>
        <v>8</v>
      </c>
      <c r="T103">
        <f>IF(OR(S103&lt;0,S103&gt;=$Q$39),-1,INT(S103/$Q$38))</f>
        <v>8</v>
      </c>
      <c r="U103">
        <f>IF(OR(S103&lt;0,S103&gt;=$Q$39),-1,MOD(S103,$Q$38))</f>
        <v>0</v>
      </c>
      <c r="V103">
        <f>IF(OR(Q103&lt;=0,S103&lt;0,S103&gt;=$Q$39,R103&gt;=$Q$36),1,0)</f>
        <v>0</v>
      </c>
      <c r="W103">
        <f>IF(V103=1,-1,T103)</f>
        <v>8</v>
      </c>
      <c r="X103">
        <f>IF(V103=1,-1,R103)</f>
        <v>3</v>
      </c>
      <c r="Y103" t="str">
        <f>IF(V103=1,"",IF(AND(MOD(W103,3)=0,U103=INT(($Q$38-1)/2)),INDEX($B$34:$M$34,W103+1),""))</f>
        <v/>
      </c>
      <c r="Z103" t="e">
        <f>IF(V103=1,NA(),IF(INDEX($B$35:$M$50,($Q$32-1-0)*$Q$33+X103+1,0*$Q$34+W103+1)="",NA(),IF(INDEX($B$35:$M$50,($Q$32-1-0)*$Q$33+X103+1,0*$Q$34+W103+1)&gt;=0,0+(INDEX($B$35:$M$50,($Q$32-1-0)*$Q$33+X103+1,0*$Q$34+W103+1)-$Q$46)/$Q$48*$Q$42,NA())))</f>
        <v>#N/A</v>
      </c>
      <c r="AA103" t="e">
        <f>IF(V103=1,NA(),IF(INDEX($B$35:$M$50,($Q$32-1-0)*$Q$33+X103+1,0*$Q$34+W103+1)="",NA(),IF(INDEX($B$35:$M$50,($Q$32-1-0)*$Q$33+X103+1,0*$Q$34+W103+1)&lt;0,0+(INDEX($B$35:$M$50,($Q$32-1-0)*$Q$33+X103+1,0*$Q$34+W103+1)-$Q$46)/$Q$48*$Q$42,NA())))</f>
        <v>#N/A</v>
      </c>
      <c r="AB103">
        <f>IF(V103=1,NA(),IF(INDEX($B$35:$M$50,($Q$32-1-1)*$Q$33+X103+1,0*$Q$34+W103+1)="",NA(),IF(INDEX($B$35:$M$50,($Q$32-1-1)*$Q$33+X103+1,0*$Q$34+W103+1)&gt;=0,1+(INDEX($B$35:$M$50,($Q$32-1-1)*$Q$33+X103+1,0*$Q$34+W103+1)-$Q$46)/$Q$48*$Q$42,NA())))</f>
        <v>1.300338819460503</v>
      </c>
      <c r="AC103" t="e">
        <f>IF(V103=1,NA(),IF(INDEX($B$35:$M$50,($Q$32-1-1)*$Q$33+X103+1,0*$Q$34+W103+1)="",NA(),IF(INDEX($B$35:$M$50,($Q$32-1-1)*$Q$33+X103+1,0*$Q$34+W103+1)&lt;0,1+(INDEX($B$35:$M$50,($Q$32-1-1)*$Q$33+X103+1,0*$Q$34+W103+1)-$Q$46)/$Q$48*$Q$42,NA())))</f>
        <v>#N/A</v>
      </c>
      <c r="AD103" t="e">
        <f>IF(V103=1,NA(),IF(INDEX($B$35:$M$50,($Q$32-1-2)*$Q$33+X103+1,0*$Q$34+W103+1)="",NA(),IF(INDEX($B$35:$M$50,($Q$32-1-2)*$Q$33+X103+1,0*$Q$34+W103+1)&gt;=0,2+(INDEX($B$35:$M$50,($Q$32-1-2)*$Q$33+X103+1,0*$Q$34+W103+1)-$Q$46)/$Q$48*$Q$42,NA())))</f>
        <v>#N/A</v>
      </c>
      <c r="AE103">
        <f>IF(V103=1,NA(),IF(INDEX($B$35:$M$50,($Q$32-1-2)*$Q$33+X103+1,0*$Q$34+W103+1)="",NA(),IF(INDEX($B$35:$M$50,($Q$32-1-2)*$Q$33+X103+1,0*$Q$34+W103+1)&lt;0,2+(INDEX($B$35:$M$50,($Q$32-1-2)*$Q$33+X103+1,0*$Q$34+W103+1)-$Q$46)/$Q$48*$Q$42,NA())))</f>
        <v>2.2043754964157527</v>
      </c>
      <c r="AF103" t="e">
        <f>IF(V103=1,NA(),IF(INDEX($B$35:$M$50,($Q$32-1-3)*$Q$33+X103+1,0*$Q$34+W103+1)="",NA(),IF(INDEX($B$35:$M$50,($Q$32-1-3)*$Q$33+X103+1,0*$Q$34+W103+1)&gt;=0,3+(INDEX($B$35:$M$50,($Q$32-1-3)*$Q$33+X103+1,0*$Q$34+W103+1)-$Q$46)/$Q$48*$Q$42,NA())))</f>
        <v>#N/A</v>
      </c>
      <c r="AG103">
        <f>IF(V103=1,NA(),IF(INDEX($B$35:$M$50,($Q$32-1-3)*$Q$33+X103+1,0*$Q$34+W103+1)="",NA(),IF(INDEX($B$35:$M$50,($Q$32-1-3)*$Q$33+X103+1,0*$Q$34+W103+1)&lt;0,3+(INDEX($B$35:$M$50,($Q$32-1-3)*$Q$33+X103+1,0*$Q$34+W103+1)-$Q$46)/$Q$48*$Q$42,NA())))</f>
        <v>3.1066658867207817</v>
      </c>
      <c r="AI103">
        <f>IF(V103=1,0,IF(INDEX($B$35:$M$50,($Q$32-1-0)*$Q$33+X103+1,0*$Q$34+W103+1)="",0,IF(INDEX($B$35:$M$50,($Q$32-1-0)*$Q$33+X103+1,0*$Q$34+W103+1)&gt;=0,ABS(INDEX($B$35:$M$50,($Q$32-1-0)*$Q$33+X103+1,0*$Q$34+W103+1))/$Q$48*$Q$42,0)))</f>
        <v>0</v>
      </c>
      <c r="AJ103">
        <f>IF(V103=1,0,IF(INDEX($B$35:$M$50,($Q$32-1-0)*$Q$33+X103+1,0*$Q$34+W103+1)="",0,IF(INDEX($B$35:$M$50,($Q$32-1-0)*$Q$33+X103+1,0*$Q$34+W103+1)&lt;0,ABS(INDEX($B$35:$M$50,($Q$32-1-0)*$Q$33+X103+1,0*$Q$34+W103+1))/$Q$48*$Q$42,0)))</f>
        <v>0</v>
      </c>
      <c r="AK103">
        <f>IF(V103=1,0,IF(INDEX($B$35:$M$50,($Q$32-1-1)*$Q$33+X103+1,0*$Q$34+W103+1)="",0,IF(INDEX($B$35:$M$50,($Q$32-1-1)*$Q$33+X103+1,0*$Q$34+W103+1)&gt;=0,ABS(INDEX($B$35:$M$50,($Q$32-1-1)*$Q$33+X103+1,0*$Q$34+W103+1))/$Q$48*$Q$42,0)))</f>
        <v>6.6053105174788629E-2</v>
      </c>
      <c r="AL103">
        <f>IF(V103=1,0,IF(INDEX($B$35:$M$50,($Q$32-1-1)*$Q$33+X103+1,0*$Q$34+W103+1)="",0,IF(INDEX($B$35:$M$50,($Q$32-1-1)*$Q$33+X103+1,0*$Q$34+W103+1)&lt;0,ABS(INDEX($B$35:$M$50,($Q$32-1-1)*$Q$33+X103+1,0*$Q$34+W103+1))/$Q$48*$Q$42,0)))</f>
        <v>0</v>
      </c>
      <c r="AM103">
        <f>IF(V103=1,0,IF(INDEX($B$35:$M$50,($Q$32-1-2)*$Q$33+X103+1,0*$Q$34+W103+1)="",0,IF(INDEX($B$35:$M$50,($Q$32-1-2)*$Q$33+X103+1,0*$Q$34+W103+1)&gt;=0,ABS(INDEX($B$35:$M$50,($Q$32-1-2)*$Q$33+X103+1,0*$Q$34+W103+1))/$Q$48*$Q$42,0)))</f>
        <v>0</v>
      </c>
      <c r="AN103">
        <f>IF(V103=1,0,IF(INDEX($B$35:$M$50,($Q$32-1-2)*$Q$33+X103+1,0*$Q$34+W103+1)="",0,IF(INDEX($B$35:$M$50,($Q$32-1-2)*$Q$33+X103+1,0*$Q$34+W103+1)&lt;0,ABS(INDEX($B$35:$M$50,($Q$32-1-2)*$Q$33+X103+1,0*$Q$34+W103+1))/$Q$48*$Q$42,0)))</f>
        <v>2.9910217869961689E-2</v>
      </c>
      <c r="AO103">
        <f>IF(V103=1,0,IF(INDEX($B$35:$M$50,($Q$32-1-3)*$Q$33+X103+1,0*$Q$34+W103+1)="",0,IF(INDEX($B$35:$M$50,($Q$32-1-3)*$Q$33+X103+1,0*$Q$34+W103+1)&gt;=0,ABS(INDEX($B$35:$M$50,($Q$32-1-3)*$Q$33+X103+1,0*$Q$34+W103+1))/$Q$48*$Q$42,0)))</f>
        <v>0</v>
      </c>
      <c r="AP103">
        <f>IF(V103=1,0,IF(INDEX($B$35:$M$50,($Q$32-1-3)*$Q$33+X103+1,0*$Q$34+W103+1)="",0,IF(INDEX($B$35:$M$50,($Q$32-1-3)*$Q$33+X103+1,0*$Q$34+W103+1)&lt;0,ABS(INDEX($B$35:$M$50,($Q$32-1-3)*$Q$33+X103+1,0*$Q$34+W103+1))/$Q$48*$Q$42,0)))</f>
        <v>0.12761982756493276</v>
      </c>
      <c r="AR103" t="str">
        <f>IF(V103=1,"",IF(INDEX($B$35:$M$50,($Q$32-1-0)*$Q$33+X103+1,0*$Q$34+W103+1)="","",IF(INDEX($B$35:$M$50,($Q$32-1-0)*$Q$33+X103+1,0*$Q$34+W103+1)&gt;=0,TEXT(INDEX($B$35:$M$50,($Q$32-1-0)*$Q$33+X103+1,0*$Q$34+W103+1),"+0;-0;0"),"")))</f>
        <v/>
      </c>
      <c r="AS103" t="str">
        <f>IF(V103=1,"",IF(INDEX($B$35:$M$50,($Q$32-1-0)*$Q$33+X103+1,0*$Q$34+W103+1)="","",IF(INDEX($B$35:$M$50,($Q$32-1-0)*$Q$33+X103+1,0*$Q$34+W103+1)&lt;0,TEXT(INDEX($B$35:$M$50,($Q$32-1-0)*$Q$33+X103+1,0*$Q$34+W103+1),"+0;-0;0"),"")))</f>
        <v/>
      </c>
      <c r="AT103" t="str">
        <f>IF(V103=1,"",IF(INDEX($B$35:$M$50,($Q$32-1-1)*$Q$33+X103+1,0*$Q$34+W103+1)="","",IF(INDEX($B$35:$M$50,($Q$32-1-1)*$Q$33+X103+1,0*$Q$34+W103+1)&gt;=0,TEXT(INDEX($B$35:$M$50,($Q$32-1-1)*$Q$33+X103+1,0*$Q$34+W103+1),"+0;-0;0"),"")))</f>
        <v>+28</v>
      </c>
      <c r="AU103" t="str">
        <f>IF(V103=1,"",IF(INDEX($B$35:$M$50,($Q$32-1-1)*$Q$33+X103+1,0*$Q$34+W103+1)="","",IF(INDEX($B$35:$M$50,($Q$32-1-1)*$Q$33+X103+1,0*$Q$34+W103+1)&lt;0,TEXT(INDEX($B$35:$M$50,($Q$32-1-1)*$Q$33+X103+1,0*$Q$34+W103+1),"+0;-0;0"),"")))</f>
        <v/>
      </c>
      <c r="AV103" t="str">
        <f>IF(V103=1,"",IF(INDEX($B$35:$M$50,($Q$32-1-2)*$Q$33+X103+1,0*$Q$34+W103+1)="","",IF(INDEX($B$35:$M$50,($Q$32-1-2)*$Q$33+X103+1,0*$Q$34+W103+1)&gt;=0,TEXT(INDEX($B$35:$M$50,($Q$32-1-2)*$Q$33+X103+1,0*$Q$34+W103+1),"+0;-0;0"),"")))</f>
        <v/>
      </c>
      <c r="AW103" t="str">
        <f>IF(V103=1,"",IF(INDEX($B$35:$M$50,($Q$32-1-2)*$Q$33+X103+1,0*$Q$34+W103+1)="","",IF(INDEX($B$35:$M$50,($Q$32-1-2)*$Q$33+X103+1,0*$Q$34+W103+1)&lt;0,TEXT(INDEX($B$35:$M$50,($Q$32-1-2)*$Q$33+X103+1,0*$Q$34+W103+1),"+0;-0;0"),"")))</f>
        <v>-13</v>
      </c>
      <c r="AX103" t="str">
        <f>IF(V103=1,"",IF(INDEX($B$35:$M$50,($Q$32-1-3)*$Q$33+X103+1,0*$Q$34+W103+1)="","",IF(INDEX($B$35:$M$50,($Q$32-1-3)*$Q$33+X103+1,0*$Q$34+W103+1)&gt;=0,TEXT(INDEX($B$35:$M$50,($Q$32-1-3)*$Q$33+X103+1,0*$Q$34+W103+1),"+0;-0;0"),"")))</f>
        <v/>
      </c>
      <c r="AY103" t="str">
        <f>IF(V103=1,"",IF(INDEX($B$35:$M$50,($Q$32-1-3)*$Q$33+X103+1,0*$Q$34+W103+1)="","",IF(INDEX($B$35:$M$50,($Q$32-1-3)*$Q$33+X103+1,0*$Q$34+W103+1)&lt;0,TEXT(INDEX($B$35:$M$50,($Q$32-1-3)*$Q$33+X103+1,0*$Q$34+W103+1),"+0;-0;0"),"")))</f>
        <v>-54</v>
      </c>
    </row>
    <row r="104" spans="16:60" x14ac:dyDescent="0.35">
      <c r="P104">
        <v>52</v>
      </c>
      <c r="Q104">
        <f>P104-$Q$41</f>
        <v>49</v>
      </c>
      <c r="R104">
        <f>IF(Q104&lt;=0,-1,INT((Q104-1)/($Q$39+$Q$40)))</f>
        <v>3</v>
      </c>
      <c r="S104">
        <f>IF(Q104&lt;=0,-1,MOD(Q104-1,($Q$39+$Q$40)))</f>
        <v>9</v>
      </c>
      <c r="T104">
        <f>IF(OR(S104&lt;0,S104&gt;=$Q$39),-1,INT(S104/$Q$38))</f>
        <v>9</v>
      </c>
      <c r="U104">
        <f>IF(OR(S104&lt;0,S104&gt;=$Q$39),-1,MOD(S104,$Q$38))</f>
        <v>0</v>
      </c>
      <c r="V104">
        <f>IF(OR(Q104&lt;=0,S104&lt;0,S104&gt;=$Q$39,R104&gt;=$Q$36),1,0)</f>
        <v>0</v>
      </c>
      <c r="W104">
        <f>IF(V104=1,-1,T104)</f>
        <v>9</v>
      </c>
      <c r="X104">
        <f>IF(V104=1,-1,R104)</f>
        <v>3</v>
      </c>
      <c r="Y104" t="str">
        <f>IF(V104=1,"",IF(AND(MOD(W104,3)=0,U104=INT(($Q$38-1)/2)),INDEX($B$34:$M$34,W104+1),""))</f>
        <v>Oct</v>
      </c>
      <c r="Z104" t="e">
        <f>IF(V104=1,NA(),IF(INDEX($B$35:$M$50,($Q$32-1-0)*$Q$33+X104+1,0*$Q$34+W104+1)="",NA(),IF(INDEX($B$35:$M$50,($Q$32-1-0)*$Q$33+X104+1,0*$Q$34+W104+1)&gt;=0,0+(INDEX($B$35:$M$50,($Q$32-1-0)*$Q$33+X104+1,0*$Q$34+W104+1)-$Q$46)/$Q$48*$Q$42,NA())))</f>
        <v>#N/A</v>
      </c>
      <c r="AA104" t="e">
        <f>IF(V104=1,NA(),IF(INDEX($B$35:$M$50,($Q$32-1-0)*$Q$33+X104+1,0*$Q$34+W104+1)="",NA(),IF(INDEX($B$35:$M$50,($Q$32-1-0)*$Q$33+X104+1,0*$Q$34+W104+1)&lt;0,0+(INDEX($B$35:$M$50,($Q$32-1-0)*$Q$33+X104+1,0*$Q$34+W104+1)-$Q$46)/$Q$48*$Q$42,NA())))</f>
        <v>#N/A</v>
      </c>
      <c r="AB104">
        <f>IF(V104=1,NA(),IF(INDEX($B$35:$M$50,($Q$32-1-1)*$Q$33+X104+1,0*$Q$34+W104+1)="",NA(),IF(INDEX($B$35:$M$50,($Q$32-1-1)*$Q$33+X104+1,0*$Q$34+W104+1)&gt;=0,1+(INDEX($B$35:$M$50,($Q$32-1-1)*$Q$33+X104+1,0*$Q$34+W104+1)-$Q$46)/$Q$48*$Q$42,NA())))</f>
        <v>1.3456360966579906</v>
      </c>
      <c r="AC104" t="e">
        <f>IF(V104=1,NA(),IF(INDEX($B$35:$M$50,($Q$32-1-1)*$Q$33+X104+1,0*$Q$34+W104+1)="",NA(),IF(INDEX($B$35:$M$50,($Q$32-1-1)*$Q$33+X104+1,0*$Q$34+W104+1)&lt;0,1+(INDEX($B$35:$M$50,($Q$32-1-1)*$Q$33+X104+1,0*$Q$34+W104+1)-$Q$46)/$Q$48*$Q$42,NA())))</f>
        <v>#N/A</v>
      </c>
      <c r="AD104" t="e">
        <f>IF(V104=1,NA(),IF(INDEX($B$35:$M$50,($Q$32-1-2)*$Q$33+X104+1,0*$Q$34+W104+1)="",NA(),IF(INDEX($B$35:$M$50,($Q$32-1-2)*$Q$33+X104+1,0*$Q$34+W104+1)&gt;=0,2+(INDEX($B$35:$M$50,($Q$32-1-2)*$Q$33+X104+1,0*$Q$34+W104+1)-$Q$46)/$Q$48*$Q$42,NA())))</f>
        <v>#N/A</v>
      </c>
      <c r="AE104">
        <f>IF(V104=1,NA(),IF(INDEX($B$35:$M$50,($Q$32-1-2)*$Q$33+X104+1,0*$Q$34+W104+1)="",NA(),IF(INDEX($B$35:$M$50,($Q$32-1-2)*$Q$33+X104+1,0*$Q$34+W104+1)&lt;0,2+(INDEX($B$35:$M$50,($Q$32-1-2)*$Q$33+X104+1,0*$Q$34+W104+1)-$Q$46)/$Q$48*$Q$42,NA())))</f>
        <v>2.2166530825844482</v>
      </c>
      <c r="AF104" t="e">
        <f>IF(V104=1,NA(),IF(INDEX($B$35:$M$50,($Q$32-1-3)*$Q$33+X104+1,0*$Q$34+W104+1)="",NA(),IF(INDEX($B$35:$M$50,($Q$32-1-3)*$Q$33+X104+1,0*$Q$34+W104+1)&gt;=0,3+(INDEX($B$35:$M$50,($Q$32-1-3)*$Q$33+X104+1,0*$Q$34+W104+1)-$Q$46)/$Q$48*$Q$42,NA())))</f>
        <v>#N/A</v>
      </c>
      <c r="AG104">
        <f>IF(V104=1,NA(),IF(INDEX($B$35:$M$50,($Q$32-1-3)*$Q$33+X104+1,0*$Q$34+W104+1)="",NA(),IF(INDEX($B$35:$M$50,($Q$32-1-3)*$Q$33+X104+1,0*$Q$34+W104+1)&lt;0,3+(INDEX($B$35:$M$50,($Q$32-1-3)*$Q$33+X104+1,0*$Q$34+W104+1)-$Q$46)/$Q$48*$Q$42,NA())))</f>
        <v>3.1163292586504059</v>
      </c>
      <c r="AI104">
        <f>IF(V104=1,0,IF(INDEX($B$35:$M$50,($Q$32-1-0)*$Q$33+X104+1,0*$Q$34+W104+1)="",0,IF(INDEX($B$35:$M$50,($Q$32-1-0)*$Q$33+X104+1,0*$Q$34+W104+1)&gt;=0,ABS(INDEX($B$35:$M$50,($Q$32-1-0)*$Q$33+X104+1,0*$Q$34+W104+1))/$Q$48*$Q$42,0)))</f>
        <v>0</v>
      </c>
      <c r="AJ104">
        <f>IF(V104=1,0,IF(INDEX($B$35:$M$50,($Q$32-1-0)*$Q$33+X104+1,0*$Q$34+W104+1)="",0,IF(INDEX($B$35:$M$50,($Q$32-1-0)*$Q$33+X104+1,0*$Q$34+W104+1)&lt;0,ABS(INDEX($B$35:$M$50,($Q$32-1-0)*$Q$33+X104+1,0*$Q$34+W104+1))/$Q$48*$Q$42,0)))</f>
        <v>0</v>
      </c>
      <c r="AK104">
        <f>IF(V104=1,0,IF(INDEX($B$35:$M$50,($Q$32-1-1)*$Q$33+X104+1,0*$Q$34+W104+1)="",0,IF(INDEX($B$35:$M$50,($Q$32-1-1)*$Q$33+X104+1,0*$Q$34+W104+1)&gt;=0,ABS(INDEX($B$35:$M$50,($Q$32-1-1)*$Q$33+X104+1,0*$Q$34+W104+1))/$Q$48*$Q$42,0)))</f>
        <v>0.11135038237227636</v>
      </c>
      <c r="AL104">
        <f>IF(V104=1,0,IF(INDEX($B$35:$M$50,($Q$32-1-1)*$Q$33+X104+1,0*$Q$34+W104+1)="",0,IF(INDEX($B$35:$M$50,($Q$32-1-1)*$Q$33+X104+1,0*$Q$34+W104+1)&lt;0,ABS(INDEX($B$35:$M$50,($Q$32-1-1)*$Q$33+X104+1,0*$Q$34+W104+1))/$Q$48*$Q$42,0)))</f>
        <v>0</v>
      </c>
      <c r="AM104">
        <f>IF(V104=1,0,IF(INDEX($B$35:$M$50,($Q$32-1-2)*$Q$33+X104+1,0*$Q$34+W104+1)="",0,IF(INDEX($B$35:$M$50,($Q$32-1-2)*$Q$33+X104+1,0*$Q$34+W104+1)&gt;=0,ABS(INDEX($B$35:$M$50,($Q$32-1-2)*$Q$33+X104+1,0*$Q$34+W104+1))/$Q$48*$Q$42,0)))</f>
        <v>0</v>
      </c>
      <c r="AN104">
        <f>IF(V104=1,0,IF(INDEX($B$35:$M$50,($Q$32-1-2)*$Q$33+X104+1,0*$Q$34+W104+1)="",0,IF(INDEX($B$35:$M$50,($Q$32-1-2)*$Q$33+X104+1,0*$Q$34+W104+1)&lt;0,ABS(INDEX($B$35:$M$50,($Q$32-1-2)*$Q$33+X104+1,0*$Q$34+W104+1))/$Q$48*$Q$42,0)))</f>
        <v>1.7632631701266169E-2</v>
      </c>
      <c r="AO104">
        <f>IF(V104=1,0,IF(INDEX($B$35:$M$50,($Q$32-1-3)*$Q$33+X104+1,0*$Q$34+W104+1)="",0,IF(INDEX($B$35:$M$50,($Q$32-1-3)*$Q$33+X104+1,0*$Q$34+W104+1)&gt;=0,ABS(INDEX($B$35:$M$50,($Q$32-1-3)*$Q$33+X104+1,0*$Q$34+W104+1))/$Q$48*$Q$42,0)))</f>
        <v>0</v>
      </c>
      <c r="AP104">
        <f>IF(V104=1,0,IF(INDEX($B$35:$M$50,($Q$32-1-3)*$Q$33+X104+1,0*$Q$34+W104+1)="",0,IF(INDEX($B$35:$M$50,($Q$32-1-3)*$Q$33+X104+1,0*$Q$34+W104+1)&lt;0,ABS(INDEX($B$35:$M$50,($Q$32-1-3)*$Q$33+X104+1,0*$Q$34+W104+1))/$Q$48*$Q$42,0)))</f>
        <v>0.11795645563530847</v>
      </c>
      <c r="AR104" t="str">
        <f>IF(V104=1,"",IF(INDEX($B$35:$M$50,($Q$32-1-0)*$Q$33+X104+1,0*$Q$34+W104+1)="","",IF(INDEX($B$35:$M$50,($Q$32-1-0)*$Q$33+X104+1,0*$Q$34+W104+1)&gt;=0,TEXT(INDEX($B$35:$M$50,($Q$32-1-0)*$Q$33+X104+1,0*$Q$34+W104+1),"+0;-0;0"),"")))</f>
        <v/>
      </c>
      <c r="AS104" t="str">
        <f>IF(V104=1,"",IF(INDEX($B$35:$M$50,($Q$32-1-0)*$Q$33+X104+1,0*$Q$34+W104+1)="","",IF(INDEX($B$35:$M$50,($Q$32-1-0)*$Q$33+X104+1,0*$Q$34+W104+1)&lt;0,TEXT(INDEX($B$35:$M$50,($Q$32-1-0)*$Q$33+X104+1,0*$Q$34+W104+1),"+0;-0;0"),"")))</f>
        <v/>
      </c>
      <c r="AT104" t="str">
        <f>IF(V104=1,"",IF(INDEX($B$35:$M$50,($Q$32-1-1)*$Q$33+X104+1,0*$Q$34+W104+1)="","",IF(INDEX($B$35:$M$50,($Q$32-1-1)*$Q$33+X104+1,0*$Q$34+W104+1)&gt;=0,TEXT(INDEX($B$35:$M$50,($Q$32-1-1)*$Q$33+X104+1,0*$Q$34+W104+1),"+0;-0;0"),"")))</f>
        <v>+48</v>
      </c>
      <c r="AU104" t="str">
        <f>IF(V104=1,"",IF(INDEX($B$35:$M$50,($Q$32-1-1)*$Q$33+X104+1,0*$Q$34+W104+1)="","",IF(INDEX($B$35:$M$50,($Q$32-1-1)*$Q$33+X104+1,0*$Q$34+W104+1)&lt;0,TEXT(INDEX($B$35:$M$50,($Q$32-1-1)*$Q$33+X104+1,0*$Q$34+W104+1),"+0;-0;0"),"")))</f>
        <v/>
      </c>
      <c r="AV104" t="str">
        <f>IF(V104=1,"",IF(INDEX($B$35:$M$50,($Q$32-1-2)*$Q$33+X104+1,0*$Q$34+W104+1)="","",IF(INDEX($B$35:$M$50,($Q$32-1-2)*$Q$33+X104+1,0*$Q$34+W104+1)&gt;=0,TEXT(INDEX($B$35:$M$50,($Q$32-1-2)*$Q$33+X104+1,0*$Q$34+W104+1),"+0;-0;0"),"")))</f>
        <v/>
      </c>
      <c r="AW104" t="str">
        <f>IF(V104=1,"",IF(INDEX($B$35:$M$50,($Q$32-1-2)*$Q$33+X104+1,0*$Q$34+W104+1)="","",IF(INDEX($B$35:$M$50,($Q$32-1-2)*$Q$33+X104+1,0*$Q$34+W104+1)&lt;0,TEXT(INDEX($B$35:$M$50,($Q$32-1-2)*$Q$33+X104+1,0*$Q$34+W104+1),"+0;-0;0"),"")))</f>
        <v>-8</v>
      </c>
      <c r="AX104" t="str">
        <f>IF(V104=1,"",IF(INDEX($B$35:$M$50,($Q$32-1-3)*$Q$33+X104+1,0*$Q$34+W104+1)="","",IF(INDEX($B$35:$M$50,($Q$32-1-3)*$Q$33+X104+1,0*$Q$34+W104+1)&gt;=0,TEXT(INDEX($B$35:$M$50,($Q$32-1-3)*$Q$33+X104+1,0*$Q$34+W104+1),"+0;-0;0"),"")))</f>
        <v/>
      </c>
      <c r="AY104" t="str">
        <f>IF(V104=1,"",IF(INDEX($B$35:$M$50,($Q$32-1-3)*$Q$33+X104+1,0*$Q$34+W104+1)="","",IF(INDEX($B$35:$M$50,($Q$32-1-3)*$Q$33+X104+1,0*$Q$34+W104+1)&lt;0,TEXT(INDEX($B$35:$M$50,($Q$32-1-3)*$Q$33+X104+1,0*$Q$34+W104+1),"+0;-0;0"),"")))</f>
        <v>-50</v>
      </c>
    </row>
    <row r="105" spans="16:60" x14ac:dyDescent="0.35">
      <c r="P105">
        <v>53</v>
      </c>
      <c r="Q105">
        <f>P105-$Q$41</f>
        <v>50</v>
      </c>
      <c r="R105">
        <f>IF(Q105&lt;=0,-1,INT((Q105-1)/($Q$39+$Q$40)))</f>
        <v>3</v>
      </c>
      <c r="S105">
        <f>IF(Q105&lt;=0,-1,MOD(Q105-1,($Q$39+$Q$40)))</f>
        <v>10</v>
      </c>
      <c r="T105">
        <f>IF(OR(S105&lt;0,S105&gt;=$Q$39),-1,INT(S105/$Q$38))</f>
        <v>10</v>
      </c>
      <c r="U105">
        <f>IF(OR(S105&lt;0,S105&gt;=$Q$39),-1,MOD(S105,$Q$38))</f>
        <v>0</v>
      </c>
      <c r="V105">
        <f>IF(OR(Q105&lt;=0,S105&lt;0,S105&gt;=$Q$39,R105&gt;=$Q$36),1,0)</f>
        <v>0</v>
      </c>
      <c r="W105">
        <f>IF(V105=1,-1,T105)</f>
        <v>10</v>
      </c>
      <c r="X105">
        <f>IF(V105=1,-1,R105)</f>
        <v>3</v>
      </c>
      <c r="Y105" t="str">
        <f>IF(V105=1,"",IF(AND(MOD(W105,3)=0,U105=INT(($Q$38-1)/2)),INDEX($B$34:$M$34,W105+1),""))</f>
        <v/>
      </c>
      <c r="Z105" t="e">
        <f>IF(V105=1,NA(),IF(INDEX($B$35:$M$50,($Q$32-1-0)*$Q$33+X105+1,0*$Q$34+W105+1)="",NA(),IF(INDEX($B$35:$M$50,($Q$32-1-0)*$Q$33+X105+1,0*$Q$34+W105+1)&gt;=0,0+(INDEX($B$35:$M$50,($Q$32-1-0)*$Q$33+X105+1,0*$Q$34+W105+1)-$Q$46)/$Q$48*$Q$42,NA())))</f>
        <v>#N/A</v>
      </c>
      <c r="AA105" t="e">
        <f>IF(V105=1,NA(),IF(INDEX($B$35:$M$50,($Q$32-1-0)*$Q$33+X105+1,0*$Q$34+W105+1)="",NA(),IF(INDEX($B$35:$M$50,($Q$32-1-0)*$Q$33+X105+1,0*$Q$34+W105+1)&lt;0,0+(INDEX($B$35:$M$50,($Q$32-1-0)*$Q$33+X105+1,0*$Q$34+W105+1)-$Q$46)/$Q$48*$Q$42,NA())))</f>
        <v>#N/A</v>
      </c>
      <c r="AB105">
        <f>IF(V105=1,NA(),IF(INDEX($B$35:$M$50,($Q$32-1-1)*$Q$33+X105+1,0*$Q$34+W105+1)="",NA(),IF(INDEX($B$35:$M$50,($Q$32-1-1)*$Q$33+X105+1,0*$Q$34+W105+1)&gt;=0,1+(INDEX($B$35:$M$50,($Q$32-1-1)*$Q$33+X105+1,0*$Q$34+W105+1)-$Q$46)/$Q$48*$Q$42,NA())))</f>
        <v>1.315121949868113</v>
      </c>
      <c r="AC105" t="e">
        <f>IF(V105=1,NA(),IF(INDEX($B$35:$M$50,($Q$32-1-1)*$Q$33+X105+1,0*$Q$34+W105+1)="",NA(),IF(INDEX($B$35:$M$50,($Q$32-1-1)*$Q$33+X105+1,0*$Q$34+W105+1)&lt;0,1+(INDEX($B$35:$M$50,($Q$32-1-1)*$Q$33+X105+1,0*$Q$34+W105+1)-$Q$46)/$Q$48*$Q$42,NA())))</f>
        <v>#N/A</v>
      </c>
      <c r="AD105" t="e">
        <f>IF(V105=1,NA(),IF(INDEX($B$35:$M$50,($Q$32-1-2)*$Q$33+X105+1,0*$Q$34+W105+1)="",NA(),IF(INDEX($B$35:$M$50,($Q$32-1-2)*$Q$33+X105+1,0*$Q$34+W105+1)&gt;=0,2+(INDEX($B$35:$M$50,($Q$32-1-2)*$Q$33+X105+1,0*$Q$34+W105+1)-$Q$46)/$Q$48*$Q$42,NA())))</f>
        <v>#N/A</v>
      </c>
      <c r="AE105">
        <f>IF(V105=1,NA(),IF(INDEX($B$35:$M$50,($Q$32-1-2)*$Q$33+X105+1,0*$Q$34+W105+1)="",NA(),IF(INDEX($B$35:$M$50,($Q$32-1-2)*$Q$33+X105+1,0*$Q$34+W105+1)&lt;0,2+(INDEX($B$35:$M$50,($Q$32-1-2)*$Q$33+X105+1,0*$Q$34+W105+1)-$Q$46)/$Q$48*$Q$42,NA())))</f>
        <v>2.1983195640271869</v>
      </c>
      <c r="AF105" t="e">
        <f>IF(V105=1,NA(),IF(INDEX($B$35:$M$50,($Q$32-1-3)*$Q$33+X105+1,0*$Q$34+W105+1)="",NA(),IF(INDEX($B$35:$M$50,($Q$32-1-3)*$Q$33+X105+1,0*$Q$34+W105+1)&gt;=0,3+(INDEX($B$35:$M$50,($Q$32-1-3)*$Q$33+X105+1,0*$Q$34+W105+1)-$Q$46)/$Q$48*$Q$42,NA())))</f>
        <v>#N/A</v>
      </c>
      <c r="AG105">
        <f>IF(V105=1,NA(),IF(INDEX($B$35:$M$50,($Q$32-1-3)*$Q$33+X105+1,0*$Q$34+W105+1)="",NA(),IF(INDEX($B$35:$M$50,($Q$32-1-3)*$Q$33+X105+1,0*$Q$34+W105+1)&lt;0,3+(INDEX($B$35:$M$50,($Q$32-1-3)*$Q$33+X105+1,0*$Q$34+W105+1)-$Q$46)/$Q$48*$Q$42,NA())))</f>
        <v>3.1106517533139662</v>
      </c>
      <c r="AI105">
        <f>IF(V105=1,0,IF(INDEX($B$35:$M$50,($Q$32-1-0)*$Q$33+X105+1,0*$Q$34+W105+1)="",0,IF(INDEX($B$35:$M$50,($Q$32-1-0)*$Q$33+X105+1,0*$Q$34+W105+1)&gt;=0,ABS(INDEX($B$35:$M$50,($Q$32-1-0)*$Q$33+X105+1,0*$Q$34+W105+1))/$Q$48*$Q$42,0)))</f>
        <v>0</v>
      </c>
      <c r="AJ105">
        <f>IF(V105=1,0,IF(INDEX($B$35:$M$50,($Q$32-1-0)*$Q$33+X105+1,0*$Q$34+W105+1)="",0,IF(INDEX($B$35:$M$50,($Q$32-1-0)*$Q$33+X105+1,0*$Q$34+W105+1)&lt;0,ABS(INDEX($B$35:$M$50,($Q$32-1-0)*$Q$33+X105+1,0*$Q$34+W105+1))/$Q$48*$Q$42,0)))</f>
        <v>0</v>
      </c>
      <c r="AK105">
        <f>IF(V105=1,0,IF(INDEX($B$35:$M$50,($Q$32-1-1)*$Q$33+X105+1,0*$Q$34+W105+1)="",0,IF(INDEX($B$35:$M$50,($Q$32-1-1)*$Q$33+X105+1,0*$Q$34+W105+1)&gt;=0,ABS(INDEX($B$35:$M$50,($Q$32-1-1)*$Q$33+X105+1,0*$Q$34+W105+1))/$Q$48*$Q$42,0)))</f>
        <v>8.0836235582398844E-2</v>
      </c>
      <c r="AL105">
        <f>IF(V105=1,0,IF(INDEX($B$35:$M$50,($Q$32-1-1)*$Q$33+X105+1,0*$Q$34+W105+1)="",0,IF(INDEX($B$35:$M$50,($Q$32-1-1)*$Q$33+X105+1,0*$Q$34+W105+1)&lt;0,ABS(INDEX($B$35:$M$50,($Q$32-1-1)*$Q$33+X105+1,0*$Q$34+W105+1))/$Q$48*$Q$42,0)))</f>
        <v>0</v>
      </c>
      <c r="AM105">
        <f>IF(V105=1,0,IF(INDEX($B$35:$M$50,($Q$32-1-2)*$Q$33+X105+1,0*$Q$34+W105+1)="",0,IF(INDEX($B$35:$M$50,($Q$32-1-2)*$Q$33+X105+1,0*$Q$34+W105+1)&gt;=0,ABS(INDEX($B$35:$M$50,($Q$32-1-2)*$Q$33+X105+1,0*$Q$34+W105+1))/$Q$48*$Q$42,0)))</f>
        <v>0</v>
      </c>
      <c r="AN105">
        <f>IF(V105=1,0,IF(INDEX($B$35:$M$50,($Q$32-1-2)*$Q$33+X105+1,0*$Q$34+W105+1)="",0,IF(INDEX($B$35:$M$50,($Q$32-1-2)*$Q$33+X105+1,0*$Q$34+W105+1)&lt;0,ABS(INDEX($B$35:$M$50,($Q$32-1-2)*$Q$33+X105+1,0*$Q$34+W105+1))/$Q$48*$Q$42,0)))</f>
        <v>3.5966150258527292E-2</v>
      </c>
      <c r="AO105">
        <f>IF(V105=1,0,IF(INDEX($B$35:$M$50,($Q$32-1-3)*$Q$33+X105+1,0*$Q$34+W105+1)="",0,IF(INDEX($B$35:$M$50,($Q$32-1-3)*$Q$33+X105+1,0*$Q$34+W105+1)&gt;=0,ABS(INDEX($B$35:$M$50,($Q$32-1-3)*$Q$33+X105+1,0*$Q$34+W105+1))/$Q$48*$Q$42,0)))</f>
        <v>0</v>
      </c>
      <c r="AP105">
        <f>IF(V105=1,0,IF(INDEX($B$35:$M$50,($Q$32-1-3)*$Q$33+X105+1,0*$Q$34+W105+1)="",0,IF(INDEX($B$35:$M$50,($Q$32-1-3)*$Q$33+X105+1,0*$Q$34+W105+1)&lt;0,ABS(INDEX($B$35:$M$50,($Q$32-1-3)*$Q$33+X105+1,0*$Q$34+W105+1))/$Q$48*$Q$42,0)))</f>
        <v>0.12363396097174811</v>
      </c>
      <c r="AR105" t="str">
        <f>IF(V105=1,"",IF(INDEX($B$35:$M$50,($Q$32-1-0)*$Q$33+X105+1,0*$Q$34+W105+1)="","",IF(INDEX($B$35:$M$50,($Q$32-1-0)*$Q$33+X105+1,0*$Q$34+W105+1)&gt;=0,TEXT(INDEX($B$35:$M$50,($Q$32-1-0)*$Q$33+X105+1,0*$Q$34+W105+1),"+0;-0;0"),"")))</f>
        <v/>
      </c>
      <c r="AS105" t="str">
        <f>IF(V105=1,"",IF(INDEX($B$35:$M$50,($Q$32-1-0)*$Q$33+X105+1,0*$Q$34+W105+1)="","",IF(INDEX($B$35:$M$50,($Q$32-1-0)*$Q$33+X105+1,0*$Q$34+W105+1)&lt;0,TEXT(INDEX($B$35:$M$50,($Q$32-1-0)*$Q$33+X105+1,0*$Q$34+W105+1),"+0;-0;0"),"")))</f>
        <v/>
      </c>
      <c r="AT105" t="str">
        <f>IF(V105=1,"",IF(INDEX($B$35:$M$50,($Q$32-1-1)*$Q$33+X105+1,0*$Q$34+W105+1)="","",IF(INDEX($B$35:$M$50,($Q$32-1-1)*$Q$33+X105+1,0*$Q$34+W105+1)&gt;=0,TEXT(INDEX($B$35:$M$50,($Q$32-1-1)*$Q$33+X105+1,0*$Q$34+W105+1),"+0;-0;0"),"")))</f>
        <v>+35</v>
      </c>
      <c r="AU105" t="str">
        <f>IF(V105=1,"",IF(INDEX($B$35:$M$50,($Q$32-1-1)*$Q$33+X105+1,0*$Q$34+W105+1)="","",IF(INDEX($B$35:$M$50,($Q$32-1-1)*$Q$33+X105+1,0*$Q$34+W105+1)&lt;0,TEXT(INDEX($B$35:$M$50,($Q$32-1-1)*$Q$33+X105+1,0*$Q$34+W105+1),"+0;-0;0"),"")))</f>
        <v/>
      </c>
      <c r="AV105" t="str">
        <f>IF(V105=1,"",IF(INDEX($B$35:$M$50,($Q$32-1-2)*$Q$33+X105+1,0*$Q$34+W105+1)="","",IF(INDEX($B$35:$M$50,($Q$32-1-2)*$Q$33+X105+1,0*$Q$34+W105+1)&gt;=0,TEXT(INDEX($B$35:$M$50,($Q$32-1-2)*$Q$33+X105+1,0*$Q$34+W105+1),"+0;-0;0"),"")))</f>
        <v/>
      </c>
      <c r="AW105" t="str">
        <f>IF(V105=1,"",IF(INDEX($B$35:$M$50,($Q$32-1-2)*$Q$33+X105+1,0*$Q$34+W105+1)="","",IF(INDEX($B$35:$M$50,($Q$32-1-2)*$Q$33+X105+1,0*$Q$34+W105+1)&lt;0,TEXT(INDEX($B$35:$M$50,($Q$32-1-2)*$Q$33+X105+1,0*$Q$34+W105+1),"+0;-0;0"),"")))</f>
        <v>-15</v>
      </c>
      <c r="AX105" t="str">
        <f>IF(V105=1,"",IF(INDEX($B$35:$M$50,($Q$32-1-3)*$Q$33+X105+1,0*$Q$34+W105+1)="","",IF(INDEX($B$35:$M$50,($Q$32-1-3)*$Q$33+X105+1,0*$Q$34+W105+1)&gt;=0,TEXT(INDEX($B$35:$M$50,($Q$32-1-3)*$Q$33+X105+1,0*$Q$34+W105+1),"+0;-0;0"),"")))</f>
        <v/>
      </c>
      <c r="AY105" t="str">
        <f>IF(V105=1,"",IF(INDEX($B$35:$M$50,($Q$32-1-3)*$Q$33+X105+1,0*$Q$34+W105+1)="","",IF(INDEX($B$35:$M$50,($Q$32-1-3)*$Q$33+X105+1,0*$Q$34+W105+1)&lt;0,TEXT(INDEX($B$35:$M$50,($Q$32-1-3)*$Q$33+X105+1,0*$Q$34+W105+1),"+0;-0;0"),"")))</f>
        <v>-53</v>
      </c>
    </row>
    <row r="106" spans="16:60" x14ac:dyDescent="0.35">
      <c r="P106">
        <v>54</v>
      </c>
      <c r="Q106">
        <f>P106-$Q$41</f>
        <v>51</v>
      </c>
      <c r="R106">
        <f>IF(Q106&lt;=0,-1,INT((Q106-1)/($Q$39+$Q$40)))</f>
        <v>3</v>
      </c>
      <c r="S106">
        <f>IF(Q106&lt;=0,-1,MOD(Q106-1,($Q$39+$Q$40)))</f>
        <v>11</v>
      </c>
      <c r="T106">
        <f>IF(OR(S106&lt;0,S106&gt;=$Q$39),-1,INT(S106/$Q$38))</f>
        <v>11</v>
      </c>
      <c r="U106">
        <f>IF(OR(S106&lt;0,S106&gt;=$Q$39),-1,MOD(S106,$Q$38))</f>
        <v>0</v>
      </c>
      <c r="V106">
        <f>IF(OR(Q106&lt;=0,S106&lt;0,S106&gt;=$Q$39,R106&gt;=$Q$36),1,0)</f>
        <v>0</v>
      </c>
      <c r="W106">
        <f>IF(V106=1,-1,T106)</f>
        <v>11</v>
      </c>
      <c r="X106">
        <f>IF(V106=1,-1,R106)</f>
        <v>3</v>
      </c>
      <c r="Y106" t="str">
        <f>IF(V106=1,"",IF(AND(MOD(W106,3)=0,U106=INT(($Q$38-1)/2)),INDEX($B$34:$M$34,W106+1),""))</f>
        <v/>
      </c>
      <c r="Z106" t="e">
        <f>IF(V106=1,NA(),IF(INDEX($B$35:$M$50,($Q$32-1-0)*$Q$33+X106+1,0*$Q$34+W106+1)="",NA(),IF(INDEX($B$35:$M$50,($Q$32-1-0)*$Q$33+X106+1,0*$Q$34+W106+1)&gt;=0,0+(INDEX($B$35:$M$50,($Q$32-1-0)*$Q$33+X106+1,0*$Q$34+W106+1)-$Q$46)/$Q$48*$Q$42,NA())))</f>
        <v>#N/A</v>
      </c>
      <c r="AA106" t="e">
        <f>IF(V106=1,NA(),IF(INDEX($B$35:$M$50,($Q$32-1-0)*$Q$33+X106+1,0*$Q$34+W106+1)="",NA(),IF(INDEX($B$35:$M$50,($Q$32-1-0)*$Q$33+X106+1,0*$Q$34+W106+1)&lt;0,0+(INDEX($B$35:$M$50,($Q$32-1-0)*$Q$33+X106+1,0*$Q$34+W106+1)-$Q$46)/$Q$48*$Q$42,NA())))</f>
        <v>#N/A</v>
      </c>
      <c r="AB106">
        <f>IF(V106=1,NA(),IF(INDEX($B$35:$M$50,($Q$32-1-1)*$Q$33+X106+1,0*$Q$34+W106+1)="",NA(),IF(INDEX($B$35:$M$50,($Q$32-1-1)*$Q$33+X106+1,0*$Q$34+W106+1)&gt;=0,1+(INDEX($B$35:$M$50,($Q$32-1-1)*$Q$33+X106+1,0*$Q$34+W106+1)-$Q$46)/$Q$48*$Q$42,NA())))</f>
        <v>1.2975202919962938</v>
      </c>
      <c r="AC106" t="e">
        <f>IF(V106=1,NA(),IF(INDEX($B$35:$M$50,($Q$32-1-1)*$Q$33+X106+1,0*$Q$34+W106+1)="",NA(),IF(INDEX($B$35:$M$50,($Q$32-1-1)*$Q$33+X106+1,0*$Q$34+W106+1)&lt;0,1+(INDEX($B$35:$M$50,($Q$32-1-1)*$Q$33+X106+1,0*$Q$34+W106+1)-$Q$46)/$Q$48*$Q$42,NA())))</f>
        <v>#N/A</v>
      </c>
      <c r="AD106" t="e">
        <f>IF(V106=1,NA(),IF(INDEX($B$35:$M$50,($Q$32-1-2)*$Q$33+X106+1,0*$Q$34+W106+1)="",NA(),IF(INDEX($B$35:$M$50,($Q$32-1-2)*$Q$33+X106+1,0*$Q$34+W106+1)&gt;=0,2+(INDEX($B$35:$M$50,($Q$32-1-2)*$Q$33+X106+1,0*$Q$34+W106+1)-$Q$46)/$Q$48*$Q$42,NA())))</f>
        <v>#N/A</v>
      </c>
      <c r="AE106">
        <f>IF(V106=1,NA(),IF(INDEX($B$35:$M$50,($Q$32-1-2)*$Q$33+X106+1,0*$Q$34+W106+1)="",NA(),IF(INDEX($B$35:$M$50,($Q$32-1-2)*$Q$33+X106+1,0*$Q$34+W106+1)&lt;0,2+(INDEX($B$35:$M$50,($Q$32-1-2)*$Q$33+X106+1,0*$Q$34+W106+1)-$Q$46)/$Q$48*$Q$42,NA())))</f>
        <v>2.196659747569123</v>
      </c>
      <c r="AF106" t="e">
        <f>IF(V106=1,NA(),IF(INDEX($B$35:$M$50,($Q$32-1-3)*$Q$33+X106+1,0*$Q$34+W106+1)="",NA(),IF(INDEX($B$35:$M$50,($Q$32-1-3)*$Q$33+X106+1,0*$Q$34+W106+1)&gt;=0,3+(INDEX($B$35:$M$50,($Q$32-1-3)*$Q$33+X106+1,0*$Q$34+W106+1)-$Q$46)/$Q$48*$Q$42,NA())))</f>
        <v>#N/A</v>
      </c>
      <c r="AG106">
        <f>IF(V106=1,NA(),IF(INDEX($B$35:$M$50,($Q$32-1-3)*$Q$33+X106+1,0*$Q$34+W106+1)="",NA(),IF(INDEX($B$35:$M$50,($Q$32-1-3)*$Q$33+X106+1,0*$Q$34+W106+1)&lt;0,3+(INDEX($B$35:$M$50,($Q$32-1-3)*$Q$33+X106+1,0*$Q$34+W106+1)-$Q$46)/$Q$48*$Q$42,NA())))</f>
        <v>3.1306042490523183</v>
      </c>
      <c r="AI106">
        <f>IF(V106=1,0,IF(INDEX($B$35:$M$50,($Q$32-1-0)*$Q$33+X106+1,0*$Q$34+W106+1)="",0,IF(INDEX($B$35:$M$50,($Q$32-1-0)*$Q$33+X106+1,0*$Q$34+W106+1)&gt;=0,ABS(INDEX($B$35:$M$50,($Q$32-1-0)*$Q$33+X106+1,0*$Q$34+W106+1))/$Q$48*$Q$42,0)))</f>
        <v>0</v>
      </c>
      <c r="AJ106">
        <f>IF(V106=1,0,IF(INDEX($B$35:$M$50,($Q$32-1-0)*$Q$33+X106+1,0*$Q$34+W106+1)="",0,IF(INDEX($B$35:$M$50,($Q$32-1-0)*$Q$33+X106+1,0*$Q$34+W106+1)&lt;0,ABS(INDEX($B$35:$M$50,($Q$32-1-0)*$Q$33+X106+1,0*$Q$34+W106+1))/$Q$48*$Q$42,0)))</f>
        <v>0</v>
      </c>
      <c r="AK106">
        <f>IF(V106=1,0,IF(INDEX($B$35:$M$50,($Q$32-1-1)*$Q$33+X106+1,0*$Q$34+W106+1)="",0,IF(INDEX($B$35:$M$50,($Q$32-1-1)*$Q$33+X106+1,0*$Q$34+W106+1)&gt;=0,ABS(INDEX($B$35:$M$50,($Q$32-1-1)*$Q$33+X106+1,0*$Q$34+W106+1))/$Q$48*$Q$42,0)))</f>
        <v>6.3234577710579623E-2</v>
      </c>
      <c r="AL106">
        <f>IF(V106=1,0,IF(INDEX($B$35:$M$50,($Q$32-1-1)*$Q$33+X106+1,0*$Q$34+W106+1)="",0,IF(INDEX($B$35:$M$50,($Q$32-1-1)*$Q$33+X106+1,0*$Q$34+W106+1)&lt;0,ABS(INDEX($B$35:$M$50,($Q$32-1-1)*$Q$33+X106+1,0*$Q$34+W106+1))/$Q$48*$Q$42,0)))</f>
        <v>0</v>
      </c>
      <c r="AM106">
        <f>IF(V106=1,0,IF(INDEX($B$35:$M$50,($Q$32-1-2)*$Q$33+X106+1,0*$Q$34+W106+1)="",0,IF(INDEX($B$35:$M$50,($Q$32-1-2)*$Q$33+X106+1,0*$Q$34+W106+1)&gt;=0,ABS(INDEX($B$35:$M$50,($Q$32-1-2)*$Q$33+X106+1,0*$Q$34+W106+1))/$Q$48*$Q$42,0)))</f>
        <v>0</v>
      </c>
      <c r="AN106">
        <f>IF(V106=1,0,IF(INDEX($B$35:$M$50,($Q$32-1-2)*$Q$33+X106+1,0*$Q$34+W106+1)="",0,IF(INDEX($B$35:$M$50,($Q$32-1-2)*$Q$33+X106+1,0*$Q$34+W106+1)&lt;0,ABS(INDEX($B$35:$M$50,($Q$32-1-2)*$Q$33+X106+1,0*$Q$34+W106+1))/$Q$48*$Q$42,0)))</f>
        <v>3.7625966716591519E-2</v>
      </c>
      <c r="AO106">
        <f>IF(V106=1,0,IF(INDEX($B$35:$M$50,($Q$32-1-3)*$Q$33+X106+1,0*$Q$34+W106+1)="",0,IF(INDEX($B$35:$M$50,($Q$32-1-3)*$Q$33+X106+1,0*$Q$34+W106+1)&gt;=0,ABS(INDEX($B$35:$M$50,($Q$32-1-3)*$Q$33+X106+1,0*$Q$34+W106+1))/$Q$48*$Q$42,0)))</f>
        <v>0</v>
      </c>
      <c r="AP106">
        <f>IF(V106=1,0,IF(INDEX($B$35:$M$50,($Q$32-1-3)*$Q$33+X106+1,0*$Q$34+W106+1)="",0,IF(INDEX($B$35:$M$50,($Q$32-1-3)*$Q$33+X106+1,0*$Q$34+W106+1)&lt;0,ABS(INDEX($B$35:$M$50,($Q$32-1-3)*$Q$33+X106+1,0*$Q$34+W106+1))/$Q$48*$Q$42,0)))</f>
        <v>0.10368146523339601</v>
      </c>
      <c r="AR106" t="str">
        <f>IF(V106=1,"",IF(INDEX($B$35:$M$50,($Q$32-1-0)*$Q$33+X106+1,0*$Q$34+W106+1)="","",IF(INDEX($B$35:$M$50,($Q$32-1-0)*$Q$33+X106+1,0*$Q$34+W106+1)&gt;=0,TEXT(INDEX($B$35:$M$50,($Q$32-1-0)*$Q$33+X106+1,0*$Q$34+W106+1),"+0;-0;0"),"")))</f>
        <v/>
      </c>
      <c r="AS106" t="str">
        <f>IF(V106=1,"",IF(INDEX($B$35:$M$50,($Q$32-1-0)*$Q$33+X106+1,0*$Q$34+W106+1)="","",IF(INDEX($B$35:$M$50,($Q$32-1-0)*$Q$33+X106+1,0*$Q$34+W106+1)&lt;0,TEXT(INDEX($B$35:$M$50,($Q$32-1-0)*$Q$33+X106+1,0*$Q$34+W106+1),"+0;-0;0"),"")))</f>
        <v/>
      </c>
      <c r="AT106" t="str">
        <f>IF(V106=1,"",IF(INDEX($B$35:$M$50,($Q$32-1-1)*$Q$33+X106+1,0*$Q$34+W106+1)="","",IF(INDEX($B$35:$M$50,($Q$32-1-1)*$Q$33+X106+1,0*$Q$34+W106+1)&gt;=0,TEXT(INDEX($B$35:$M$50,($Q$32-1-1)*$Q$33+X106+1,0*$Q$34+W106+1),"+0;-0;0"),"")))</f>
        <v>+27</v>
      </c>
      <c r="AU106" t="str">
        <f>IF(V106=1,"",IF(INDEX($B$35:$M$50,($Q$32-1-1)*$Q$33+X106+1,0*$Q$34+W106+1)="","",IF(INDEX($B$35:$M$50,($Q$32-1-1)*$Q$33+X106+1,0*$Q$34+W106+1)&lt;0,TEXT(INDEX($B$35:$M$50,($Q$32-1-1)*$Q$33+X106+1,0*$Q$34+W106+1),"+0;-0;0"),"")))</f>
        <v/>
      </c>
      <c r="AV106" t="str">
        <f>IF(V106=1,"",IF(INDEX($B$35:$M$50,($Q$32-1-2)*$Q$33+X106+1,0*$Q$34+W106+1)="","",IF(INDEX($B$35:$M$50,($Q$32-1-2)*$Q$33+X106+1,0*$Q$34+W106+1)&gt;=0,TEXT(INDEX($B$35:$M$50,($Q$32-1-2)*$Q$33+X106+1,0*$Q$34+W106+1),"+0;-0;0"),"")))</f>
        <v/>
      </c>
      <c r="AW106" t="str">
        <f>IF(V106=1,"",IF(INDEX($B$35:$M$50,($Q$32-1-2)*$Q$33+X106+1,0*$Q$34+W106+1)="","",IF(INDEX($B$35:$M$50,($Q$32-1-2)*$Q$33+X106+1,0*$Q$34+W106+1)&lt;0,TEXT(INDEX($B$35:$M$50,($Q$32-1-2)*$Q$33+X106+1,0*$Q$34+W106+1),"+0;-0;0"),"")))</f>
        <v>-16</v>
      </c>
      <c r="AX106" t="str">
        <f>IF(V106=1,"",IF(INDEX($B$35:$M$50,($Q$32-1-3)*$Q$33+X106+1,0*$Q$34+W106+1)="","",IF(INDEX($B$35:$M$50,($Q$32-1-3)*$Q$33+X106+1,0*$Q$34+W106+1)&gt;=0,TEXT(INDEX($B$35:$M$50,($Q$32-1-3)*$Q$33+X106+1,0*$Q$34+W106+1),"+0;-0;0"),"")))</f>
        <v/>
      </c>
      <c r="AY106" t="str">
        <f>IF(V106=1,"",IF(INDEX($B$35:$M$50,($Q$32-1-3)*$Q$33+X106+1,0*$Q$34+W106+1)="","",IF(INDEX($B$35:$M$50,($Q$32-1-3)*$Q$33+X106+1,0*$Q$34+W106+1)&lt;0,TEXT(INDEX($B$35:$M$50,($Q$32-1-3)*$Q$33+X106+1,0*$Q$34+W106+1),"+0;-0;0"),"")))</f>
        <v>-44</v>
      </c>
    </row>
  </sheetData>
  <mergeCells count="8">
    <mergeCell ref="B7:N7"/>
    <mergeCell ref="B33:M33"/>
    <mergeCell ref="B1:N1"/>
    <mergeCell ref="B2:N2"/>
    <mergeCell ref="B3:N3"/>
    <mergeCell ref="B4:N4"/>
    <mergeCell ref="B5:N5"/>
    <mergeCell ref="B6:N6"/>
  </mergeCells>
  <printOptions horizontalCentered="1" verticalCentered="1"/>
  <pageMargins left="0.25" right="0.25" top="0.25" bottom="0.25" header="0.125" footer="0.125"/>
  <pageSetup scale="94"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18497-44F1-45BB-84E1-4E2A5E222E9E}">
  <sheetPr>
    <pageSetUpPr fitToPage="1"/>
  </sheetPr>
  <dimension ref="A1:O23"/>
  <sheetViews>
    <sheetView showGridLines="0" workbookViewId="0"/>
  </sheetViews>
  <sheetFormatPr defaultRowHeight="14.5" x14ac:dyDescent="0.35"/>
  <cols>
    <col min="1" max="7" width="9.90625" customWidth="1"/>
    <col min="8" max="8" width="17.6328125" customWidth="1"/>
    <col min="9" max="15" width="9.90625" customWidth="1"/>
  </cols>
  <sheetData>
    <row r="1" spans="1:15" ht="72.5" x14ac:dyDescent="0.35">
      <c r="A1" s="16" t="s">
        <v>75</v>
      </c>
      <c r="B1" s="27" t="s">
        <v>76</v>
      </c>
    </row>
    <row r="2" spans="1:15" ht="29" x14ac:dyDescent="0.35">
      <c r="A2" s="16" t="s">
        <v>77</v>
      </c>
      <c r="B2" s="27" t="s">
        <v>114</v>
      </c>
    </row>
    <row r="3" spans="1:15" x14ac:dyDescent="0.35">
      <c r="A3" s="16" t="s">
        <v>79</v>
      </c>
      <c r="B3" s="27" t="s">
        <v>80</v>
      </c>
    </row>
    <row r="4" spans="1:15" x14ac:dyDescent="0.35">
      <c r="A4" s="16" t="s">
        <v>81</v>
      </c>
      <c r="B4" s="27" t="s">
        <v>443</v>
      </c>
    </row>
    <row r="5" spans="1:15" x14ac:dyDescent="0.35">
      <c r="A5" s="16" t="s">
        <v>83</v>
      </c>
      <c r="B5" s="27" t="s">
        <v>24</v>
      </c>
    </row>
    <row r="6" spans="1:15" ht="362.5" customHeight="1" x14ac:dyDescent="0.35">
      <c r="A6" s="16" t="s">
        <v>84</v>
      </c>
      <c r="B6" s="27" t="s">
        <v>444</v>
      </c>
    </row>
    <row r="7" spans="1:15" ht="43.5" x14ac:dyDescent="0.35">
      <c r="A7" s="16" t="s">
        <v>86</v>
      </c>
      <c r="B7" s="29" t="str">
        <f>B2&amp;IF(B3="",""," in "&amp;B3)</f>
        <v>Underwriting result in $m</v>
      </c>
    </row>
    <row r="9" spans="1:15" x14ac:dyDescent="0.35">
      <c r="A9" s="69" t="str">
        <f>B1</f>
        <v>The Progressive Corporation</v>
      </c>
    </row>
    <row r="10" spans="1:15" ht="16" x14ac:dyDescent="0.4">
      <c r="A10" s="70" t="str">
        <f>B7</f>
        <v>Underwriting result in $m</v>
      </c>
    </row>
    <row r="11" spans="1:15" x14ac:dyDescent="0.35">
      <c r="A11" s="69" t="str">
        <f>B4</f>
        <v>Jul 2026</v>
      </c>
    </row>
    <row r="13" spans="1:15" x14ac:dyDescent="0.35">
      <c r="A13" s="76" t="str">
        <f>IF(ISERROR(FIND(" ",B4)),B4,LEFT(B4,FIND(" ",B4)-1))</f>
        <v>Jul</v>
      </c>
      <c r="B13" s="77"/>
      <c r="C13" s="77"/>
      <c r="D13" s="77"/>
      <c r="E13" s="77"/>
      <c r="F13" s="77"/>
      <c r="G13" s="77"/>
      <c r="I13" s="76" t="str">
        <f>"_"&amp;IF(ISERROR(FIND(" ",B4)),B4,LEFT(B4,FIND(" ",B4)-1))</f>
        <v>_Jul</v>
      </c>
      <c r="J13" s="77"/>
      <c r="K13" s="77"/>
      <c r="L13" s="77"/>
      <c r="M13" s="77"/>
      <c r="N13" s="77"/>
      <c r="O13" s="77"/>
    </row>
    <row r="14" spans="1:15" ht="15" thickBot="1" x14ac:dyDescent="0.4">
      <c r="A14" s="71" t="s">
        <v>24</v>
      </c>
      <c r="B14" s="72" t="s">
        <v>31</v>
      </c>
      <c r="C14" s="73" t="s">
        <v>17</v>
      </c>
      <c r="D14" s="74" t="s">
        <v>119</v>
      </c>
      <c r="E14" s="74" t="s">
        <v>120</v>
      </c>
      <c r="F14" s="74" t="s">
        <v>160</v>
      </c>
      <c r="G14" s="74" t="s">
        <v>161</v>
      </c>
      <c r="H14" s="75"/>
      <c r="I14" s="71" t="s">
        <v>24</v>
      </c>
      <c r="J14" s="72" t="s">
        <v>31</v>
      </c>
      <c r="K14" s="73" t="s">
        <v>17</v>
      </c>
      <c r="L14" s="74" t="s">
        <v>119</v>
      </c>
      <c r="M14" s="74" t="s">
        <v>120</v>
      </c>
      <c r="N14" s="74" t="s">
        <v>160</v>
      </c>
      <c r="O14" s="74" t="s">
        <v>161</v>
      </c>
    </row>
    <row r="15" spans="1:15" ht="15" customHeight="1" thickTop="1" x14ac:dyDescent="0.35">
      <c r="A15" s="86">
        <v>440</v>
      </c>
      <c r="B15" s="86">
        <v>104</v>
      </c>
      <c r="C15" s="86">
        <v>427</v>
      </c>
      <c r="D15" s="87">
        <f>C15-A15</f>
        <v>-13</v>
      </c>
      <c r="E15" s="88">
        <f>IF(A15&lt;=0,NA(),(C15-A15)/A15*100)</f>
        <v>-2.9545454545454546</v>
      </c>
      <c r="F15" s="87">
        <f>C15-B15</f>
        <v>323</v>
      </c>
      <c r="G15" s="88">
        <f>IF(B15&lt;=0,NA(),(C15-B15)/B15*100)</f>
        <v>310.57692307692309</v>
      </c>
      <c r="H15" s="89" t="s">
        <v>445</v>
      </c>
      <c r="I15" s="86">
        <v>2846</v>
      </c>
      <c r="J15" s="86">
        <v>709</v>
      </c>
      <c r="K15" s="86">
        <v>2746</v>
      </c>
      <c r="L15" s="87">
        <f>K15-I15</f>
        <v>-100</v>
      </c>
      <c r="M15" s="88">
        <f>IF(I15&lt;=0,NA(),(K15-I15)/I15*100)</f>
        <v>-3.5137034434293746</v>
      </c>
      <c r="N15" s="87">
        <f>K15-J15</f>
        <v>2037</v>
      </c>
      <c r="O15" s="88">
        <f>IF(J15&lt;=0,NA(),(K15-J15)/J15*100)</f>
        <v>287.30606488011284</v>
      </c>
    </row>
    <row r="16" spans="1:15" ht="15" customHeight="1" x14ac:dyDescent="0.35">
      <c r="A16" s="90">
        <v>414</v>
      </c>
      <c r="B16" s="90">
        <v>143</v>
      </c>
      <c r="C16" s="90">
        <v>396</v>
      </c>
      <c r="D16" s="91">
        <f>C16-A16</f>
        <v>-18</v>
      </c>
      <c r="E16" s="92">
        <f>IF(A16&lt;=0,NA(),(C16-A16)/A16*100)</f>
        <v>-4.3478260869565215</v>
      </c>
      <c r="F16" s="91">
        <f>C16-B16</f>
        <v>253</v>
      </c>
      <c r="G16" s="92">
        <f>IF(B16&lt;=0,NA(),(C16-B16)/B16*100)</f>
        <v>176.92307692307691</v>
      </c>
      <c r="H16" s="93" t="s">
        <v>446</v>
      </c>
      <c r="I16" s="90">
        <v>2621</v>
      </c>
      <c r="J16" s="90">
        <v>967</v>
      </c>
      <c r="K16" s="90">
        <v>2659</v>
      </c>
      <c r="L16" s="91">
        <f>K16-I16</f>
        <v>38</v>
      </c>
      <c r="M16" s="92">
        <f>IF(I16&lt;=0,NA(),(K16-I16)/I16*100)</f>
        <v>1.4498283098054179</v>
      </c>
      <c r="N16" s="91">
        <f>K16-J16</f>
        <v>1692</v>
      </c>
      <c r="O16" s="92">
        <f>IF(J16&lt;=0,NA(),(K16-J16)/J16*100)</f>
        <v>174.97414684591521</v>
      </c>
    </row>
    <row r="17" spans="1:15" ht="15" customHeight="1" thickBot="1" x14ac:dyDescent="0.4">
      <c r="A17" s="79">
        <v>115</v>
      </c>
      <c r="B17" s="79">
        <v>11</v>
      </c>
      <c r="C17" s="79">
        <v>54</v>
      </c>
      <c r="D17" s="80">
        <f>C17-A17</f>
        <v>-61</v>
      </c>
      <c r="E17" s="81">
        <f>IF(A17&lt;=0,NA(),(C17-A17)/A17*100)</f>
        <v>-53.04347826086957</v>
      </c>
      <c r="F17" s="80">
        <f>C17-B17</f>
        <v>43</v>
      </c>
      <c r="G17" s="81">
        <f>IF(B17&lt;=0,NA(),(C17-B17)/B17*100)</f>
        <v>390.90909090909093</v>
      </c>
      <c r="H17" s="78" t="s">
        <v>95</v>
      </c>
      <c r="I17" s="79">
        <v>342</v>
      </c>
      <c r="J17" s="79">
        <v>73</v>
      </c>
      <c r="K17" s="79">
        <v>392</v>
      </c>
      <c r="L17" s="80">
        <f>K17-I17</f>
        <v>50</v>
      </c>
      <c r="M17" s="81">
        <f>IF(I17&lt;=0,NA(),(K17-I17)/I17*100)</f>
        <v>14.619883040935672</v>
      </c>
      <c r="N17" s="80">
        <f>K17-J17</f>
        <v>319</v>
      </c>
      <c r="O17" s="81">
        <f>IF(J17&lt;=0,NA(),(K17-J17)/J17*100)</f>
        <v>436.98630136986304</v>
      </c>
    </row>
    <row r="18" spans="1:15" ht="15" customHeight="1" x14ac:dyDescent="0.35">
      <c r="A18" s="94">
        <f>ABS(SUM(A15:A17))</f>
        <v>969</v>
      </c>
      <c r="B18" s="94">
        <f>ABS(SUM(B15:B17))</f>
        <v>258</v>
      </c>
      <c r="C18" s="94">
        <f>ABS(SUM(C15:C17))</f>
        <v>877</v>
      </c>
      <c r="D18" s="95">
        <f>C18-A18</f>
        <v>-92</v>
      </c>
      <c r="E18" s="96">
        <f>IF(A18&lt;=0,NA(),(C18-A18)/A18*100)</f>
        <v>-9.4943240454076374</v>
      </c>
      <c r="F18" s="95">
        <f>C18-B18</f>
        <v>619</v>
      </c>
      <c r="G18" s="96">
        <f>IF(B18&lt;=0,NA(),(C18-B18)/B18*100)</f>
        <v>239.92248062015503</v>
      </c>
      <c r="H18" s="97" t="s">
        <v>110</v>
      </c>
      <c r="I18" s="94">
        <f>ABS(SUM(I15:I17))</f>
        <v>5809</v>
      </c>
      <c r="J18" s="94">
        <f>ABS(SUM(J15:J17))</f>
        <v>1749</v>
      </c>
      <c r="K18" s="94">
        <f>ABS(SUM(K15:K17))</f>
        <v>5797</v>
      </c>
      <c r="L18" s="95">
        <f>K18-I18</f>
        <v>-12</v>
      </c>
      <c r="M18" s="96">
        <f>IF(I18&lt;=0,NA(),(K18-I18)/I18*100)</f>
        <v>-0.20657600275434668</v>
      </c>
      <c r="N18" s="95">
        <f>K18-J18</f>
        <v>4048</v>
      </c>
      <c r="O18" s="96">
        <f>IF(J18&lt;=0,NA(),(K18-J18)/J18*100)</f>
        <v>231.44654088050314</v>
      </c>
    </row>
    <row r="19" spans="1:15" ht="15" customHeight="1" x14ac:dyDescent="0.35">
      <c r="A19" s="82">
        <v>61</v>
      </c>
      <c r="B19" s="82">
        <v>37</v>
      </c>
      <c r="C19" s="82">
        <v>95</v>
      </c>
      <c r="D19" s="83">
        <f>C19-A19</f>
        <v>34</v>
      </c>
      <c r="E19" s="84">
        <f>IF(A19&lt;=0,NA(),(C19-A19)/A19*100)</f>
        <v>55.737704918032783</v>
      </c>
      <c r="F19" s="83">
        <f>C19-B19</f>
        <v>58</v>
      </c>
      <c r="G19" s="84">
        <f>IF(B19&lt;=0,NA(),(C19-B19)/B19*100)</f>
        <v>156.75675675675674</v>
      </c>
      <c r="H19" s="85" t="s">
        <v>447</v>
      </c>
      <c r="I19" s="82">
        <v>761</v>
      </c>
      <c r="J19" s="82">
        <v>248</v>
      </c>
      <c r="K19" s="82">
        <v>774</v>
      </c>
      <c r="L19" s="83">
        <f>K19-I19</f>
        <v>13</v>
      </c>
      <c r="M19" s="84">
        <f>IF(I19&lt;=0,NA(),(K19-I19)/I19*100)</f>
        <v>1.7082785808147174</v>
      </c>
      <c r="N19" s="83">
        <f>K19-J19</f>
        <v>526</v>
      </c>
      <c r="O19" s="84">
        <f>IF(J19&lt;=0,NA(),(K19-J19)/J19*100)</f>
        <v>212.09677419354841</v>
      </c>
    </row>
    <row r="20" spans="1:15" ht="15" customHeight="1" thickBot="1" x14ac:dyDescent="0.4">
      <c r="A20" s="79">
        <v>-3</v>
      </c>
      <c r="B20" s="79">
        <v>-1</v>
      </c>
      <c r="C20" s="79">
        <v>-1</v>
      </c>
      <c r="D20" s="80">
        <f>C20-A20</f>
        <v>2</v>
      </c>
      <c r="E20" s="81"/>
      <c r="F20" s="80">
        <f>C20-B20</f>
        <v>0</v>
      </c>
      <c r="G20" s="81"/>
      <c r="H20" s="78" t="s">
        <v>97</v>
      </c>
      <c r="I20" s="79">
        <v>-31</v>
      </c>
      <c r="J20" s="79">
        <v>-1</v>
      </c>
      <c r="K20" s="79">
        <v>-35</v>
      </c>
      <c r="L20" s="80">
        <f>K20-I20</f>
        <v>-4</v>
      </c>
      <c r="M20" s="81"/>
      <c r="N20" s="80">
        <f>K20-J20</f>
        <v>-34</v>
      </c>
      <c r="O20" s="81"/>
    </row>
    <row r="21" spans="1:15" ht="15" customHeight="1" x14ac:dyDescent="0.35">
      <c r="A21" s="94">
        <f>SUM(A15:A17)+SUM(A19:A20)</f>
        <v>1027</v>
      </c>
      <c r="B21" s="94">
        <f>SUM(B15:B17)+SUM(B19:B20)</f>
        <v>294</v>
      </c>
      <c r="C21" s="94">
        <f>SUM(C15:C17)+SUM(C19:C20)</f>
        <v>971</v>
      </c>
      <c r="D21" s="95">
        <f>C21-A21</f>
        <v>-56</v>
      </c>
      <c r="E21" s="96">
        <f>IF(A21&lt;=0,NA(),(C21-A21)/A21*100)</f>
        <v>-5.4527750730282376</v>
      </c>
      <c r="F21" s="95">
        <f>C21-B21</f>
        <v>677</v>
      </c>
      <c r="G21" s="96">
        <f>IF(B21&lt;=0,NA(),(C21-B21)/B21*100)</f>
        <v>230.27210884353741</v>
      </c>
      <c r="H21" s="97" t="s">
        <v>111</v>
      </c>
      <c r="I21" s="94">
        <f>SUM(I15:I17)+SUM(I19:I20)</f>
        <v>6539</v>
      </c>
      <c r="J21" s="94">
        <f>SUM(J15:J17)+SUM(J19:J20)</f>
        <v>1996</v>
      </c>
      <c r="K21" s="94">
        <f>SUM(K15:K17)+SUM(K19:K20)</f>
        <v>6536</v>
      </c>
      <c r="L21" s="95">
        <f>K21-I21</f>
        <v>-3</v>
      </c>
      <c r="M21" s="96">
        <f>IF(I21&lt;=0,NA(),(K21-I21)/I21*100)</f>
        <v>-4.5878574705612477E-2</v>
      </c>
      <c r="N21" s="95">
        <f>K21-J21</f>
        <v>4540</v>
      </c>
      <c r="O21" s="96">
        <f>IF(J21&lt;=0,NA(),(K21-J21)/J21*100)</f>
        <v>227.45490981963928</v>
      </c>
    </row>
    <row r="23" spans="1:15" ht="24" customHeight="1" x14ac:dyDescent="0.35">
      <c r="A23" s="40" t="s">
        <v>448</v>
      </c>
      <c r="B23" s="41"/>
      <c r="C23" s="41"/>
      <c r="D23" s="41"/>
      <c r="E23" s="41"/>
      <c r="F23" s="41"/>
      <c r="G23" s="41"/>
      <c r="H23" s="41"/>
      <c r="I23" s="41"/>
      <c r="J23" s="41"/>
      <c r="K23" s="41"/>
      <c r="L23" s="41"/>
      <c r="M23" s="41"/>
      <c r="N23" s="41"/>
      <c r="O23" s="41"/>
    </row>
  </sheetData>
  <mergeCells count="1">
    <mergeCell ref="A23:O23"/>
  </mergeCells>
  <printOptions horizontalCentered="1" verticalCentered="1"/>
  <pageMargins left="0.25" right="0.25" top="0.25" bottom="0.25" header="0.125" footer="0.125"/>
  <pageSetup scale="85"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9F359-CA16-43FD-9B34-BCA0E95C0B6C}">
  <sheetPr>
    <pageSetUpPr fitToPage="1"/>
  </sheetPr>
  <dimension ref="A1:AD23"/>
  <sheetViews>
    <sheetView showGridLines="0" workbookViewId="0"/>
  </sheetViews>
  <sheetFormatPr defaultRowHeight="14.5" x14ac:dyDescent="0.35"/>
  <cols>
    <col min="1" max="3" width="10.26953125" customWidth="1"/>
    <col min="4" max="4" width="8.6328125" customWidth="1"/>
    <col min="5" max="5" width="16.90625" customWidth="1"/>
    <col min="6" max="6" width="17.6328125" customWidth="1"/>
    <col min="7" max="9" width="10.26953125" customWidth="1"/>
    <col min="10" max="11" width="18.6328125" customWidth="1"/>
    <col min="13" max="14" width="9.6328125" customWidth="1"/>
    <col min="15" max="30" width="7.6328125" customWidth="1"/>
  </cols>
  <sheetData>
    <row r="1" spans="1:30" ht="58" x14ac:dyDescent="0.35">
      <c r="A1" s="16" t="s">
        <v>75</v>
      </c>
      <c r="B1" s="27" t="s">
        <v>76</v>
      </c>
    </row>
    <row r="2" spans="1:30" ht="29" x14ac:dyDescent="0.35">
      <c r="A2" s="16" t="s">
        <v>77</v>
      </c>
      <c r="B2" s="27" t="s">
        <v>114</v>
      </c>
    </row>
    <row r="3" spans="1:30" x14ac:dyDescent="0.35">
      <c r="A3" s="16" t="s">
        <v>79</v>
      </c>
      <c r="B3" s="27" t="s">
        <v>80</v>
      </c>
    </row>
    <row r="4" spans="1:30" x14ac:dyDescent="0.35">
      <c r="A4" s="16" t="s">
        <v>81</v>
      </c>
      <c r="B4" s="27" t="s">
        <v>443</v>
      </c>
    </row>
    <row r="5" spans="1:30" x14ac:dyDescent="0.35">
      <c r="A5" s="16" t="s">
        <v>83</v>
      </c>
      <c r="B5" s="27" t="s">
        <v>31</v>
      </c>
    </row>
    <row r="6" spans="1:30" ht="362.5" customHeight="1" x14ac:dyDescent="0.35">
      <c r="A6" s="16" t="s">
        <v>84</v>
      </c>
      <c r="B6" s="27" t="s">
        <v>449</v>
      </c>
    </row>
    <row r="7" spans="1:30" ht="43.5" x14ac:dyDescent="0.35">
      <c r="A7" s="16" t="s">
        <v>86</v>
      </c>
      <c r="B7" s="29" t="str">
        <f>B2&amp;IF(B3="",""," in "&amp;B3)</f>
        <v>Underwriting result in $m</v>
      </c>
    </row>
    <row r="9" spans="1:30" x14ac:dyDescent="0.35">
      <c r="A9" s="69" t="str">
        <f>B1</f>
        <v>The Progressive Corporation</v>
      </c>
    </row>
    <row r="10" spans="1:30" ht="16" x14ac:dyDescent="0.4">
      <c r="A10" s="70" t="str">
        <f>B7</f>
        <v>Underwriting result in $m</v>
      </c>
    </row>
    <row r="11" spans="1:30" x14ac:dyDescent="0.35">
      <c r="A11" s="69" t="str">
        <f>B4</f>
        <v>Jul 2026</v>
      </c>
    </row>
    <row r="13" spans="1:30" x14ac:dyDescent="0.35">
      <c r="A13" s="76" t="str">
        <f>IF(ISERROR(FIND(" ",B4)),B4,LEFT(B4,FIND(" ",B4)-1))</f>
        <v>Jul</v>
      </c>
      <c r="B13" s="77"/>
      <c r="C13" s="77"/>
      <c r="D13" s="77"/>
      <c r="E13" s="77"/>
      <c r="G13" s="76" t="str">
        <f>"_"&amp;IF(ISERROR(FIND(" ",B4)),B4,LEFT(B4,FIND(" ",B4)-1))</f>
        <v>_Jul</v>
      </c>
      <c r="H13" s="77"/>
      <c r="I13" s="77"/>
      <c r="J13" s="77"/>
      <c r="K13" s="77"/>
    </row>
    <row r="14" spans="1:30" ht="15" thickBot="1" x14ac:dyDescent="0.4">
      <c r="A14" s="71" t="s">
        <v>24</v>
      </c>
      <c r="B14" s="72" t="s">
        <v>31</v>
      </c>
      <c r="C14" s="73" t="s">
        <v>17</v>
      </c>
      <c r="D14" s="74" t="s">
        <v>160</v>
      </c>
      <c r="E14" s="74" t="s">
        <v>161</v>
      </c>
      <c r="F14" s="75"/>
      <c r="G14" s="71" t="s">
        <v>24</v>
      </c>
      <c r="H14" s="72" t="s">
        <v>31</v>
      </c>
      <c r="I14" s="73" t="s">
        <v>17</v>
      </c>
      <c r="J14" s="74" t="s">
        <v>160</v>
      </c>
      <c r="K14" s="74" t="s">
        <v>161</v>
      </c>
      <c r="M14" s="103" t="s">
        <v>129</v>
      </c>
      <c r="N14" s="104" t="s">
        <v>130</v>
      </c>
      <c r="O14" s="104" t="s">
        <v>450</v>
      </c>
      <c r="P14" s="104" t="s">
        <v>451</v>
      </c>
      <c r="Q14" s="104" t="s">
        <v>452</v>
      </c>
      <c r="R14" s="104" t="s">
        <v>453</v>
      </c>
      <c r="S14" s="104" t="s">
        <v>454</v>
      </c>
      <c r="T14" s="104" t="s">
        <v>455</v>
      </c>
      <c r="U14" s="104" t="s">
        <v>456</v>
      </c>
      <c r="V14" s="104" t="s">
        <v>457</v>
      </c>
      <c r="W14" s="104" t="s">
        <v>450</v>
      </c>
      <c r="X14" s="104" t="s">
        <v>451</v>
      </c>
      <c r="Y14" s="104" t="s">
        <v>452</v>
      </c>
      <c r="Z14" s="104" t="s">
        <v>453</v>
      </c>
      <c r="AA14" s="104" t="s">
        <v>454</v>
      </c>
      <c r="AB14" s="104" t="s">
        <v>455</v>
      </c>
      <c r="AC14" s="104" t="s">
        <v>456</v>
      </c>
      <c r="AD14" s="104" t="s">
        <v>457</v>
      </c>
    </row>
    <row r="15" spans="1:30" ht="15" customHeight="1" thickTop="1" x14ac:dyDescent="0.35">
      <c r="A15" s="86">
        <v>440</v>
      </c>
      <c r="B15" s="86">
        <v>104</v>
      </c>
      <c r="C15" s="86">
        <v>427</v>
      </c>
      <c r="D15" s="100">
        <f>C15-B15</f>
        <v>323</v>
      </c>
      <c r="E15" s="100">
        <f>IF(B15&lt;=0,NA(),(C15-B15)/B15*100)</f>
        <v>310.57692307692309</v>
      </c>
      <c r="F15" s="89" t="s">
        <v>445</v>
      </c>
      <c r="G15" s="86">
        <v>2846</v>
      </c>
      <c r="H15" s="86">
        <v>709</v>
      </c>
      <c r="I15" s="86">
        <v>2746</v>
      </c>
      <c r="J15" s="100">
        <f>I15-H15</f>
        <v>2037</v>
      </c>
      <c r="K15" s="100">
        <f>IF(H15&lt;=0,NA(),(I15-H15)/H15*100)</f>
        <v>287.30606488011284</v>
      </c>
      <c r="M15" s="26">
        <f>MAX(_xlfn.AGGREGATE(4,6,D15:D21,J15:J21),-_xlfn.AGGREGATE(5,6,D15:D21,J15:J21),0.000000001)</f>
        <v>4540</v>
      </c>
      <c r="N15" s="26">
        <f>MAX(_xlfn.AGGREGATE(4,6,E15:E21,K15:K21),-_xlfn.AGGREGATE(5,6,E15:E21,K15:K21),0.000000001)</f>
        <v>436.98630136986304</v>
      </c>
      <c r="O15">
        <f>IF(ISBLANK(D15),NA(),D15/$M$15)</f>
        <v>7.1145374449339202E-2</v>
      </c>
      <c r="P15" t="str">
        <f>IF(ISBLANK(D15),"",TEXT(D15,"[&gt;0.5]+0;[&lt;-0.5]-0;0"))</f>
        <v>+323</v>
      </c>
      <c r="Q15">
        <f>IF(ISBLANK(D15),NA(),IF(D15&gt;0,D15/$M$15,NA()))</f>
        <v>7.1145374449339202E-2</v>
      </c>
      <c r="R15" t="e">
        <f>IF(ISBLANK(D15),NA(),IF(D15&lt;0,D15/$M$15,NA()))</f>
        <v>#N/A</v>
      </c>
      <c r="S15">
        <f>IF(ISBLANK(E15),NA(),E15/$N$15)</f>
        <v>0.71072462020737881</v>
      </c>
      <c r="T15" t="str">
        <f>IF(ISBLANK(E15),"",TEXT(E15,"[&gt;0.05]+0.0""%"";[&lt;-0.05]-0.0""%"";0.0""%"""))</f>
        <v>+310.6%</v>
      </c>
      <c r="U15">
        <f>IF(ISBLANK(E15),NA(),IF(E15&gt;0,E15/$N$15,NA()))</f>
        <v>0.71072462020737881</v>
      </c>
      <c r="V15" t="e">
        <f>IF(ISBLANK(E15),NA(),IF(E15&lt;0,E15/$N$15,NA()))</f>
        <v>#N/A</v>
      </c>
      <c r="W15">
        <f>IF(ISBLANK(J15),NA(),J15/$M$15)</f>
        <v>0.44867841409691628</v>
      </c>
      <c r="X15" t="str">
        <f>IF(ISBLANK(J15),"",TEXT(J15,"[&gt;0.5]+0;[&lt;-0.5]-0;0"))</f>
        <v>+2037</v>
      </c>
      <c r="Y15">
        <f>IF(ISBLANK(J15),NA(),IF(J15&gt;0,J15/$M$15,NA()))</f>
        <v>0.44867841409691628</v>
      </c>
      <c r="Z15" t="e">
        <f>IF(ISBLANK(J15),NA(),IF(J15&lt;0,J15/$M$15,NA()))</f>
        <v>#N/A</v>
      </c>
      <c r="AA15">
        <f>IF(ISBLANK(K15),NA(),K15/$N$15)</f>
        <v>0.65747155913003874</v>
      </c>
      <c r="AB15" t="str">
        <f>IF(ISBLANK(K15),"",TEXT(K15,"[&gt;0.05]+0.0""%"";[&lt;-0.05]-0.0""%"";0.0""%"""))</f>
        <v>+287.3%</v>
      </c>
      <c r="AC15">
        <f>IF(ISBLANK(K15),NA(),IF(K15&gt;0,K15/$N$15,NA()))</f>
        <v>0.65747155913003874</v>
      </c>
      <c r="AD15" t="e">
        <f>IF(ISBLANK(K15),NA(),IF(K15&lt;0,K15/$N$15,NA()))</f>
        <v>#N/A</v>
      </c>
    </row>
    <row r="16" spans="1:30" ht="15" customHeight="1" x14ac:dyDescent="0.35">
      <c r="A16" s="90">
        <v>414</v>
      </c>
      <c r="B16" s="90">
        <v>143</v>
      </c>
      <c r="C16" s="90">
        <v>396</v>
      </c>
      <c r="D16" s="101">
        <f>C16-B16</f>
        <v>253</v>
      </c>
      <c r="E16" s="101">
        <f>IF(B16&lt;=0,NA(),(C16-B16)/B16*100)</f>
        <v>176.92307692307691</v>
      </c>
      <c r="F16" s="93" t="s">
        <v>446</v>
      </c>
      <c r="G16" s="90">
        <v>2621</v>
      </c>
      <c r="H16" s="90">
        <v>967</v>
      </c>
      <c r="I16" s="90">
        <v>2659</v>
      </c>
      <c r="J16" s="101">
        <f>I16-H16</f>
        <v>1692</v>
      </c>
      <c r="K16" s="101">
        <f>IF(H16&lt;=0,NA(),(I16-H16)/H16*100)</f>
        <v>174.97414684591521</v>
      </c>
      <c r="O16">
        <f>IF(ISBLANK(D16),NA(),D16/$M$15)</f>
        <v>5.5726872246696035E-2</v>
      </c>
      <c r="P16" t="str">
        <f>IF(ISBLANK(D16),"",TEXT(D16,"[&gt;0.5]+0;[&lt;-0.5]-0;0"))</f>
        <v>+253</v>
      </c>
      <c r="Q16">
        <f>IF(ISBLANK(D16),NA(),IF(D16&gt;0,D16/$M$15,NA()))</f>
        <v>5.5726872246696035E-2</v>
      </c>
      <c r="R16" t="e">
        <f>IF(ISBLANK(D16),NA(),IF(D16&lt;0,D16/$M$15,NA()))</f>
        <v>#N/A</v>
      </c>
      <c r="S16">
        <f>IF(ISBLANK(E16),NA(),E16/$N$15)</f>
        <v>0.40487099107788754</v>
      </c>
      <c r="T16" t="str">
        <f>IF(ISBLANK(E16),"",TEXT(E16,"[&gt;0.05]+0.0""%"";[&lt;-0.05]-0.0""%"";0.0""%"""))</f>
        <v>+176.9%</v>
      </c>
      <c r="U16">
        <f>IF(ISBLANK(E16),NA(),IF(E16&gt;0,E16/$N$15,NA()))</f>
        <v>0.40487099107788754</v>
      </c>
      <c r="V16" t="e">
        <f>IF(ISBLANK(E16),NA(),IF(E16&lt;0,E16/$N$15,NA()))</f>
        <v>#N/A</v>
      </c>
      <c r="W16">
        <f>IF(ISBLANK(J16),NA(),J16/$M$15)</f>
        <v>0.37268722466960352</v>
      </c>
      <c r="X16" t="str">
        <f>IF(ISBLANK(J16),"",TEXT(J16,"[&gt;0.5]+0;[&lt;-0.5]-0;0"))</f>
        <v>+1692</v>
      </c>
      <c r="Y16">
        <f>IF(ISBLANK(J16),NA(),IF(J16&gt;0,J16/$M$15,NA()))</f>
        <v>0.37268722466960352</v>
      </c>
      <c r="Z16" t="e">
        <f>IF(ISBLANK(J16),NA(),IF(J16&lt;0,J16/$M$15,NA()))</f>
        <v>#N/A</v>
      </c>
      <c r="AA16">
        <f>IF(ISBLANK(K16),NA(),K16/$N$15)</f>
        <v>0.40041105704551128</v>
      </c>
      <c r="AB16" t="str">
        <f>IF(ISBLANK(K16),"",TEXT(K16,"[&gt;0.05]+0.0""%"";[&lt;-0.05]-0.0""%"";0.0""%"""))</f>
        <v>+175.0%</v>
      </c>
      <c r="AC16">
        <f>IF(ISBLANK(K16),NA(),IF(K16&gt;0,K16/$N$15,NA()))</f>
        <v>0.40041105704551128</v>
      </c>
      <c r="AD16" t="e">
        <f>IF(ISBLANK(K16),NA(),IF(K16&lt;0,K16/$N$15,NA()))</f>
        <v>#N/A</v>
      </c>
    </row>
    <row r="17" spans="1:30" ht="15" customHeight="1" thickBot="1" x14ac:dyDescent="0.4">
      <c r="A17" s="79">
        <v>115</v>
      </c>
      <c r="B17" s="79">
        <v>11</v>
      </c>
      <c r="C17" s="79">
        <v>54</v>
      </c>
      <c r="D17" s="98">
        <f>C17-B17</f>
        <v>43</v>
      </c>
      <c r="E17" s="98">
        <f>IF(B17&lt;=0,NA(),(C17-B17)/B17*100)</f>
        <v>390.90909090909093</v>
      </c>
      <c r="F17" s="78" t="s">
        <v>95</v>
      </c>
      <c r="G17" s="79">
        <v>342</v>
      </c>
      <c r="H17" s="79">
        <v>73</v>
      </c>
      <c r="I17" s="79">
        <v>392</v>
      </c>
      <c r="J17" s="98">
        <f>I17-H17</f>
        <v>319</v>
      </c>
      <c r="K17" s="98">
        <f>IF(H17&lt;=0,NA(),(I17-H17)/H17*100)</f>
        <v>436.98630136986304</v>
      </c>
      <c r="O17">
        <f>IF(ISBLANK(D17),NA(),D17/$M$15)</f>
        <v>9.4713656387665195E-3</v>
      </c>
      <c r="P17" t="str">
        <f>IF(ISBLANK(D17),"",TEXT(D17,"[&gt;0.5]+0;[&lt;-0.5]-0;0"))</f>
        <v>+43</v>
      </c>
      <c r="Q17">
        <f>IF(ISBLANK(D17),NA(),IF(D17&gt;0,D17/$M$15,NA()))</f>
        <v>9.4713656387665195E-3</v>
      </c>
      <c r="R17" t="e">
        <f>IF(ISBLANK(D17),NA(),IF(D17&lt;0,D17/$M$15,NA()))</f>
        <v>#N/A</v>
      </c>
      <c r="S17">
        <f>IF(ISBLANK(E17),NA(),E17/$N$15)</f>
        <v>0.89455685380450267</v>
      </c>
      <c r="T17" t="str">
        <f>IF(ISBLANK(E17),"",TEXT(E17,"[&gt;0.05]+0.0""%"";[&lt;-0.05]-0.0""%"";0.0""%"""))</f>
        <v>+390.9%</v>
      </c>
      <c r="U17">
        <f>IF(ISBLANK(E17),NA(),IF(E17&gt;0,E17/$N$15,NA()))</f>
        <v>0.89455685380450267</v>
      </c>
      <c r="V17" t="e">
        <f>IF(ISBLANK(E17),NA(),IF(E17&lt;0,E17/$N$15,NA()))</f>
        <v>#N/A</v>
      </c>
      <c r="W17">
        <f>IF(ISBLANK(J17),NA(),J17/$M$15)</f>
        <v>7.0264317180616737E-2</v>
      </c>
      <c r="X17" t="str">
        <f>IF(ISBLANK(J17),"",TEXT(J17,"[&gt;0.5]+0;[&lt;-0.5]-0;0"))</f>
        <v>+319</v>
      </c>
      <c r="Y17">
        <f>IF(ISBLANK(J17),NA(),IF(J17&gt;0,J17/$M$15,NA()))</f>
        <v>7.0264317180616737E-2</v>
      </c>
      <c r="Z17" t="e">
        <f>IF(ISBLANK(J17),NA(),IF(J17&lt;0,J17/$M$15,NA()))</f>
        <v>#N/A</v>
      </c>
      <c r="AA17">
        <f>IF(ISBLANK(K17),NA(),K17/$N$15)</f>
        <v>1</v>
      </c>
      <c r="AB17" t="str">
        <f>IF(ISBLANK(K17),"",TEXT(K17,"[&gt;0.05]+0.0""%"";[&lt;-0.05]-0.0""%"";0.0""%"""))</f>
        <v>+437.0%</v>
      </c>
      <c r="AC17">
        <f>IF(ISBLANK(K17),NA(),IF(K17&gt;0,K17/$N$15,NA()))</f>
        <v>1</v>
      </c>
      <c r="AD17" t="e">
        <f>IF(ISBLANK(K17),NA(),IF(K17&lt;0,K17/$N$15,NA()))</f>
        <v>#N/A</v>
      </c>
    </row>
    <row r="18" spans="1:30" ht="15" customHeight="1" x14ac:dyDescent="0.35">
      <c r="A18" s="94">
        <f>ABS(SUM(A15:A17))</f>
        <v>969</v>
      </c>
      <c r="B18" s="94">
        <f>ABS(SUM(B15:B17))</f>
        <v>258</v>
      </c>
      <c r="C18" s="94">
        <f>ABS(SUM(C15:C17))</f>
        <v>877</v>
      </c>
      <c r="D18" s="102">
        <f>C18-B18</f>
        <v>619</v>
      </c>
      <c r="E18" s="102">
        <f>IF(B18&lt;=0,NA(),(C18-B18)/B18*100)</f>
        <v>239.92248062015503</v>
      </c>
      <c r="F18" s="97" t="s">
        <v>110</v>
      </c>
      <c r="G18" s="94">
        <f>ABS(SUM(G15:G17))</f>
        <v>5809</v>
      </c>
      <c r="H18" s="94">
        <f>ABS(SUM(H15:H17))</f>
        <v>1749</v>
      </c>
      <c r="I18" s="94">
        <f>ABS(SUM(I15:I17))</f>
        <v>5797</v>
      </c>
      <c r="J18" s="102">
        <f>I18-H18</f>
        <v>4048</v>
      </c>
      <c r="K18" s="102">
        <f>IF(H18&lt;=0,NA(),(I18-H18)/H18*100)</f>
        <v>231.44654088050314</v>
      </c>
      <c r="O18">
        <f>IF(ISBLANK(D18),NA(),D18/$M$15)</f>
        <v>0.13634361233480177</v>
      </c>
      <c r="P18" t="str">
        <f>IF(ISBLANK(D18),"",TEXT(D18,"[&gt;0.5]+0;[&lt;-0.5]-0;0"))</f>
        <v>+619</v>
      </c>
      <c r="Q18">
        <f>IF(ISBLANK(D18),NA(),IF(D18&gt;0,D18/$M$15,NA()))</f>
        <v>0.13634361233480177</v>
      </c>
      <c r="R18" t="e">
        <f>IF(ISBLANK(D18),NA(),IF(D18&lt;0,D18/$M$15,NA()))</f>
        <v>#N/A</v>
      </c>
      <c r="S18">
        <f>IF(ISBLANK(E18),NA(),E18/$N$15)</f>
        <v>0.5490389054943986</v>
      </c>
      <c r="T18" t="str">
        <f>IF(ISBLANK(E18),"",TEXT(E18,"[&gt;0.05]+0.0""%"";[&lt;-0.05]-0.0""%"";0.0""%"""))</f>
        <v>+239.9%</v>
      </c>
      <c r="U18">
        <f>IF(ISBLANK(E18),NA(),IF(E18&gt;0,E18/$N$15,NA()))</f>
        <v>0.5490389054943986</v>
      </c>
      <c r="V18" t="e">
        <f>IF(ISBLANK(E18),NA(),IF(E18&lt;0,E18/$N$15,NA()))</f>
        <v>#N/A</v>
      </c>
      <c r="W18">
        <f>IF(ISBLANK(J18),NA(),J18/$M$15)</f>
        <v>0.89162995594713657</v>
      </c>
      <c r="X18" t="str">
        <f>IF(ISBLANK(J18),"",TEXT(J18,"[&gt;0.5]+0;[&lt;-0.5]-0;0"))</f>
        <v>+4048</v>
      </c>
      <c r="Y18">
        <f>IF(ISBLANK(J18),NA(),IF(J18&gt;0,J18/$M$15,NA()))</f>
        <v>0.89162995594713657</v>
      </c>
      <c r="Z18" t="e">
        <f>IF(ISBLANK(J18),NA(),IF(J18&lt;0,J18/$M$15,NA()))</f>
        <v>#N/A</v>
      </c>
      <c r="AA18">
        <f>IF(ISBLANK(K18),NA(),K18/$N$15)</f>
        <v>0.52964255436604157</v>
      </c>
      <c r="AB18" t="str">
        <f>IF(ISBLANK(K18),"",TEXT(K18,"[&gt;0.05]+0.0""%"";[&lt;-0.05]-0.0""%"";0.0""%"""))</f>
        <v>+231.4%</v>
      </c>
      <c r="AC18">
        <f>IF(ISBLANK(K18),NA(),IF(K18&gt;0,K18/$N$15,NA()))</f>
        <v>0.52964255436604157</v>
      </c>
      <c r="AD18" t="e">
        <f>IF(ISBLANK(K18),NA(),IF(K18&lt;0,K18/$N$15,NA()))</f>
        <v>#N/A</v>
      </c>
    </row>
    <row r="19" spans="1:30" ht="15" customHeight="1" x14ac:dyDescent="0.35">
      <c r="A19" s="82">
        <v>61</v>
      </c>
      <c r="B19" s="82">
        <v>37</v>
      </c>
      <c r="C19" s="82">
        <v>95</v>
      </c>
      <c r="D19" s="99">
        <f>C19-B19</f>
        <v>58</v>
      </c>
      <c r="E19" s="99">
        <f>IF(B19&lt;=0,NA(),(C19-B19)/B19*100)</f>
        <v>156.75675675675674</v>
      </c>
      <c r="F19" s="85" t="s">
        <v>447</v>
      </c>
      <c r="G19" s="82">
        <v>761</v>
      </c>
      <c r="H19" s="82">
        <v>248</v>
      </c>
      <c r="I19" s="82">
        <v>774</v>
      </c>
      <c r="J19" s="99">
        <f>I19-H19</f>
        <v>526</v>
      </c>
      <c r="K19" s="99">
        <f>IF(H19&lt;=0,NA(),(I19-H19)/H19*100)</f>
        <v>212.09677419354841</v>
      </c>
      <c r="O19">
        <f>IF(ISBLANK(D19),NA(),D19/$M$15)</f>
        <v>1.277533039647577E-2</v>
      </c>
      <c r="P19" t="str">
        <f>IF(ISBLANK(D19),"",TEXT(D19,"[&gt;0.5]+0;[&lt;-0.5]-0;0"))</f>
        <v>+58</v>
      </c>
      <c r="Q19">
        <f>IF(ISBLANK(D19),NA(),IF(D19&gt;0,D19/$M$15,NA()))</f>
        <v>1.277533039647577E-2</v>
      </c>
      <c r="R19" t="e">
        <f>IF(ISBLANK(D19),NA(),IF(D19&lt;0,D19/$M$15,NA()))</f>
        <v>#N/A</v>
      </c>
      <c r="S19">
        <f>IF(ISBLANK(E19),NA(),E19/$N$15)</f>
        <v>0.35872235872235869</v>
      </c>
      <c r="T19" t="str">
        <f>IF(ISBLANK(E19),"",TEXT(E19,"[&gt;0.05]+0.0""%"";[&lt;-0.05]-0.0""%"";0.0""%"""))</f>
        <v>+156.8%</v>
      </c>
      <c r="U19">
        <f>IF(ISBLANK(E19),NA(),IF(E19&gt;0,E19/$N$15,NA()))</f>
        <v>0.35872235872235869</v>
      </c>
      <c r="V19" t="e">
        <f>IF(ISBLANK(E19),NA(),IF(E19&lt;0,E19/$N$15,NA()))</f>
        <v>#N/A</v>
      </c>
      <c r="W19">
        <f>IF(ISBLANK(J19),NA(),J19/$M$15)</f>
        <v>0.11585903083700441</v>
      </c>
      <c r="X19" t="str">
        <f>IF(ISBLANK(J19),"",TEXT(J19,"[&gt;0.5]+0;[&lt;-0.5]-0;0"))</f>
        <v>+526</v>
      </c>
      <c r="Y19">
        <f>IF(ISBLANK(J19),NA(),IF(J19&gt;0,J19/$M$15,NA()))</f>
        <v>0.11585903083700441</v>
      </c>
      <c r="Z19" t="e">
        <f>IF(ISBLANK(J19),NA(),IF(J19&lt;0,J19/$M$15,NA()))</f>
        <v>#N/A</v>
      </c>
      <c r="AA19">
        <f>IF(ISBLANK(K19),NA(),K19/$N$15)</f>
        <v>0.48536252401658408</v>
      </c>
      <c r="AB19" t="str">
        <f>IF(ISBLANK(K19),"",TEXT(K19,"[&gt;0.05]+0.0""%"";[&lt;-0.05]-0.0""%"";0.0""%"""))</f>
        <v>+212.1%</v>
      </c>
      <c r="AC19">
        <f>IF(ISBLANK(K19),NA(),IF(K19&gt;0,K19/$N$15,NA()))</f>
        <v>0.48536252401658408</v>
      </c>
      <c r="AD19" t="e">
        <f>IF(ISBLANK(K19),NA(),IF(K19&lt;0,K19/$N$15,NA()))</f>
        <v>#N/A</v>
      </c>
    </row>
    <row r="20" spans="1:30" ht="15" customHeight="1" thickBot="1" x14ac:dyDescent="0.4">
      <c r="A20" s="79">
        <v>-3</v>
      </c>
      <c r="B20" s="79">
        <v>-1</v>
      </c>
      <c r="C20" s="79">
        <v>-1</v>
      </c>
      <c r="D20" s="98">
        <f>C20-B20</f>
        <v>0</v>
      </c>
      <c r="E20" s="98"/>
      <c r="F20" s="78" t="s">
        <v>97</v>
      </c>
      <c r="G20" s="79">
        <v>-31</v>
      </c>
      <c r="H20" s="79">
        <v>-1</v>
      </c>
      <c r="I20" s="79">
        <v>-35</v>
      </c>
      <c r="J20" s="98">
        <f>I20-H20</f>
        <v>-34</v>
      </c>
      <c r="K20" s="98"/>
      <c r="O20">
        <f>IF(ISBLANK(D20),NA(),D20/$M$15)</f>
        <v>0</v>
      </c>
      <c r="P20" t="str">
        <f>IF(ISBLANK(D20),"",TEXT(D20,"[&gt;0.5]+0;[&lt;-0.5]-0;0"))</f>
        <v>0</v>
      </c>
      <c r="Q20" t="e">
        <f>IF(ISBLANK(D20),NA(),IF(D20&gt;0,D20/$M$15,NA()))</f>
        <v>#N/A</v>
      </c>
      <c r="R20" t="e">
        <f>IF(ISBLANK(D20),NA(),IF(D20&lt;0,D20/$M$15,NA()))</f>
        <v>#N/A</v>
      </c>
      <c r="S20" t="e">
        <f>IF(ISBLANK(E20),NA(),E20/$N$15)</f>
        <v>#N/A</v>
      </c>
      <c r="T20" t="str">
        <f>IF(ISBLANK(E20),"",TEXT(E20,"[&gt;0.05]+0.0""%"";[&lt;-0.05]-0.0""%"";0.0""%"""))</f>
        <v/>
      </c>
      <c r="U20" t="e">
        <f>IF(ISBLANK(E20),NA(),IF(E20&gt;0,E20/$N$15,NA()))</f>
        <v>#N/A</v>
      </c>
      <c r="V20" t="e">
        <f>IF(ISBLANK(E20),NA(),IF(E20&lt;0,E20/$N$15,NA()))</f>
        <v>#N/A</v>
      </c>
      <c r="W20">
        <f>IF(ISBLANK(J20),NA(),J20/$M$15)</f>
        <v>-7.4889867841409687E-3</v>
      </c>
      <c r="X20" t="str">
        <f>IF(ISBLANK(J20),"",TEXT(J20,"[&gt;0.5]+0;[&lt;-0.5]-0;0"))</f>
        <v>-34</v>
      </c>
      <c r="Y20" t="e">
        <f>IF(ISBLANK(J20),NA(),IF(J20&gt;0,J20/$M$15,NA()))</f>
        <v>#N/A</v>
      </c>
      <c r="Z20">
        <f>IF(ISBLANK(J20),NA(),IF(J20&lt;0,J20/$M$15,NA()))</f>
        <v>-7.4889867841409687E-3</v>
      </c>
      <c r="AA20" t="e">
        <f>IF(ISBLANK(K20),NA(),K20/$N$15)</f>
        <v>#N/A</v>
      </c>
      <c r="AB20" t="str">
        <f>IF(ISBLANK(K20),"",TEXT(K20,"[&gt;0.05]+0.0""%"";[&lt;-0.05]-0.0""%"";0.0""%"""))</f>
        <v/>
      </c>
      <c r="AC20" t="e">
        <f>IF(ISBLANK(K20),NA(),IF(K20&gt;0,K20/$N$15,NA()))</f>
        <v>#N/A</v>
      </c>
      <c r="AD20" t="e">
        <f>IF(ISBLANK(K20),NA(),IF(K20&lt;0,K20/$N$15,NA()))</f>
        <v>#N/A</v>
      </c>
    </row>
    <row r="21" spans="1:30" ht="15" customHeight="1" x14ac:dyDescent="0.35">
      <c r="A21" s="94">
        <f>SUM(A15:A17)+SUM(A19:A20)</f>
        <v>1027</v>
      </c>
      <c r="B21" s="94">
        <f>SUM(B15:B17)+SUM(B19:B20)</f>
        <v>294</v>
      </c>
      <c r="C21" s="94">
        <f>SUM(C15:C17)+SUM(C19:C20)</f>
        <v>971</v>
      </c>
      <c r="D21" s="102">
        <f>C21-B21</f>
        <v>677</v>
      </c>
      <c r="E21" s="102">
        <f>IF(B21&lt;=0,NA(),(C21-B21)/B21*100)</f>
        <v>230.27210884353741</v>
      </c>
      <c r="F21" s="97" t="s">
        <v>111</v>
      </c>
      <c r="G21" s="94">
        <f>SUM(G15:G17)+SUM(G19:G20)</f>
        <v>6539</v>
      </c>
      <c r="H21" s="94">
        <f>SUM(H15:H17)+SUM(H19:H20)</f>
        <v>1996</v>
      </c>
      <c r="I21" s="94">
        <f>SUM(I15:I17)+SUM(I19:I20)</f>
        <v>6536</v>
      </c>
      <c r="J21" s="102">
        <f>I21-H21</f>
        <v>4540</v>
      </c>
      <c r="K21" s="102">
        <f>IF(H21&lt;=0,NA(),(I21-H21)/H21*100)</f>
        <v>227.45490981963928</v>
      </c>
      <c r="O21">
        <f>IF(ISBLANK(D21),NA(),D21/$M$15)</f>
        <v>0.14911894273127754</v>
      </c>
      <c r="P21" t="str">
        <f>IF(ISBLANK(D21),"",TEXT(D21,"[&gt;0.5]+0;[&lt;-0.5]-0;0"))</f>
        <v>+677</v>
      </c>
      <c r="Q21">
        <f>IF(ISBLANK(D21),NA(),IF(D21&gt;0,D21/$M$15,NA()))</f>
        <v>0.14911894273127754</v>
      </c>
      <c r="R21" t="e">
        <f>IF(ISBLANK(D21),NA(),IF(D21&lt;0,D21/$M$15,NA()))</f>
        <v>#N/A</v>
      </c>
      <c r="S21">
        <f>IF(ISBLANK(E21),NA(),E21/$N$15)</f>
        <v>0.52695498262000717</v>
      </c>
      <c r="T21" t="str">
        <f>IF(ISBLANK(E21),"",TEXT(E21,"[&gt;0.05]+0.0""%"";[&lt;-0.05]-0.0""%"";0.0""%"""))</f>
        <v>+230.3%</v>
      </c>
      <c r="U21">
        <f>IF(ISBLANK(E21),NA(),IF(E21&gt;0,E21/$N$15,NA()))</f>
        <v>0.52695498262000717</v>
      </c>
      <c r="V21" t="e">
        <f>IF(ISBLANK(E21),NA(),IF(E21&lt;0,E21/$N$15,NA()))</f>
        <v>#N/A</v>
      </c>
      <c r="W21">
        <f>IF(ISBLANK(J21),NA(),J21/$M$15)</f>
        <v>1</v>
      </c>
      <c r="X21" t="str">
        <f>IF(ISBLANK(J21),"",TEXT(J21,"[&gt;0.5]+0;[&lt;-0.5]-0;0"))</f>
        <v>+4540</v>
      </c>
      <c r="Y21">
        <f>IF(ISBLANK(J21),NA(),IF(J21&gt;0,J21/$M$15,NA()))</f>
        <v>1</v>
      </c>
      <c r="Z21" t="e">
        <f>IF(ISBLANK(J21),NA(),IF(J21&lt;0,J21/$M$15,NA()))</f>
        <v>#N/A</v>
      </c>
      <c r="AA21">
        <f>IF(ISBLANK(K21),NA(),K21/$N$15)</f>
        <v>0.52050810084118082</v>
      </c>
      <c r="AB21" t="str">
        <f>IF(ISBLANK(K21),"",TEXT(K21,"[&gt;0.05]+0.0""%"";[&lt;-0.05]-0.0""%"";0.0""%"""))</f>
        <v>+227.5%</v>
      </c>
      <c r="AC21">
        <f>IF(ISBLANK(K21),NA(),IF(K21&gt;0,K21/$N$15,NA()))</f>
        <v>0.52050810084118082</v>
      </c>
      <c r="AD21" t="e">
        <f>IF(ISBLANK(K21),NA(),IF(K21&lt;0,K21/$N$15,NA()))</f>
        <v>#N/A</v>
      </c>
    </row>
    <row r="23" spans="1:30" ht="12" customHeight="1" x14ac:dyDescent="0.35">
      <c r="A23" s="40" t="s">
        <v>448</v>
      </c>
      <c r="B23" s="41"/>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row>
  </sheetData>
  <mergeCells count="1">
    <mergeCell ref="A23:AD23"/>
  </mergeCells>
  <printOptions horizontalCentered="1" verticalCentered="1"/>
  <pageMargins left="0.25" right="0.25" top="0.25" bottom="0.25" header="0.125" footer="0.125"/>
  <pageSetup scale="88"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9C311-AC15-4489-B75C-A045C00A4472}">
  <sheetPr>
    <pageSetUpPr fitToPage="1"/>
  </sheetPr>
  <dimension ref="A1:H24"/>
  <sheetViews>
    <sheetView showGridLines="0" workbookViewId="0"/>
  </sheetViews>
  <sheetFormatPr defaultRowHeight="14.5" x14ac:dyDescent="0.35"/>
  <cols>
    <col min="1" max="1" width="27.6328125" customWidth="1"/>
    <col min="2" max="8" width="10.6328125" customWidth="1"/>
  </cols>
  <sheetData>
    <row r="1" spans="1:8" ht="43.5" x14ac:dyDescent="0.35">
      <c r="A1" s="16" t="s">
        <v>75</v>
      </c>
      <c r="B1" s="27" t="s">
        <v>76</v>
      </c>
    </row>
    <row r="2" spans="1:8" ht="29" x14ac:dyDescent="0.35">
      <c r="A2" s="16" t="s">
        <v>77</v>
      </c>
      <c r="B2" s="27" t="s">
        <v>114</v>
      </c>
    </row>
    <row r="3" spans="1:8" x14ac:dyDescent="0.35">
      <c r="A3" s="16" t="s">
        <v>79</v>
      </c>
      <c r="B3" s="27" t="s">
        <v>80</v>
      </c>
    </row>
    <row r="4" spans="1:8" x14ac:dyDescent="0.35">
      <c r="A4" s="16" t="s">
        <v>81</v>
      </c>
      <c r="B4" s="27" t="s">
        <v>108</v>
      </c>
    </row>
    <row r="5" spans="1:8" x14ac:dyDescent="0.35">
      <c r="A5" s="16" t="s">
        <v>83</v>
      </c>
      <c r="B5" s="27" t="s">
        <v>24</v>
      </c>
    </row>
    <row r="6" spans="1:8" ht="319" customHeight="1" x14ac:dyDescent="0.35">
      <c r="A6" s="16" t="s">
        <v>84</v>
      </c>
      <c r="B6" s="27" t="s">
        <v>458</v>
      </c>
    </row>
    <row r="7" spans="1:8" ht="43.5" x14ac:dyDescent="0.35">
      <c r="A7" s="16" t="s">
        <v>86</v>
      </c>
      <c r="B7" s="29" t="str">
        <f>B2&amp;IF(B3="",""," in "&amp;B3)</f>
        <v>Underwriting result in $m</v>
      </c>
    </row>
    <row r="9" spans="1:8" x14ac:dyDescent="0.35">
      <c r="A9" s="69" t="str">
        <f>B1</f>
        <v>The Progressive Corporation</v>
      </c>
    </row>
    <row r="10" spans="1:8" ht="16" x14ac:dyDescent="0.4">
      <c r="A10" s="70" t="str">
        <f>B7</f>
        <v>Underwriting result in $m</v>
      </c>
    </row>
    <row r="11" spans="1:8" x14ac:dyDescent="0.35">
      <c r="A11" s="69" t="str">
        <f>B4</f>
        <v>2025</v>
      </c>
    </row>
    <row r="14" spans="1:8" ht="15" thickBot="1" x14ac:dyDescent="0.4">
      <c r="A14" s="75"/>
      <c r="B14" s="71" t="s">
        <v>24</v>
      </c>
      <c r="C14" s="72" t="s">
        <v>31</v>
      </c>
      <c r="D14" s="73" t="s">
        <v>17</v>
      </c>
      <c r="E14" s="74" t="s">
        <v>119</v>
      </c>
      <c r="F14" s="74" t="s">
        <v>120</v>
      </c>
      <c r="G14" s="74" t="s">
        <v>160</v>
      </c>
      <c r="H14" s="74" t="s">
        <v>161</v>
      </c>
    </row>
    <row r="15" spans="1:8" ht="15" customHeight="1" thickTop="1" x14ac:dyDescent="0.35">
      <c r="A15" s="89" t="s">
        <v>107</v>
      </c>
      <c r="B15" s="86">
        <v>70799</v>
      </c>
      <c r="C15" s="86">
        <v>81661</v>
      </c>
      <c r="D15" s="86">
        <v>81661</v>
      </c>
      <c r="E15" s="87">
        <f>D15-B15</f>
        <v>10862</v>
      </c>
      <c r="F15" s="88">
        <f>IF(B15&lt;=0,NA(),(D15-B15)/B15*100)</f>
        <v>15.3420246048673</v>
      </c>
      <c r="G15" s="87">
        <f>D15-C15</f>
        <v>0</v>
      </c>
      <c r="H15" s="88">
        <f>IF(C15&lt;=0,NA(),(D15-C15)/C15*100)</f>
        <v>0</v>
      </c>
    </row>
    <row r="16" spans="1:8" ht="15" customHeight="1" x14ac:dyDescent="0.35">
      <c r="A16" s="105" t="s">
        <v>459</v>
      </c>
      <c r="B16" s="106">
        <v>49060</v>
      </c>
      <c r="C16" s="106">
        <v>60982</v>
      </c>
      <c r="D16" s="106">
        <v>53959</v>
      </c>
      <c r="E16" s="107">
        <f>D16-B16</f>
        <v>4899</v>
      </c>
      <c r="F16" s="108">
        <f>IF(B16&lt;=0,NA(),(D16-B16)/B16*100)</f>
        <v>9.9857317570322053</v>
      </c>
      <c r="G16" s="107">
        <f>D16-C16</f>
        <v>-7023</v>
      </c>
      <c r="H16" s="108">
        <f>IF(C16&lt;=0,NA(),(D16-C16)/C16*100)</f>
        <v>-11.516513069430323</v>
      </c>
    </row>
    <row r="17" spans="1:8" ht="15" customHeight="1" x14ac:dyDescent="0.35">
      <c r="A17" s="93" t="s">
        <v>460</v>
      </c>
      <c r="B17" s="90">
        <v>5383</v>
      </c>
      <c r="C17" s="90">
        <v>6096</v>
      </c>
      <c r="D17" s="90">
        <v>6096</v>
      </c>
      <c r="E17" s="91">
        <f>D17-B17</f>
        <v>713</v>
      </c>
      <c r="F17" s="92">
        <f>IF(B17&lt;=0,NA(),(D17-B17)/B17*100)</f>
        <v>13.245402192086198</v>
      </c>
      <c r="G17" s="91">
        <f>D17-C17</f>
        <v>0</v>
      </c>
      <c r="H17" s="92">
        <f>IF(C17&lt;=0,NA(),(D17-C17)/C17*100)</f>
        <v>0</v>
      </c>
    </row>
    <row r="18" spans="1:8" ht="15" customHeight="1" thickBot="1" x14ac:dyDescent="0.4">
      <c r="A18" s="78" t="s">
        <v>461</v>
      </c>
      <c r="B18" s="79">
        <v>8427</v>
      </c>
      <c r="C18" s="79">
        <v>11317</v>
      </c>
      <c r="D18" s="79">
        <v>11317</v>
      </c>
      <c r="E18" s="80">
        <f>D18-B18</f>
        <v>2890</v>
      </c>
      <c r="F18" s="81">
        <f>IF(B18&lt;=0,NA(),(D18-B18)/B18*100)</f>
        <v>34.294529488548712</v>
      </c>
      <c r="G18" s="80">
        <f>D18-C18</f>
        <v>0</v>
      </c>
      <c r="H18" s="81">
        <f>IF(C18&lt;=0,NA(),(D18-C18)/C18*100)</f>
        <v>0</v>
      </c>
    </row>
    <row r="19" spans="1:8" ht="15" customHeight="1" thickBot="1" x14ac:dyDescent="0.4">
      <c r="A19" s="97" t="s">
        <v>462</v>
      </c>
      <c r="B19" s="94">
        <f>ABS(-SUM(B16:B18))</f>
        <v>62870</v>
      </c>
      <c r="C19" s="94">
        <f>ABS(-SUM(C16:C18))</f>
        <v>78395</v>
      </c>
      <c r="D19" s="94">
        <f>ABS(-SUM(D16:D18))</f>
        <v>71372</v>
      </c>
      <c r="E19" s="95">
        <f>D19-B19</f>
        <v>8502</v>
      </c>
      <c r="F19" s="96">
        <f>IF(B19&lt;=0,NA(),(D19-B19)/B19*100)</f>
        <v>13.523142993478606</v>
      </c>
      <c r="G19" s="95">
        <f>D19-C19</f>
        <v>-7023</v>
      </c>
      <c r="H19" s="96">
        <f>IF(C19&lt;=0,NA(),(D19-C19)/C19*100)</f>
        <v>-8.9584794948657436</v>
      </c>
    </row>
    <row r="20" spans="1:8" ht="15" customHeight="1" x14ac:dyDescent="0.35">
      <c r="A20" s="97" t="s">
        <v>114</v>
      </c>
      <c r="B20" s="94">
        <f>B15-SUM(B16:B18)</f>
        <v>7929</v>
      </c>
      <c r="C20" s="94">
        <f>C15-SUM(C16:C18)</f>
        <v>3266</v>
      </c>
      <c r="D20" s="94">
        <f>D15-SUM(D16:D18)</f>
        <v>10289</v>
      </c>
      <c r="E20" s="95">
        <f>D20-B20</f>
        <v>2360</v>
      </c>
      <c r="F20" s="96">
        <f>IF(B20&lt;=0,NA(),(D20-B20)/B20*100)</f>
        <v>29.764156892420228</v>
      </c>
      <c r="G20" s="95">
        <f>D20-C20</f>
        <v>7023</v>
      </c>
      <c r="H20" s="96">
        <f>IF(C20&lt;=0,NA(),(D20-C20)/C20*100)</f>
        <v>215.03368034292714</v>
      </c>
    </row>
    <row r="21" spans="1:8" ht="15" customHeight="1" x14ac:dyDescent="0.35">
      <c r="A21" s="109" t="s">
        <v>463</v>
      </c>
      <c r="B21" s="110">
        <f>IF(B15=0,NA(),B16/B15*100)</f>
        <v>69.294764050339694</v>
      </c>
      <c r="C21" s="110">
        <f>IF(C15=0,NA(),C16/C15*100)</f>
        <v>74.677018405358737</v>
      </c>
      <c r="D21" s="110">
        <f>IF(D15=0,NA(),D16/D15*100)</f>
        <v>66.076829820844708</v>
      </c>
      <c r="E21" s="111">
        <f>D21-B21</f>
        <v>-3.2179342294949862</v>
      </c>
      <c r="F21" s="112">
        <f>IF(B21&lt;=0,NA(),(D21-B21)/B21*100)</f>
        <v>-4.6438346007748788</v>
      </c>
      <c r="G21" s="111">
        <f>D21-C21</f>
        <v>-8.6001885845140293</v>
      </c>
      <c r="H21" s="112">
        <f>IF(C21&lt;=0,NA(),(D21-C21)/C21*100)</f>
        <v>-11.516513069430326</v>
      </c>
    </row>
    <row r="22" spans="1:8" ht="15" customHeight="1" x14ac:dyDescent="0.35">
      <c r="A22" s="113" t="s">
        <v>464</v>
      </c>
      <c r="B22" s="114">
        <f>IF(B15=0,NA(),B19/B15*100)</f>
        <v>88.800689275272248</v>
      </c>
      <c r="C22" s="114">
        <f>IF(C15=0,NA(),C19/C15*100)</f>
        <v>96.000538812897219</v>
      </c>
      <c r="D22" s="114">
        <f>IF(D15=0,NA(),D19/D15*100)</f>
        <v>87.400350228383189</v>
      </c>
      <c r="E22" s="115">
        <f>D22-B22</f>
        <v>-1.4003390468890586</v>
      </c>
      <c r="F22" s="116">
        <f>IF(B22&lt;=0,NA(),(D22-B22)/B22*100)</f>
        <v>-1.5769461457085805</v>
      </c>
      <c r="G22" s="115">
        <f>D22-C22</f>
        <v>-8.6001885845140293</v>
      </c>
      <c r="H22" s="116">
        <f>IF(C22&lt;=0,NA(),(D22-C22)/C22*100)</f>
        <v>-8.9584794948657471</v>
      </c>
    </row>
    <row r="24" spans="1:8" ht="36" customHeight="1" x14ac:dyDescent="0.35">
      <c r="A24" s="40" t="s">
        <v>465</v>
      </c>
      <c r="B24" s="41"/>
      <c r="C24" s="41"/>
      <c r="D24" s="41"/>
      <c r="E24" s="41"/>
      <c r="F24" s="41"/>
      <c r="G24" s="41"/>
      <c r="H24" s="41"/>
    </row>
  </sheetData>
  <mergeCells count="1">
    <mergeCell ref="A24:H24"/>
  </mergeCells>
  <printOptions horizontalCentered="1" verticalCentered="1"/>
  <pageMargins left="0.25" right="0.25" top="0.25" bottom="0.25" header="0.125" footer="0.125"/>
  <pageSetup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D425-C9C3-4E64-96D9-495A19253BAC}">
  <sheetPr>
    <pageSetUpPr fitToPage="1"/>
  </sheetPr>
  <dimension ref="A1:Q24"/>
  <sheetViews>
    <sheetView showGridLines="0" workbookViewId="0"/>
  </sheetViews>
  <sheetFormatPr defaultRowHeight="14.5" x14ac:dyDescent="0.35"/>
  <cols>
    <col min="1" max="1" width="31.6328125" customWidth="1"/>
    <col min="2" max="4" width="12.1796875" customWidth="1"/>
    <col min="5" max="6" width="18.6328125" customWidth="1"/>
    <col min="8" max="9" width="9.6328125" customWidth="1"/>
    <col min="10" max="17" width="7.6328125" customWidth="1"/>
  </cols>
  <sheetData>
    <row r="1" spans="1:17" ht="43.5" x14ac:dyDescent="0.35">
      <c r="A1" s="16" t="s">
        <v>75</v>
      </c>
      <c r="B1" s="27" t="s">
        <v>76</v>
      </c>
    </row>
    <row r="2" spans="1:17" ht="29" x14ac:dyDescent="0.35">
      <c r="A2" s="16" t="s">
        <v>77</v>
      </c>
      <c r="B2" s="27" t="s">
        <v>114</v>
      </c>
    </row>
    <row r="3" spans="1:17" x14ac:dyDescent="0.35">
      <c r="A3" s="16" t="s">
        <v>79</v>
      </c>
      <c r="B3" s="27" t="s">
        <v>80</v>
      </c>
    </row>
    <row r="4" spans="1:17" x14ac:dyDescent="0.35">
      <c r="A4" s="16" t="s">
        <v>81</v>
      </c>
      <c r="B4" s="27" t="s">
        <v>108</v>
      </c>
    </row>
    <row r="5" spans="1:17" x14ac:dyDescent="0.35">
      <c r="A5" s="16" t="s">
        <v>83</v>
      </c>
      <c r="B5" s="27" t="s">
        <v>31</v>
      </c>
    </row>
    <row r="6" spans="1:17" ht="290" customHeight="1" x14ac:dyDescent="0.35">
      <c r="A6" s="16" t="s">
        <v>84</v>
      </c>
      <c r="B6" s="27" t="s">
        <v>458</v>
      </c>
    </row>
    <row r="7" spans="1:17" ht="29" x14ac:dyDescent="0.35">
      <c r="A7" s="16" t="s">
        <v>86</v>
      </c>
      <c r="B7" s="29" t="str">
        <f>B2&amp;IF(B3="",""," in "&amp;B3)</f>
        <v>Underwriting result in $m</v>
      </c>
    </row>
    <row r="9" spans="1:17" x14ac:dyDescent="0.35">
      <c r="A9" s="69" t="str">
        <f>B1</f>
        <v>The Progressive Corporation</v>
      </c>
    </row>
    <row r="10" spans="1:17" ht="16" x14ac:dyDescent="0.4">
      <c r="A10" s="70" t="str">
        <f>B7</f>
        <v>Underwriting result in $m</v>
      </c>
    </row>
    <row r="11" spans="1:17" x14ac:dyDescent="0.35">
      <c r="A11" s="69" t="str">
        <f>B4</f>
        <v>2025</v>
      </c>
    </row>
    <row r="14" spans="1:17" ht="15" thickBot="1" x14ac:dyDescent="0.4">
      <c r="A14" s="75"/>
      <c r="B14" s="71" t="s">
        <v>24</v>
      </c>
      <c r="C14" s="72" t="s">
        <v>31</v>
      </c>
      <c r="D14" s="73" t="s">
        <v>17</v>
      </c>
      <c r="E14" s="74" t="s">
        <v>160</v>
      </c>
      <c r="F14" s="74" t="s">
        <v>161</v>
      </c>
      <c r="H14" s="103" t="s">
        <v>129</v>
      </c>
      <c r="I14" s="104" t="s">
        <v>130</v>
      </c>
      <c r="J14" s="104" t="s">
        <v>450</v>
      </c>
      <c r="K14" s="104" t="s">
        <v>451</v>
      </c>
      <c r="L14" s="104" t="s">
        <v>452</v>
      </c>
      <c r="M14" s="104" t="s">
        <v>453</v>
      </c>
      <c r="N14" s="104" t="s">
        <v>454</v>
      </c>
      <c r="O14" s="104" t="s">
        <v>455</v>
      </c>
      <c r="P14" s="104" t="s">
        <v>456</v>
      </c>
      <c r="Q14" s="104" t="s">
        <v>457</v>
      </c>
    </row>
    <row r="15" spans="1:17" ht="15" customHeight="1" thickTop="1" x14ac:dyDescent="0.35">
      <c r="A15" s="89" t="s">
        <v>107</v>
      </c>
      <c r="B15" s="86">
        <v>70799</v>
      </c>
      <c r="C15" s="86">
        <v>81661</v>
      </c>
      <c r="D15" s="86">
        <v>81661</v>
      </c>
      <c r="E15" s="100">
        <f>D15-C15</f>
        <v>0</v>
      </c>
      <c r="F15" s="100">
        <f>IF(C15&lt;=0,NA(),(D15-C15)/C15*100)</f>
        <v>0</v>
      </c>
      <c r="H15" s="26">
        <f>MAX(_xlfn.AGGREGATE(4,6,E15:E22),-_xlfn.AGGREGATE(5,6,E15:E22),0.000000001)</f>
        <v>7023</v>
      </c>
      <c r="I15" s="26">
        <f>MAX(_xlfn.AGGREGATE(4,6,F15:F22),-_xlfn.AGGREGATE(5,6,F15:F22),0.000000001)</f>
        <v>215.03368034292714</v>
      </c>
      <c r="J15">
        <f>IF(ISBLANK(E15),NA(),E15/$H$15)</f>
        <v>0</v>
      </c>
      <c r="K15" t="str">
        <f>IF(ISBLANK(E15),"",TEXT(E15,"[&gt;0.5]+0;[&lt;-0.5]-0;0"))</f>
        <v>0</v>
      </c>
      <c r="L15" t="e">
        <f>IF(ISBLANK(E15),NA(),IF(E15&gt;0,E15/$H$15,NA()))</f>
        <v>#N/A</v>
      </c>
      <c r="M15" t="e">
        <f>IF(ISBLANK(E15),NA(),IF(E15&lt;0,E15/$H$15,NA()))</f>
        <v>#N/A</v>
      </c>
      <c r="N15">
        <f>IF(ISBLANK(F15),NA(),F15/$I$15)</f>
        <v>0</v>
      </c>
      <c r="O15" t="str">
        <f>IF(ISBLANK(F15),"",TEXT(F15,"[&gt;0.05]+0.0""%"";[&lt;-0.05]-0.0""%"";0.0""%"""))</f>
        <v>0.0%</v>
      </c>
      <c r="P15" t="e">
        <f>IF(ISBLANK(F15),NA(),IF(F15&gt;0,F15/$I$15,NA()))</f>
        <v>#N/A</v>
      </c>
      <c r="Q15" t="e">
        <f>IF(ISBLANK(F15),NA(),IF(F15&lt;0,F15/$I$15,NA()))</f>
        <v>#N/A</v>
      </c>
    </row>
    <row r="16" spans="1:17" ht="15" customHeight="1" x14ac:dyDescent="0.35">
      <c r="A16" s="105" t="s">
        <v>459</v>
      </c>
      <c r="B16" s="106">
        <v>49060</v>
      </c>
      <c r="C16" s="106">
        <v>60982</v>
      </c>
      <c r="D16" s="106">
        <v>53959</v>
      </c>
      <c r="E16" s="117">
        <f>D16-C16</f>
        <v>-7023</v>
      </c>
      <c r="F16" s="117">
        <f>IF(C16&lt;=0,NA(),(D16-C16)/C16*100)</f>
        <v>-11.516513069430323</v>
      </c>
      <c r="J16">
        <f>IF(ISBLANK(E16),NA(),E16/$H$15)</f>
        <v>-1</v>
      </c>
      <c r="K16" t="str">
        <f>IF(ISBLANK(E16),"",TEXT(E16,"[&gt;0.5]+0;[&lt;-0.5]-0;0"))</f>
        <v>-7023</v>
      </c>
      <c r="L16">
        <f>IF(ISBLANK(E16),NA(),IF(E16&lt;0,E16/$H$15,NA()))</f>
        <v>-1</v>
      </c>
      <c r="M16" t="e">
        <f>IF(ISBLANK(E16),NA(),IF(E16&gt;0,E16/$H$15,NA()))</f>
        <v>#N/A</v>
      </c>
      <c r="N16">
        <f>IF(ISBLANK(F16),NA(),F16/$I$15)</f>
        <v>-5.3556787248696329E-2</v>
      </c>
      <c r="O16" t="str">
        <f>IF(ISBLANK(F16),"",TEXT(F16,"[&gt;0.05]+0.0""%"";[&lt;-0.05]-0.0""%"";0.0""%"""))</f>
        <v>-11.5%</v>
      </c>
      <c r="P16">
        <f>IF(ISBLANK(F16),NA(),IF(F16&lt;0,F16/$I$15,NA()))</f>
        <v>-5.3556787248696329E-2</v>
      </c>
      <c r="Q16" t="e">
        <f>IF(ISBLANK(F16),NA(),IF(F16&gt;0,F16/$I$15,NA()))</f>
        <v>#N/A</v>
      </c>
    </row>
    <row r="17" spans="1:17" ht="15" customHeight="1" x14ac:dyDescent="0.35">
      <c r="A17" s="93" t="s">
        <v>460</v>
      </c>
      <c r="B17" s="90">
        <v>5383</v>
      </c>
      <c r="C17" s="90">
        <v>6096</v>
      </c>
      <c r="D17" s="90">
        <v>6096</v>
      </c>
      <c r="E17" s="101">
        <f>D17-C17</f>
        <v>0</v>
      </c>
      <c r="F17" s="101">
        <f>IF(C17&lt;=0,NA(),(D17-C17)/C17*100)</f>
        <v>0</v>
      </c>
      <c r="J17">
        <f>IF(ISBLANK(E17),NA(),E17/$H$15)</f>
        <v>0</v>
      </c>
      <c r="K17" t="str">
        <f>IF(ISBLANK(E17),"",TEXT(E17,"[&gt;0.5]+0;[&lt;-0.5]-0;0"))</f>
        <v>0</v>
      </c>
      <c r="L17" t="e">
        <f>IF(ISBLANK(E17),NA(),IF(E17&lt;0,E17/$H$15,NA()))</f>
        <v>#N/A</v>
      </c>
      <c r="M17" t="e">
        <f>IF(ISBLANK(E17),NA(),IF(E17&gt;0,E17/$H$15,NA()))</f>
        <v>#N/A</v>
      </c>
      <c r="N17">
        <f>IF(ISBLANK(F17),NA(),F17/$I$15)</f>
        <v>0</v>
      </c>
      <c r="O17" t="str">
        <f>IF(ISBLANK(F17),"",TEXT(F17,"[&gt;0.05]+0.0""%"";[&lt;-0.05]-0.0""%"";0.0""%"""))</f>
        <v>0.0%</v>
      </c>
      <c r="P17" t="e">
        <f>IF(ISBLANK(F17),NA(),IF(F17&lt;0,F17/$I$15,NA()))</f>
        <v>#N/A</v>
      </c>
      <c r="Q17" t="e">
        <f>IF(ISBLANK(F17),NA(),IF(F17&gt;0,F17/$I$15,NA()))</f>
        <v>#N/A</v>
      </c>
    </row>
    <row r="18" spans="1:17" ht="15" customHeight="1" thickBot="1" x14ac:dyDescent="0.4">
      <c r="A18" s="78" t="s">
        <v>461</v>
      </c>
      <c r="B18" s="79">
        <v>8427</v>
      </c>
      <c r="C18" s="79">
        <v>11317</v>
      </c>
      <c r="D18" s="79">
        <v>11317</v>
      </c>
      <c r="E18" s="98">
        <f>D18-C18</f>
        <v>0</v>
      </c>
      <c r="F18" s="98">
        <f>IF(C18&lt;=0,NA(),(D18-C18)/C18*100)</f>
        <v>0</v>
      </c>
      <c r="J18">
        <f>IF(ISBLANK(E18),NA(),E18/$H$15)</f>
        <v>0</v>
      </c>
      <c r="K18" t="str">
        <f>IF(ISBLANK(E18),"",TEXT(E18,"[&gt;0.5]+0;[&lt;-0.5]-0;0"))</f>
        <v>0</v>
      </c>
      <c r="L18" t="e">
        <f>IF(ISBLANK(E18),NA(),IF(E18&lt;0,E18/$H$15,NA()))</f>
        <v>#N/A</v>
      </c>
      <c r="M18" t="e">
        <f>IF(ISBLANK(E18),NA(),IF(E18&gt;0,E18/$H$15,NA()))</f>
        <v>#N/A</v>
      </c>
      <c r="N18">
        <f>IF(ISBLANK(F18),NA(),F18/$I$15)</f>
        <v>0</v>
      </c>
      <c r="O18" t="str">
        <f>IF(ISBLANK(F18),"",TEXT(F18,"[&gt;0.05]+0.0""%"";[&lt;-0.05]-0.0""%"";0.0""%"""))</f>
        <v>0.0%</v>
      </c>
      <c r="P18" t="e">
        <f>IF(ISBLANK(F18),NA(),IF(F18&lt;0,F18/$I$15,NA()))</f>
        <v>#N/A</v>
      </c>
      <c r="Q18" t="e">
        <f>IF(ISBLANK(F18),NA(),IF(F18&gt;0,F18/$I$15,NA()))</f>
        <v>#N/A</v>
      </c>
    </row>
    <row r="19" spans="1:17" ht="15" customHeight="1" thickBot="1" x14ac:dyDescent="0.4">
      <c r="A19" s="97" t="s">
        <v>462</v>
      </c>
      <c r="B19" s="94">
        <f>ABS(-SUM(B16:B18))</f>
        <v>62870</v>
      </c>
      <c r="C19" s="94">
        <f>ABS(-SUM(C16:C18))</f>
        <v>78395</v>
      </c>
      <c r="D19" s="94">
        <f>ABS(-SUM(D16:D18))</f>
        <v>71372</v>
      </c>
      <c r="E19" s="102">
        <f>D19-C19</f>
        <v>-7023</v>
      </c>
      <c r="F19" s="102">
        <f>IF(C19&lt;=0,NA(),(D19-C19)/C19*100)</f>
        <v>-8.9584794948657436</v>
      </c>
      <c r="J19">
        <f>IF(ISBLANK(E19),NA(),E19/$H$15)</f>
        <v>-1</v>
      </c>
      <c r="K19" t="str">
        <f>IF(ISBLANK(E19),"",TEXT(E19,"[&gt;0.5]+0;[&lt;-0.5]-0;0"))</f>
        <v>-7023</v>
      </c>
      <c r="L19">
        <f>IF(ISBLANK(E19),NA(),IF(E19&lt;0,E19/$H$15,NA()))</f>
        <v>-1</v>
      </c>
      <c r="M19" t="e">
        <f>IF(ISBLANK(E19),NA(),IF(E19&gt;0,E19/$H$15,NA()))</f>
        <v>#N/A</v>
      </c>
      <c r="N19">
        <f>IF(ISBLANK(F19),NA(),F19/$I$15)</f>
        <v>-4.1660820205370236E-2</v>
      </c>
      <c r="O19" t="str">
        <f>IF(ISBLANK(F19),"",TEXT(F19,"[&gt;0.05]+0.0""%"";[&lt;-0.05]-0.0""%"";0.0""%"""))</f>
        <v>-9.0%</v>
      </c>
      <c r="P19">
        <f>IF(ISBLANK(F19),NA(),IF(F19&lt;0,F19/$I$15,NA()))</f>
        <v>-4.1660820205370236E-2</v>
      </c>
      <c r="Q19" t="e">
        <f>IF(ISBLANK(F19),NA(),IF(F19&gt;0,F19/$I$15,NA()))</f>
        <v>#N/A</v>
      </c>
    </row>
    <row r="20" spans="1:17" ht="15" customHeight="1" x14ac:dyDescent="0.35">
      <c r="A20" s="97" t="s">
        <v>114</v>
      </c>
      <c r="B20" s="94">
        <f>B15-SUM(B16:B18)</f>
        <v>7929</v>
      </c>
      <c r="C20" s="94">
        <f>C15-SUM(C16:C18)</f>
        <v>3266</v>
      </c>
      <c r="D20" s="94">
        <f>D15-SUM(D16:D18)</f>
        <v>10289</v>
      </c>
      <c r="E20" s="102">
        <f>D20-C20</f>
        <v>7023</v>
      </c>
      <c r="F20" s="102">
        <f>IF(C20&lt;=0,NA(),(D20-C20)/C20*100)</f>
        <v>215.03368034292714</v>
      </c>
      <c r="J20">
        <f>IF(ISBLANK(E20),NA(),E20/$H$15)</f>
        <v>1</v>
      </c>
      <c r="K20" t="str">
        <f>IF(ISBLANK(E20),"",TEXT(E20,"[&gt;0.5]+0;[&lt;-0.5]-0;0"))</f>
        <v>+7023</v>
      </c>
      <c r="L20">
        <f>IF(ISBLANK(E20),NA(),IF(E20&gt;0,E20/$H$15,NA()))</f>
        <v>1</v>
      </c>
      <c r="M20" t="e">
        <f>IF(ISBLANK(E20),NA(),IF(E20&lt;0,E20/$H$15,NA()))</f>
        <v>#N/A</v>
      </c>
      <c r="N20">
        <f>IF(ISBLANK(F20),NA(),F20/$I$15)</f>
        <v>1</v>
      </c>
      <c r="O20" t="str">
        <f>IF(ISBLANK(F20),"",TEXT(F20,"[&gt;0.05]+0.0""%"";[&lt;-0.05]-0.0""%"";0.0""%"""))</f>
        <v>+215.0%</v>
      </c>
      <c r="P20">
        <f>IF(ISBLANK(F20),NA(),IF(F20&gt;0,F20/$I$15,NA()))</f>
        <v>1</v>
      </c>
      <c r="Q20" t="e">
        <f>IF(ISBLANK(F20),NA(),IF(F20&lt;0,F20/$I$15,NA()))</f>
        <v>#N/A</v>
      </c>
    </row>
    <row r="21" spans="1:17" ht="15" customHeight="1" x14ac:dyDescent="0.35">
      <c r="A21" s="109" t="s">
        <v>463</v>
      </c>
      <c r="B21" s="110">
        <f>IF(B15=0,NA(),B16/B15*100)</f>
        <v>69.294764050339694</v>
      </c>
      <c r="C21" s="110">
        <f>IF(C15=0,NA(),C16/C15*100)</f>
        <v>74.677018405358737</v>
      </c>
      <c r="D21" s="110">
        <f>IF(D15=0,NA(),D16/D15*100)</f>
        <v>66.076829820844708</v>
      </c>
      <c r="E21" s="118">
        <f>D21-C21</f>
        <v>-8.6001885845140293</v>
      </c>
      <c r="F21" s="118">
        <f>IF(C21&lt;=0,NA(),(D21-C21)/C21*100)</f>
        <v>-11.516513069430326</v>
      </c>
      <c r="J21">
        <f>IF(ISBLANK(E21),NA(),E21/$H$15)</f>
        <v>-1.2245747664123637E-3</v>
      </c>
      <c r="K21" t="str">
        <f>IF(ISBLANK(E21),"",TEXT(E21,"[&gt;0.5]+0;[&lt;-0.5]-0;0"))</f>
        <v>-9</v>
      </c>
      <c r="L21" t="e">
        <f>IF(ISBLANK(E21),NA(),IF(E21&gt;0,E21/$H$15,NA()))</f>
        <v>#N/A</v>
      </c>
      <c r="M21">
        <f>IF(ISBLANK(E21),NA(),IF(E21&lt;0,E21/$H$15,NA()))</f>
        <v>-1.2245747664123637E-3</v>
      </c>
      <c r="N21">
        <f>IF(ISBLANK(F21),NA(),F21/$I$15)</f>
        <v>-5.3556787248696343E-2</v>
      </c>
      <c r="O21" t="str">
        <f>IF(ISBLANK(F21),"",TEXT(F21,"[&gt;0.05]+0.0""%"";[&lt;-0.05]-0.0""%"";0.0""%"""))</f>
        <v>-11.5%</v>
      </c>
      <c r="P21" t="e">
        <f>IF(ISBLANK(F21),NA(),IF(F21&gt;0,F21/$I$15,NA()))</f>
        <v>#N/A</v>
      </c>
      <c r="Q21">
        <f>IF(ISBLANK(F21),NA(),IF(F21&lt;0,F21/$I$15,NA()))</f>
        <v>-5.3556787248696343E-2</v>
      </c>
    </row>
    <row r="22" spans="1:17" ht="15" customHeight="1" x14ac:dyDescent="0.35">
      <c r="A22" s="113" t="s">
        <v>464</v>
      </c>
      <c r="B22" s="114">
        <f>IF(B15=0,NA(),B19/B15*100)</f>
        <v>88.800689275272248</v>
      </c>
      <c r="C22" s="114">
        <f>IF(C15=0,NA(),C19/C15*100)</f>
        <v>96.000538812897219</v>
      </c>
      <c r="D22" s="114">
        <f>IF(D15=0,NA(),D19/D15*100)</f>
        <v>87.400350228383189</v>
      </c>
      <c r="E22" s="119">
        <f>D22-C22</f>
        <v>-8.6001885845140293</v>
      </c>
      <c r="F22" s="119">
        <f>IF(C22&lt;=0,NA(),(D22-C22)/C22*100)</f>
        <v>-8.9584794948657471</v>
      </c>
      <c r="J22">
        <f>IF(ISBLANK(E22),NA(),E22/$H$15)</f>
        <v>-1.2245747664123637E-3</v>
      </c>
      <c r="K22" t="str">
        <f>IF(ISBLANK(E22),"",TEXT(E22,"[&gt;0.5]+0;[&lt;-0.5]-0;0"))</f>
        <v>-9</v>
      </c>
      <c r="L22" t="e">
        <f>IF(ISBLANK(E22),NA(),IF(E22&gt;0,E22/$H$15,NA()))</f>
        <v>#N/A</v>
      </c>
      <c r="M22">
        <f>IF(ISBLANK(E22),NA(),IF(E22&lt;0,E22/$H$15,NA()))</f>
        <v>-1.2245747664123637E-3</v>
      </c>
      <c r="N22">
        <f>IF(ISBLANK(F22),NA(),F22/$I$15)</f>
        <v>-4.166082020537025E-2</v>
      </c>
      <c r="O22" t="str">
        <f>IF(ISBLANK(F22),"",TEXT(F22,"[&gt;0.05]+0.0""%"";[&lt;-0.05]-0.0""%"";0.0""%"""))</f>
        <v>-9.0%</v>
      </c>
      <c r="P22" t="e">
        <f>IF(ISBLANK(F22),NA(),IF(F22&gt;0,F22/$I$15,NA()))</f>
        <v>#N/A</v>
      </c>
      <c r="Q22">
        <f>IF(ISBLANK(F22),NA(),IF(F22&lt;0,F22/$I$15,NA()))</f>
        <v>-4.166082020537025E-2</v>
      </c>
    </row>
    <row r="24" spans="1:17" ht="24" customHeight="1" x14ac:dyDescent="0.35">
      <c r="A24" s="40" t="s">
        <v>465</v>
      </c>
      <c r="B24" s="41"/>
      <c r="C24" s="41"/>
      <c r="D24" s="41"/>
      <c r="E24" s="41"/>
      <c r="F24" s="41"/>
      <c r="G24" s="41"/>
      <c r="H24" s="41"/>
      <c r="I24" s="41"/>
      <c r="J24" s="41"/>
      <c r="K24" s="41"/>
      <c r="L24" s="41"/>
      <c r="M24" s="41"/>
      <c r="N24" s="41"/>
      <c r="O24" s="41"/>
      <c r="P24" s="41"/>
      <c r="Q24" s="41"/>
    </row>
  </sheetData>
  <mergeCells count="1">
    <mergeCell ref="A24:Q24"/>
  </mergeCells>
  <printOptions horizontalCentered="1" verticalCentered="1"/>
  <pageMargins left="0.25" right="0.25" top="0.25" bottom="0.25" header="0.125" footer="0.125"/>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18</vt:i4>
      </vt:variant>
    </vt:vector>
  </HeadingPairs>
  <TitlesOfParts>
    <vt:vector size="37" baseType="lpstr">
      <vt:lpstr>Read me</vt:lpstr>
      <vt:lpstr>Sources</vt:lpstr>
      <vt:lpstr>C01A</vt:lpstr>
      <vt:lpstr>C02A</vt:lpstr>
      <vt:lpstr>C03A</vt:lpstr>
      <vt:lpstr>C04A</vt:lpstr>
      <vt:lpstr>C05X</vt:lpstr>
      <vt:lpstr>C06F</vt:lpstr>
      <vt:lpstr>C07C</vt:lpstr>
      <vt:lpstr>C08H</vt:lpstr>
      <vt:lpstr>C09C</vt:lpstr>
      <vt:lpstr>C10D</vt:lpstr>
      <vt:lpstr>C11A</vt:lpstr>
      <vt:lpstr>C12A</vt:lpstr>
      <vt:lpstr>C13D</vt:lpstr>
      <vt:lpstr>T01B</vt:lpstr>
      <vt:lpstr>T02A</vt:lpstr>
      <vt:lpstr>T03A</vt:lpstr>
      <vt:lpstr>T04A</vt:lpstr>
      <vt:lpstr>'C01A'!Print_Area</vt:lpstr>
      <vt:lpstr>'C02A'!Print_Area</vt:lpstr>
      <vt:lpstr>'C03A'!Print_Area</vt:lpstr>
      <vt:lpstr>'C04A'!Print_Area</vt:lpstr>
      <vt:lpstr>'C05X'!Print_Area</vt:lpstr>
      <vt:lpstr>'C06F'!Print_Area</vt:lpstr>
      <vt:lpstr>'C07C'!Print_Area</vt:lpstr>
      <vt:lpstr>'C08H'!Print_Area</vt:lpstr>
      <vt:lpstr>'C09C'!Print_Area</vt:lpstr>
      <vt:lpstr>'C10D'!Print_Area</vt:lpstr>
      <vt:lpstr>'C11A'!Print_Area</vt:lpstr>
      <vt:lpstr>'C12A'!Print_Area</vt:lpstr>
      <vt:lpstr>'C13D'!Print_Area</vt:lpstr>
      <vt:lpstr>'Read me'!Print_Area</vt:lpstr>
      <vt:lpstr>T01B!Print_Area</vt:lpstr>
      <vt:lpstr>T02A!Print_Area</vt:lpstr>
      <vt:lpstr>T03A!Print_Area</vt:lpstr>
      <vt:lpstr>T04A!Print_Area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 Phillips</dc:creator>
  <cp:lastModifiedBy>Wayne Phillips</cp:lastModifiedBy>
  <dcterms:created xsi:type="dcterms:W3CDTF">2026-08-21T09:07:13Z</dcterms:created>
  <dcterms:modified xsi:type="dcterms:W3CDTF">2026-08-21T09:09:52Z</dcterms:modified>
</cp:coreProperties>
</file>