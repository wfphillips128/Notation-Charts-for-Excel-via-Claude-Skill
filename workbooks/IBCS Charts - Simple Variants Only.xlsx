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b3tfqv4x\"/>
    </mc:Choice>
  </mc:AlternateContent>
  <xr:revisionPtr revIDLastSave="0" documentId="8_{689E4A8F-F9CE-4984-8DFF-97599189E46F}" xr6:coauthVersionLast="47" xr6:coauthVersionMax="47" xr10:uidLastSave="{00000000-0000-0000-0000-000000000000}"/>
  <bookViews>
    <workbookView xWindow="-110" yWindow="-110" windowWidth="38620" windowHeight="21100" xr2:uid="{280912EF-7CCC-4092-B7E3-6080E3339CC8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12A" sheetId="8" r:id="rId8"/>
  </sheets>
  <definedNames>
    <definedName name="_xlnm.Print_Area" localSheetId="1">'C01A'!$G$1:$L$69</definedName>
    <definedName name="_xlnm.Print_Area" localSheetId="2">'C02A'!$W$1:$AI$67</definedName>
    <definedName name="_xlnm.Print_Area" localSheetId="3">'C03A'!$AD$1:$AO$21</definedName>
    <definedName name="_xlnm.Print_Area" localSheetId="4">'C04A'!$Z$1:$AI$32</definedName>
    <definedName name="_xlnm.Print_Area" localSheetId="5">'C05X'!$AV$1:$BI$36</definedName>
    <definedName name="_xlnm.Print_Area" localSheetId="6">'C06F'!$AN$1:$BC$35</definedName>
    <definedName name="_xlnm.Print_Area" localSheetId="7">'C12A'!$AV$1:$BD$33</definedName>
    <definedName name="_xlnm.Print_Area" localSheetId="0">'Read me'!$A$2:$A$22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Y11" i="8" l="1"/>
  <c r="AF30" i="8" s="1"/>
  <c r="P30" i="8"/>
  <c r="O30" i="8"/>
  <c r="N30" i="8"/>
  <c r="M30" i="8"/>
  <c r="L30" i="8"/>
  <c r="K30" i="8"/>
  <c r="J30" i="8"/>
  <c r="I30" i="8"/>
  <c r="H30" i="8"/>
  <c r="G30" i="8"/>
  <c r="AT30" i="8"/>
  <c r="AS30" i="8"/>
  <c r="AR30" i="8"/>
  <c r="AQ30" i="8"/>
  <c r="AP30" i="8"/>
  <c r="AK30" i="8"/>
  <c r="AI30" i="8"/>
  <c r="AH30" i="8"/>
  <c r="AG30" i="8"/>
  <c r="AD30" i="8"/>
  <c r="AB30" i="8"/>
  <c r="X30" i="8"/>
  <c r="W30" i="8"/>
  <c r="V30" i="8"/>
  <c r="U30" i="8"/>
  <c r="T30" i="8"/>
  <c r="S30" i="8"/>
  <c r="R30" i="8"/>
  <c r="Q30" i="8"/>
  <c r="AU30" i="8"/>
  <c r="F30" i="8"/>
  <c r="E30" i="8"/>
  <c r="D30" i="8"/>
  <c r="C30" i="8"/>
  <c r="P29" i="8"/>
  <c r="O29" i="8"/>
  <c r="N29" i="8"/>
  <c r="M29" i="8"/>
  <c r="L29" i="8"/>
  <c r="K29" i="8"/>
  <c r="J29" i="8"/>
  <c r="I29" i="8"/>
  <c r="H29" i="8"/>
  <c r="G29" i="8"/>
  <c r="AT29" i="8"/>
  <c r="AS29" i="8"/>
  <c r="AR29" i="8"/>
  <c r="AQ29" i="8"/>
  <c r="AP29" i="8"/>
  <c r="AO29" i="8"/>
  <c r="AN29" i="8"/>
  <c r="AM29" i="8"/>
  <c r="AL29" i="8"/>
  <c r="AK29" i="8"/>
  <c r="AI29" i="8"/>
  <c r="AG29" i="8"/>
  <c r="AF29" i="8"/>
  <c r="AE29" i="8"/>
  <c r="AD29" i="8"/>
  <c r="AC29" i="8"/>
  <c r="AB29" i="8"/>
  <c r="X29" i="8"/>
  <c r="W29" i="8"/>
  <c r="V29" i="8"/>
  <c r="U29" i="8"/>
  <c r="T29" i="8"/>
  <c r="S29" i="8"/>
  <c r="R29" i="8"/>
  <c r="Q29" i="8"/>
  <c r="AU29" i="8"/>
  <c r="F29" i="8"/>
  <c r="E29" i="8"/>
  <c r="P28" i="8"/>
  <c r="O28" i="8"/>
  <c r="N28" i="8"/>
  <c r="M28" i="8"/>
  <c r="L28" i="8"/>
  <c r="K28" i="8"/>
  <c r="J28" i="8"/>
  <c r="I28" i="8"/>
  <c r="Z28" i="8" s="1"/>
  <c r="H28" i="8"/>
  <c r="G28" i="8"/>
  <c r="AT28" i="8"/>
  <c r="AS28" i="8"/>
  <c r="AR28" i="8"/>
  <c r="AQ28" i="8"/>
  <c r="AP28" i="8"/>
  <c r="AM28" i="8"/>
  <c r="AL28" i="8"/>
  <c r="AK28" i="8"/>
  <c r="AI28" i="8"/>
  <c r="AH28" i="8"/>
  <c r="AG28" i="8"/>
  <c r="AF28" i="8"/>
  <c r="AD28" i="8"/>
  <c r="AB28" i="8"/>
  <c r="X28" i="8"/>
  <c r="W28" i="8"/>
  <c r="V28" i="8"/>
  <c r="U28" i="8"/>
  <c r="T28" i="8"/>
  <c r="S28" i="8"/>
  <c r="R28" i="8"/>
  <c r="Q28" i="8"/>
  <c r="AU28" i="8"/>
  <c r="F28" i="8"/>
  <c r="E28" i="8"/>
  <c r="D28" i="8"/>
  <c r="C28" i="8"/>
  <c r="P27" i="8"/>
  <c r="O27" i="8"/>
  <c r="N27" i="8"/>
  <c r="M27" i="8"/>
  <c r="L27" i="8"/>
  <c r="K27" i="8"/>
  <c r="J27" i="8"/>
  <c r="I27" i="8"/>
  <c r="H27" i="8"/>
  <c r="G27" i="8"/>
  <c r="AT27" i="8"/>
  <c r="AS27" i="8"/>
  <c r="AR27" i="8"/>
  <c r="AQ27" i="8"/>
  <c r="AP27" i="8"/>
  <c r="AK27" i="8"/>
  <c r="AI27" i="8"/>
  <c r="AH27" i="8"/>
  <c r="AG27" i="8"/>
  <c r="AD27" i="8"/>
  <c r="AC27" i="8"/>
  <c r="AB27" i="8"/>
  <c r="AA27" i="8"/>
  <c r="X27" i="8"/>
  <c r="W27" i="8"/>
  <c r="V27" i="8"/>
  <c r="U27" i="8"/>
  <c r="T27" i="8"/>
  <c r="S27" i="8"/>
  <c r="R27" i="8"/>
  <c r="Q27" i="8"/>
  <c r="AU27" i="8"/>
  <c r="F27" i="8"/>
  <c r="E27" i="8"/>
  <c r="P26" i="8"/>
  <c r="O26" i="8"/>
  <c r="N26" i="8"/>
  <c r="M26" i="8"/>
  <c r="L26" i="8"/>
  <c r="K26" i="8"/>
  <c r="J26" i="8"/>
  <c r="I26" i="8"/>
  <c r="H26" i="8"/>
  <c r="G26" i="8"/>
  <c r="AT26" i="8"/>
  <c r="AS26" i="8"/>
  <c r="AR26" i="8"/>
  <c r="AQ26" i="8"/>
  <c r="AP26" i="8"/>
  <c r="AN26" i="8"/>
  <c r="AM26" i="8"/>
  <c r="AL26" i="8"/>
  <c r="AK26" i="8"/>
  <c r="AJ26" i="8"/>
  <c r="AI26" i="8"/>
  <c r="AG26" i="8"/>
  <c r="AD26" i="8"/>
  <c r="AB26" i="8"/>
  <c r="AA26" i="8"/>
  <c r="X26" i="8"/>
  <c r="W26" i="8"/>
  <c r="V26" i="8"/>
  <c r="U26" i="8"/>
  <c r="T26" i="8"/>
  <c r="S26" i="8"/>
  <c r="R26" i="8"/>
  <c r="Q26" i="8"/>
  <c r="AU26" i="8"/>
  <c r="F26" i="8"/>
  <c r="E26" i="8"/>
  <c r="D26" i="8"/>
  <c r="C26" i="8"/>
  <c r="P25" i="8"/>
  <c r="O25" i="8"/>
  <c r="N25" i="8"/>
  <c r="M25" i="8"/>
  <c r="L25" i="8"/>
  <c r="K25" i="8"/>
  <c r="J25" i="8"/>
  <c r="I25" i="8"/>
  <c r="H25" i="8"/>
  <c r="G25" i="8"/>
  <c r="AT25" i="8"/>
  <c r="AS25" i="8"/>
  <c r="AR25" i="8"/>
  <c r="AQ25" i="8"/>
  <c r="AP25" i="8"/>
  <c r="AO25" i="8"/>
  <c r="AK25" i="8"/>
  <c r="AJ25" i="8"/>
  <c r="AI25" i="8"/>
  <c r="AH25" i="8"/>
  <c r="AG25" i="8"/>
  <c r="AF25" i="8"/>
  <c r="AD25" i="8"/>
  <c r="AB25" i="8"/>
  <c r="X25" i="8"/>
  <c r="W25" i="8"/>
  <c r="V25" i="8"/>
  <c r="U25" i="8"/>
  <c r="T25" i="8"/>
  <c r="S25" i="8"/>
  <c r="R25" i="8"/>
  <c r="Q25" i="8"/>
  <c r="AU25" i="8"/>
  <c r="F25" i="8"/>
  <c r="E25" i="8"/>
  <c r="P24" i="8"/>
  <c r="O24" i="8"/>
  <c r="N24" i="8"/>
  <c r="M24" i="8"/>
  <c r="L24" i="8"/>
  <c r="K24" i="8"/>
  <c r="J24" i="8"/>
  <c r="I24" i="8"/>
  <c r="H24" i="8"/>
  <c r="G24" i="8"/>
  <c r="AT24" i="8"/>
  <c r="AS24" i="8"/>
  <c r="AR24" i="8"/>
  <c r="AQ24" i="8"/>
  <c r="AP24" i="8"/>
  <c r="AO24" i="8"/>
  <c r="AL24" i="8"/>
  <c r="AK24" i="8"/>
  <c r="AJ24" i="8"/>
  <c r="AI24" i="8"/>
  <c r="AG24" i="8"/>
  <c r="AD24" i="8"/>
  <c r="AC24" i="8"/>
  <c r="AB24" i="8"/>
  <c r="AA24" i="8"/>
  <c r="Z24" i="8"/>
  <c r="X24" i="8"/>
  <c r="W24" i="8"/>
  <c r="V24" i="8"/>
  <c r="U24" i="8"/>
  <c r="T24" i="8"/>
  <c r="S24" i="8"/>
  <c r="R24" i="8"/>
  <c r="Q24" i="8"/>
  <c r="AU24" i="8"/>
  <c r="F24" i="8"/>
  <c r="E24" i="8"/>
  <c r="P23" i="8"/>
  <c r="O23" i="8"/>
  <c r="N23" i="8"/>
  <c r="M23" i="8"/>
  <c r="L23" i="8"/>
  <c r="K23" i="8"/>
  <c r="J23" i="8"/>
  <c r="I23" i="8"/>
  <c r="H23" i="8"/>
  <c r="G23" i="8"/>
  <c r="AT23" i="8"/>
  <c r="AS23" i="8"/>
  <c r="AR23" i="8"/>
  <c r="AQ23" i="8"/>
  <c r="AP23" i="8"/>
  <c r="AK23" i="8"/>
  <c r="AJ23" i="8"/>
  <c r="AI23" i="8"/>
  <c r="AG23" i="8"/>
  <c r="AF23" i="8"/>
  <c r="AE23" i="8"/>
  <c r="AD23" i="8"/>
  <c r="AC23" i="8"/>
  <c r="AB23" i="8"/>
  <c r="X23" i="8"/>
  <c r="W23" i="8"/>
  <c r="V23" i="8"/>
  <c r="U23" i="8"/>
  <c r="T23" i="8"/>
  <c r="S23" i="8"/>
  <c r="R23" i="8"/>
  <c r="Q23" i="8"/>
  <c r="AU23" i="8"/>
  <c r="F23" i="8"/>
  <c r="E23" i="8"/>
  <c r="D23" i="8"/>
  <c r="C23" i="8"/>
  <c r="P22" i="8"/>
  <c r="O22" i="8"/>
  <c r="N22" i="8"/>
  <c r="M22" i="8"/>
  <c r="L22" i="8"/>
  <c r="K22" i="8"/>
  <c r="J22" i="8"/>
  <c r="I22" i="8"/>
  <c r="H22" i="8"/>
  <c r="G22" i="8"/>
  <c r="AT22" i="8"/>
  <c r="AS22" i="8"/>
  <c r="AR22" i="8"/>
  <c r="AQ22" i="8"/>
  <c r="AP22" i="8"/>
  <c r="AO22" i="8"/>
  <c r="AN22" i="8"/>
  <c r="AK22" i="8"/>
  <c r="AI22" i="8"/>
  <c r="AG22" i="8"/>
  <c r="AF22" i="8"/>
  <c r="AE22" i="8"/>
  <c r="AD22" i="8"/>
  <c r="AB22" i="8"/>
  <c r="AA22" i="8"/>
  <c r="Z22" i="8"/>
  <c r="X22" i="8"/>
  <c r="W22" i="8"/>
  <c r="V22" i="8"/>
  <c r="U22" i="8"/>
  <c r="T22" i="8"/>
  <c r="S22" i="8"/>
  <c r="R22" i="8"/>
  <c r="Q22" i="8"/>
  <c r="AU22" i="8"/>
  <c r="F22" i="8"/>
  <c r="E22" i="8"/>
  <c r="D22" i="8"/>
  <c r="C22" i="8"/>
  <c r="P21" i="8"/>
  <c r="O21" i="8"/>
  <c r="N21" i="8"/>
  <c r="M21" i="8"/>
  <c r="L21" i="8"/>
  <c r="K21" i="8"/>
  <c r="J21" i="8"/>
  <c r="I21" i="8"/>
  <c r="H21" i="8"/>
  <c r="G21" i="8"/>
  <c r="AT21" i="8"/>
  <c r="AS21" i="8"/>
  <c r="AR21" i="8"/>
  <c r="AQ21" i="8"/>
  <c r="AP21" i="8"/>
  <c r="AN21" i="8"/>
  <c r="AM21" i="8"/>
  <c r="AL21" i="8"/>
  <c r="AK21" i="8"/>
  <c r="AJ21" i="8"/>
  <c r="AI21" i="8"/>
  <c r="AG21" i="8"/>
  <c r="AD21" i="8"/>
  <c r="AB21" i="8"/>
  <c r="AA21" i="8"/>
  <c r="X21" i="8"/>
  <c r="W21" i="8"/>
  <c r="V21" i="8"/>
  <c r="U21" i="8"/>
  <c r="T21" i="8"/>
  <c r="S21" i="8"/>
  <c r="R21" i="8"/>
  <c r="Q21" i="8"/>
  <c r="AU21" i="8"/>
  <c r="F21" i="8"/>
  <c r="E21" i="8"/>
  <c r="P20" i="8"/>
  <c r="O20" i="8"/>
  <c r="N20" i="8"/>
  <c r="M20" i="8"/>
  <c r="L20" i="8"/>
  <c r="K20" i="8"/>
  <c r="J20" i="8"/>
  <c r="I20" i="8"/>
  <c r="H20" i="8"/>
  <c r="G20" i="8"/>
  <c r="AT20" i="8"/>
  <c r="AS20" i="8"/>
  <c r="AR20" i="8"/>
  <c r="AQ20" i="8"/>
  <c r="AP20" i="8"/>
  <c r="AO20" i="8"/>
  <c r="AN20" i="8"/>
  <c r="AM20" i="8"/>
  <c r="AK20" i="8"/>
  <c r="AI20" i="8"/>
  <c r="AH20" i="8"/>
  <c r="AG20" i="8"/>
  <c r="AF20" i="8"/>
  <c r="AE20" i="8"/>
  <c r="AD20" i="8"/>
  <c r="AB20" i="8"/>
  <c r="X20" i="8"/>
  <c r="W20" i="8"/>
  <c r="V20" i="8"/>
  <c r="U20" i="8"/>
  <c r="T20" i="8"/>
  <c r="S20" i="8"/>
  <c r="R20" i="8"/>
  <c r="Q20" i="8"/>
  <c r="AU20" i="8"/>
  <c r="F20" i="8"/>
  <c r="E20" i="8"/>
  <c r="P19" i="8"/>
  <c r="O19" i="8"/>
  <c r="N19" i="8"/>
  <c r="M19" i="8"/>
  <c r="L19" i="8"/>
  <c r="K19" i="8"/>
  <c r="J19" i="8"/>
  <c r="I19" i="8"/>
  <c r="H19" i="8"/>
  <c r="G19" i="8"/>
  <c r="AT19" i="8"/>
  <c r="AS19" i="8"/>
  <c r="AR19" i="8"/>
  <c r="AQ19" i="8"/>
  <c r="AP19" i="8"/>
  <c r="AN19" i="8"/>
  <c r="AM19" i="8"/>
  <c r="AK19" i="8"/>
  <c r="AJ19" i="8"/>
  <c r="AI19" i="8"/>
  <c r="AH19" i="8"/>
  <c r="AG19" i="8"/>
  <c r="AD19" i="8"/>
  <c r="AB19" i="8"/>
  <c r="AA19" i="8"/>
  <c r="Z19" i="8"/>
  <c r="X19" i="8"/>
  <c r="W19" i="8"/>
  <c r="V19" i="8"/>
  <c r="U19" i="8"/>
  <c r="T19" i="8"/>
  <c r="S19" i="8"/>
  <c r="R19" i="8"/>
  <c r="Q19" i="8"/>
  <c r="AU19" i="8"/>
  <c r="F19" i="8"/>
  <c r="E19" i="8"/>
  <c r="P18" i="8"/>
  <c r="O18" i="8"/>
  <c r="N18" i="8"/>
  <c r="M18" i="8"/>
  <c r="L18" i="8"/>
  <c r="K18" i="8"/>
  <c r="J18" i="8"/>
  <c r="I18" i="8"/>
  <c r="H18" i="8"/>
  <c r="G18" i="8"/>
  <c r="AT18" i="8"/>
  <c r="AS18" i="8"/>
  <c r="AR18" i="8"/>
  <c r="AQ18" i="8"/>
  <c r="AP18" i="8"/>
  <c r="AK18" i="8"/>
  <c r="AI18" i="8"/>
  <c r="AH18" i="8"/>
  <c r="AG18" i="8"/>
  <c r="AD18" i="8"/>
  <c r="AC18" i="8"/>
  <c r="AB18" i="8"/>
  <c r="AA18" i="8"/>
  <c r="Z18" i="8"/>
  <c r="X18" i="8"/>
  <c r="W18" i="8"/>
  <c r="V18" i="8"/>
  <c r="U18" i="8"/>
  <c r="T18" i="8"/>
  <c r="S18" i="8"/>
  <c r="R18" i="8"/>
  <c r="Q18" i="8"/>
  <c r="AU18" i="8"/>
  <c r="F18" i="8"/>
  <c r="E18" i="8"/>
  <c r="P17" i="8"/>
  <c r="O17" i="8"/>
  <c r="N17" i="8"/>
  <c r="M17" i="8"/>
  <c r="L17" i="8"/>
  <c r="K17" i="8"/>
  <c r="J17" i="8"/>
  <c r="I17" i="8"/>
  <c r="H17" i="8"/>
  <c r="G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G17" i="8"/>
  <c r="AD17" i="8"/>
  <c r="AB17" i="8"/>
  <c r="AA17" i="8"/>
  <c r="X17" i="8"/>
  <c r="W17" i="8"/>
  <c r="V17" i="8"/>
  <c r="U17" i="8"/>
  <c r="T17" i="8"/>
  <c r="S17" i="8"/>
  <c r="R17" i="8"/>
  <c r="Q17" i="8"/>
  <c r="AU17" i="8"/>
  <c r="F17" i="8"/>
  <c r="E17" i="8"/>
  <c r="P16" i="8"/>
  <c r="O16" i="8"/>
  <c r="N16" i="8"/>
  <c r="M16" i="8"/>
  <c r="L16" i="8"/>
  <c r="K16" i="8"/>
  <c r="J16" i="8"/>
  <c r="I16" i="8"/>
  <c r="H16" i="8"/>
  <c r="G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B16" i="8"/>
  <c r="X16" i="8"/>
  <c r="W16" i="8"/>
  <c r="V16" i="8"/>
  <c r="U16" i="8"/>
  <c r="T16" i="8"/>
  <c r="S16" i="8"/>
  <c r="R16" i="8"/>
  <c r="Q16" i="8"/>
  <c r="AU16" i="8"/>
  <c r="F16" i="8"/>
  <c r="E16" i="8"/>
  <c r="P15" i="8"/>
  <c r="O15" i="8"/>
  <c r="N15" i="8"/>
  <c r="M15" i="8"/>
  <c r="L15" i="8"/>
  <c r="K15" i="8"/>
  <c r="J15" i="8"/>
  <c r="I15" i="8"/>
  <c r="H15" i="8"/>
  <c r="G15" i="8"/>
  <c r="AT15" i="8"/>
  <c r="AS15" i="8"/>
  <c r="AR15" i="8"/>
  <c r="AQ15" i="8"/>
  <c r="AP15" i="8"/>
  <c r="AN15" i="8"/>
  <c r="AM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X15" i="8"/>
  <c r="W15" i="8"/>
  <c r="V15" i="8"/>
  <c r="U15" i="8"/>
  <c r="T15" i="8"/>
  <c r="S15" i="8"/>
  <c r="R15" i="8"/>
  <c r="Q15" i="8"/>
  <c r="AU15" i="8"/>
  <c r="F15" i="8"/>
  <c r="E15" i="8"/>
  <c r="D15" i="8"/>
  <c r="C15" i="8"/>
  <c r="P14" i="8"/>
  <c r="O14" i="8"/>
  <c r="N14" i="8"/>
  <c r="M14" i="8"/>
  <c r="L14" i="8"/>
  <c r="K14" i="8"/>
  <c r="J14" i="8"/>
  <c r="I14" i="8"/>
  <c r="H14" i="8"/>
  <c r="G14" i="8"/>
  <c r="AT14" i="8"/>
  <c r="AS14" i="8"/>
  <c r="AR14" i="8"/>
  <c r="AQ14" i="8"/>
  <c r="AP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X14" i="8"/>
  <c r="W14" i="8"/>
  <c r="V14" i="8"/>
  <c r="U14" i="8"/>
  <c r="T14" i="8"/>
  <c r="S14" i="8"/>
  <c r="R14" i="8"/>
  <c r="Q14" i="8"/>
  <c r="AU14" i="8"/>
  <c r="F14" i="8"/>
  <c r="E14" i="8"/>
  <c r="P13" i="8"/>
  <c r="O13" i="8"/>
  <c r="N13" i="8"/>
  <c r="M13" i="8"/>
  <c r="L13" i="8"/>
  <c r="K13" i="8"/>
  <c r="J13" i="8"/>
  <c r="I13" i="8"/>
  <c r="H13" i="8"/>
  <c r="G13" i="8"/>
  <c r="AT13" i="8"/>
  <c r="AS13" i="8"/>
  <c r="AR13" i="8"/>
  <c r="AQ13" i="8"/>
  <c r="AP13" i="8"/>
  <c r="AO13" i="8"/>
  <c r="AN13" i="8"/>
  <c r="AM13" i="8"/>
  <c r="AL13" i="8"/>
  <c r="AK13" i="8"/>
  <c r="AI13" i="8"/>
  <c r="AG13" i="8"/>
  <c r="AD13" i="8"/>
  <c r="AC13" i="8"/>
  <c r="AB13" i="8"/>
  <c r="Z13" i="8"/>
  <c r="X13" i="8"/>
  <c r="W13" i="8"/>
  <c r="V13" i="8"/>
  <c r="U13" i="8"/>
  <c r="T13" i="8"/>
  <c r="S13" i="8"/>
  <c r="R13" i="8"/>
  <c r="Q13" i="8"/>
  <c r="AU13" i="8"/>
  <c r="F13" i="8"/>
  <c r="E13" i="8"/>
  <c r="P12" i="8"/>
  <c r="O12" i="8"/>
  <c r="N12" i="8"/>
  <c r="M12" i="8"/>
  <c r="L12" i="8"/>
  <c r="K12" i="8"/>
  <c r="J12" i="8"/>
  <c r="I12" i="8"/>
  <c r="H12" i="8"/>
  <c r="G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D12" i="8"/>
  <c r="AB12" i="8"/>
  <c r="X12" i="8"/>
  <c r="W12" i="8"/>
  <c r="V12" i="8"/>
  <c r="U12" i="8"/>
  <c r="T12" i="8"/>
  <c r="S12" i="8"/>
  <c r="R12" i="8"/>
  <c r="Q12" i="8"/>
  <c r="AU12" i="8"/>
  <c r="F12" i="8"/>
  <c r="E12" i="8"/>
  <c r="P11" i="8"/>
  <c r="O11" i="8"/>
  <c r="N11" i="8"/>
  <c r="M11" i="8"/>
  <c r="L11" i="8"/>
  <c r="K11" i="8"/>
  <c r="J11" i="8"/>
  <c r="I11" i="8"/>
  <c r="H11" i="8"/>
  <c r="G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X11" i="8"/>
  <c r="W11" i="8"/>
  <c r="V11" i="8"/>
  <c r="U11" i="8"/>
  <c r="T11" i="8"/>
  <c r="S11" i="8"/>
  <c r="R11" i="8"/>
  <c r="Q11" i="8"/>
  <c r="AU11" i="8"/>
  <c r="F11" i="8"/>
  <c r="E11" i="8"/>
  <c r="B7" i="8"/>
  <c r="U11" i="7"/>
  <c r="AM15" i="7" s="1"/>
  <c r="T11" i="7"/>
  <c r="AE29" i="7" s="1"/>
  <c r="M30" i="7"/>
  <c r="N30" i="7"/>
  <c r="G30" i="7"/>
  <c r="Q30" i="7" s="1"/>
  <c r="O30" i="7"/>
  <c r="S30" i="7"/>
  <c r="R30" i="7"/>
  <c r="F30" i="7"/>
  <c r="L30" i="7"/>
  <c r="K30" i="7"/>
  <c r="J30" i="7"/>
  <c r="I30" i="7"/>
  <c r="H30" i="7"/>
  <c r="AM30" i="7"/>
  <c r="AL30" i="7"/>
  <c r="AK30" i="7"/>
  <c r="AJ30" i="7"/>
  <c r="AD30" i="7"/>
  <c r="AB30" i="7"/>
  <c r="Z30" i="7"/>
  <c r="W30" i="7"/>
  <c r="M29" i="7"/>
  <c r="N29" i="7"/>
  <c r="G29" i="7"/>
  <c r="O29" i="7"/>
  <c r="S29" i="7"/>
  <c r="R29" i="7"/>
  <c r="F29" i="7"/>
  <c r="Q29" i="7"/>
  <c r="P29" i="7"/>
  <c r="L29" i="7"/>
  <c r="K29" i="7"/>
  <c r="J29" i="7"/>
  <c r="I29" i="7"/>
  <c r="H29" i="7"/>
  <c r="AM29" i="7"/>
  <c r="AL29" i="7"/>
  <c r="AK29" i="7"/>
  <c r="AJ29" i="7"/>
  <c r="AI29" i="7"/>
  <c r="AG29" i="7"/>
  <c r="AD29" i="7"/>
  <c r="AB29" i="7"/>
  <c r="Z29" i="7"/>
  <c r="W29" i="7"/>
  <c r="G28" i="7"/>
  <c r="N28" i="7"/>
  <c r="M28" i="7"/>
  <c r="O28" i="7"/>
  <c r="S28" i="7"/>
  <c r="R28" i="7"/>
  <c r="F28" i="7"/>
  <c r="Q28" i="7"/>
  <c r="P28" i="7"/>
  <c r="L28" i="7"/>
  <c r="K28" i="7"/>
  <c r="J28" i="7"/>
  <c r="I28" i="7"/>
  <c r="H28" i="7"/>
  <c r="AM28" i="7"/>
  <c r="AL28" i="7"/>
  <c r="AK28" i="7"/>
  <c r="AJ28" i="7"/>
  <c r="AI28" i="7"/>
  <c r="AG28" i="7"/>
  <c r="AD28" i="7"/>
  <c r="AB28" i="7"/>
  <c r="Z28" i="7"/>
  <c r="W28" i="7"/>
  <c r="V28" i="7"/>
  <c r="D28" i="7"/>
  <c r="S27" i="7"/>
  <c r="R27" i="7"/>
  <c r="Q27" i="7"/>
  <c r="P27" i="7"/>
  <c r="O27" i="7"/>
  <c r="M27" i="7"/>
  <c r="N27" i="7"/>
  <c r="L27" i="7"/>
  <c r="K27" i="7"/>
  <c r="J27" i="7"/>
  <c r="I27" i="7"/>
  <c r="H27" i="7"/>
  <c r="G27" i="7"/>
  <c r="F27" i="7"/>
  <c r="AM27" i="7"/>
  <c r="AL27" i="7"/>
  <c r="AK27" i="7"/>
  <c r="AJ27" i="7"/>
  <c r="AI27" i="7"/>
  <c r="AG27" i="7"/>
  <c r="AD27" i="7"/>
  <c r="AB27" i="7"/>
  <c r="Z27" i="7"/>
  <c r="W27" i="7"/>
  <c r="S26" i="7"/>
  <c r="R26" i="7"/>
  <c r="Q26" i="7"/>
  <c r="P26" i="7"/>
  <c r="L26" i="7"/>
  <c r="K26" i="7"/>
  <c r="J26" i="7"/>
  <c r="I26" i="7"/>
  <c r="H26" i="7"/>
  <c r="G26" i="7"/>
  <c r="F26" i="7"/>
  <c r="AM26" i="7"/>
  <c r="AL26" i="7"/>
  <c r="AK26" i="7"/>
  <c r="AJ26" i="7"/>
  <c r="AI26" i="7"/>
  <c r="AG26" i="7"/>
  <c r="AD26" i="7"/>
  <c r="AB26" i="7"/>
  <c r="Z26" i="7"/>
  <c r="W26" i="7"/>
  <c r="S25" i="7"/>
  <c r="R25" i="7"/>
  <c r="Q25" i="7"/>
  <c r="P25" i="7"/>
  <c r="L25" i="7"/>
  <c r="K25" i="7"/>
  <c r="J25" i="7"/>
  <c r="I25" i="7"/>
  <c r="H25" i="7"/>
  <c r="G25" i="7"/>
  <c r="F25" i="7"/>
  <c r="AM25" i="7"/>
  <c r="AL25" i="7"/>
  <c r="AK25" i="7"/>
  <c r="AJ25" i="7"/>
  <c r="AI25" i="7"/>
  <c r="AG25" i="7"/>
  <c r="AD25" i="7"/>
  <c r="AB25" i="7"/>
  <c r="Z25" i="7"/>
  <c r="W25" i="7"/>
  <c r="S24" i="7"/>
  <c r="R24" i="7"/>
  <c r="Q24" i="7"/>
  <c r="P24" i="7"/>
  <c r="L24" i="7"/>
  <c r="K24" i="7"/>
  <c r="J24" i="7"/>
  <c r="I24" i="7"/>
  <c r="H24" i="7"/>
  <c r="G24" i="7"/>
  <c r="F24" i="7"/>
  <c r="AM24" i="7"/>
  <c r="AL24" i="7"/>
  <c r="AK24" i="7"/>
  <c r="AJ24" i="7"/>
  <c r="AI24" i="7"/>
  <c r="AG24" i="7"/>
  <c r="AD24" i="7"/>
  <c r="AB24" i="7"/>
  <c r="Z24" i="7"/>
  <c r="W24" i="7"/>
  <c r="S23" i="7"/>
  <c r="R23" i="7"/>
  <c r="Q23" i="7"/>
  <c r="P23" i="7"/>
  <c r="L23" i="7"/>
  <c r="K23" i="7"/>
  <c r="J23" i="7"/>
  <c r="I23" i="7"/>
  <c r="H23" i="7"/>
  <c r="G23" i="7"/>
  <c r="F23" i="7"/>
  <c r="AK23" i="7"/>
  <c r="AJ23" i="7"/>
  <c r="AI23" i="7"/>
  <c r="AG23" i="7"/>
  <c r="AD23" i="7"/>
  <c r="AB23" i="7"/>
  <c r="Z23" i="7"/>
  <c r="W23" i="7"/>
  <c r="S22" i="7"/>
  <c r="R22" i="7"/>
  <c r="Q22" i="7"/>
  <c r="P22" i="7"/>
  <c r="L22" i="7"/>
  <c r="K22" i="7"/>
  <c r="J22" i="7"/>
  <c r="I22" i="7"/>
  <c r="H22" i="7"/>
  <c r="G22" i="7"/>
  <c r="F22" i="7"/>
  <c r="AM22" i="7"/>
  <c r="AL22" i="7"/>
  <c r="AK22" i="7"/>
  <c r="AI22" i="7"/>
  <c r="AG22" i="7"/>
  <c r="AD22" i="7"/>
  <c r="AB22" i="7"/>
  <c r="Z22" i="7"/>
  <c r="W22" i="7"/>
  <c r="S21" i="7"/>
  <c r="R21" i="7"/>
  <c r="Q21" i="7"/>
  <c r="P21" i="7"/>
  <c r="L21" i="7"/>
  <c r="K21" i="7"/>
  <c r="J21" i="7"/>
  <c r="I21" i="7"/>
  <c r="H21" i="7"/>
  <c r="G21" i="7"/>
  <c r="F21" i="7"/>
  <c r="AM21" i="7"/>
  <c r="AL21" i="7"/>
  <c r="AK21" i="7"/>
  <c r="AJ21" i="7"/>
  <c r="AI21" i="7"/>
  <c r="AG21" i="7"/>
  <c r="AD21" i="7"/>
  <c r="AB21" i="7"/>
  <c r="Z21" i="7"/>
  <c r="W21" i="7"/>
  <c r="S20" i="7"/>
  <c r="R20" i="7"/>
  <c r="Q20" i="7"/>
  <c r="P20" i="7"/>
  <c r="L20" i="7"/>
  <c r="K20" i="7"/>
  <c r="J20" i="7"/>
  <c r="I20" i="7"/>
  <c r="H20" i="7"/>
  <c r="G20" i="7"/>
  <c r="F20" i="7"/>
  <c r="AM20" i="7"/>
  <c r="AL20" i="7"/>
  <c r="AK20" i="7"/>
  <c r="AJ20" i="7"/>
  <c r="AI20" i="7"/>
  <c r="AG20" i="7"/>
  <c r="AD20" i="7"/>
  <c r="AB20" i="7"/>
  <c r="Z20" i="7"/>
  <c r="W20" i="7"/>
  <c r="S19" i="7"/>
  <c r="R19" i="7"/>
  <c r="Q19" i="7"/>
  <c r="AI19" i="7" s="1"/>
  <c r="P19" i="7"/>
  <c r="L19" i="7"/>
  <c r="K19" i="7"/>
  <c r="J19" i="7"/>
  <c r="I19" i="7"/>
  <c r="H19" i="7"/>
  <c r="G19" i="7"/>
  <c r="F19" i="7"/>
  <c r="AM19" i="7"/>
  <c r="AL19" i="7"/>
  <c r="AK19" i="7"/>
  <c r="AJ19" i="7"/>
  <c r="AG19" i="7"/>
  <c r="AD19" i="7"/>
  <c r="AB19" i="7"/>
  <c r="Z19" i="7"/>
  <c r="W19" i="7"/>
  <c r="S18" i="7"/>
  <c r="R18" i="7"/>
  <c r="Q18" i="7"/>
  <c r="P18" i="7"/>
  <c r="L18" i="7"/>
  <c r="K18" i="7"/>
  <c r="J18" i="7"/>
  <c r="I18" i="7"/>
  <c r="H18" i="7"/>
  <c r="G18" i="7"/>
  <c r="F18" i="7"/>
  <c r="AM18" i="7"/>
  <c r="AL18" i="7"/>
  <c r="AK18" i="7"/>
  <c r="AJ18" i="7"/>
  <c r="AI18" i="7"/>
  <c r="AG18" i="7"/>
  <c r="AD18" i="7"/>
  <c r="AB18" i="7"/>
  <c r="Z18" i="7"/>
  <c r="W18" i="7"/>
  <c r="S17" i="7"/>
  <c r="R17" i="7"/>
  <c r="Q17" i="7"/>
  <c r="P17" i="7"/>
  <c r="L17" i="7"/>
  <c r="K17" i="7"/>
  <c r="J17" i="7"/>
  <c r="I17" i="7"/>
  <c r="H17" i="7"/>
  <c r="G17" i="7"/>
  <c r="F17" i="7"/>
  <c r="AM17" i="7"/>
  <c r="AL17" i="7"/>
  <c r="AK17" i="7"/>
  <c r="AJ17" i="7"/>
  <c r="AI17" i="7"/>
  <c r="AG17" i="7"/>
  <c r="AD17" i="7"/>
  <c r="AB17" i="7"/>
  <c r="Z17" i="7"/>
  <c r="W17" i="7"/>
  <c r="S16" i="7"/>
  <c r="R16" i="7"/>
  <c r="Q16" i="7"/>
  <c r="P16" i="7"/>
  <c r="L16" i="7"/>
  <c r="K16" i="7"/>
  <c r="J16" i="7"/>
  <c r="I16" i="7"/>
  <c r="H16" i="7"/>
  <c r="G16" i="7"/>
  <c r="F16" i="7"/>
  <c r="AL16" i="7"/>
  <c r="AK16" i="7"/>
  <c r="AJ16" i="7"/>
  <c r="AI16" i="7"/>
  <c r="AG16" i="7"/>
  <c r="AD16" i="7"/>
  <c r="AB16" i="7"/>
  <c r="Z16" i="7"/>
  <c r="W16" i="7"/>
  <c r="S15" i="7"/>
  <c r="R15" i="7"/>
  <c r="Q15" i="7"/>
  <c r="P15" i="7"/>
  <c r="L15" i="7"/>
  <c r="K15" i="7"/>
  <c r="J15" i="7"/>
  <c r="I15" i="7"/>
  <c r="H15" i="7"/>
  <c r="G15" i="7"/>
  <c r="F15" i="7"/>
  <c r="AK15" i="7"/>
  <c r="AI15" i="7"/>
  <c r="AG15" i="7"/>
  <c r="AD15" i="7"/>
  <c r="AB15" i="7"/>
  <c r="Z15" i="7"/>
  <c r="W15" i="7"/>
  <c r="S14" i="7"/>
  <c r="R14" i="7"/>
  <c r="Q14" i="7"/>
  <c r="P14" i="7"/>
  <c r="L14" i="7"/>
  <c r="K14" i="7"/>
  <c r="J14" i="7"/>
  <c r="I14" i="7"/>
  <c r="H14" i="7"/>
  <c r="G14" i="7"/>
  <c r="F14" i="7"/>
  <c r="AM14" i="7"/>
  <c r="AL14" i="7"/>
  <c r="AK14" i="7"/>
  <c r="AI14" i="7"/>
  <c r="AG14" i="7"/>
  <c r="AD14" i="7"/>
  <c r="AB14" i="7"/>
  <c r="Z14" i="7"/>
  <c r="W14" i="7"/>
  <c r="S13" i="7"/>
  <c r="R13" i="7"/>
  <c r="Q13" i="7"/>
  <c r="P13" i="7"/>
  <c r="L13" i="7"/>
  <c r="K13" i="7"/>
  <c r="J13" i="7"/>
  <c r="I13" i="7"/>
  <c r="H13" i="7"/>
  <c r="G13" i="7"/>
  <c r="F13" i="7"/>
  <c r="AM13" i="7"/>
  <c r="AL13" i="7"/>
  <c r="AK13" i="7"/>
  <c r="AJ13" i="7"/>
  <c r="AI13" i="7"/>
  <c r="AG13" i="7"/>
  <c r="AD13" i="7"/>
  <c r="AB13" i="7"/>
  <c r="Z13" i="7"/>
  <c r="W13" i="7"/>
  <c r="O12" i="7"/>
  <c r="S12" i="7"/>
  <c r="R12" i="7"/>
  <c r="F12" i="7"/>
  <c r="Q12" i="7"/>
  <c r="P12" i="7"/>
  <c r="L12" i="7"/>
  <c r="J12" i="7"/>
  <c r="I12" i="7"/>
  <c r="H12" i="7"/>
  <c r="AM12" i="7"/>
  <c r="AL12" i="7"/>
  <c r="AK12" i="7"/>
  <c r="AJ12" i="7"/>
  <c r="AI12" i="7"/>
  <c r="AG12" i="7"/>
  <c r="AD12" i="7"/>
  <c r="Z12" i="7"/>
  <c r="W12" i="7"/>
  <c r="D12" i="7"/>
  <c r="M12" i="7" s="1"/>
  <c r="N11" i="7"/>
  <c r="M11" i="7"/>
  <c r="O11" i="7"/>
  <c r="S11" i="7"/>
  <c r="R11" i="7"/>
  <c r="F11" i="7"/>
  <c r="Q11" i="7"/>
  <c r="P11" i="7"/>
  <c r="L11" i="7"/>
  <c r="K11" i="7"/>
  <c r="J11" i="7"/>
  <c r="I11" i="7"/>
  <c r="H11" i="7"/>
  <c r="AM11" i="7"/>
  <c r="AL11" i="7"/>
  <c r="AK11" i="7"/>
  <c r="AJ11" i="7"/>
  <c r="AI11" i="7"/>
  <c r="AG11" i="7"/>
  <c r="AD11" i="7"/>
  <c r="AB11" i="7"/>
  <c r="Z11" i="7"/>
  <c r="W11" i="7"/>
  <c r="B7" i="7"/>
  <c r="X11" i="6"/>
  <c r="AP27" i="6" s="1"/>
  <c r="W11" i="6"/>
  <c r="AE23" i="6" s="1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I27" i="6" s="1"/>
  <c r="K27" i="6"/>
  <c r="J27" i="6"/>
  <c r="I27" i="6"/>
  <c r="H27" i="6"/>
  <c r="Y27" i="6" s="1"/>
  <c r="V27" i="6"/>
  <c r="U27" i="6"/>
  <c r="AU27" i="6"/>
  <c r="AT27" i="6"/>
  <c r="AS27" i="6"/>
  <c r="AR27" i="6"/>
  <c r="AQ27" i="6"/>
  <c r="AO27" i="6"/>
  <c r="AM27" i="6"/>
  <c r="AL27" i="6"/>
  <c r="AG27" i="6"/>
  <c r="AF27" i="6"/>
  <c r="AE27" i="6"/>
  <c r="AD27" i="6"/>
  <c r="AC27" i="6"/>
  <c r="AB27" i="6"/>
  <c r="Z27" i="6"/>
  <c r="L26" i="6"/>
  <c r="E26" i="6"/>
  <c r="M26" i="6"/>
  <c r="N26" i="6"/>
  <c r="T26" i="6"/>
  <c r="S26" i="6"/>
  <c r="G26" i="6"/>
  <c r="F26" i="6"/>
  <c r="R26" i="6"/>
  <c r="Q26" i="6"/>
  <c r="P26" i="6"/>
  <c r="AK26" i="6" s="1"/>
  <c r="O26" i="6"/>
  <c r="AI26" i="6" s="1"/>
  <c r="K26" i="6"/>
  <c r="J26" i="6"/>
  <c r="I26" i="6"/>
  <c r="H26" i="6"/>
  <c r="V26" i="6"/>
  <c r="U26" i="6"/>
  <c r="AT26" i="6"/>
  <c r="AS26" i="6"/>
  <c r="AR26" i="6"/>
  <c r="AQ26" i="6"/>
  <c r="AP26" i="6"/>
  <c r="AO26" i="6"/>
  <c r="AN26" i="6"/>
  <c r="AM26" i="6"/>
  <c r="AL26" i="6"/>
  <c r="AG26" i="6"/>
  <c r="AF26" i="6"/>
  <c r="AE26" i="6"/>
  <c r="AD26" i="6"/>
  <c r="AC26" i="6"/>
  <c r="AB26" i="6"/>
  <c r="AA26" i="6"/>
  <c r="Z26" i="6"/>
  <c r="Y26" i="6"/>
  <c r="E25" i="6"/>
  <c r="G25" i="6" s="1"/>
  <c r="L25" i="6"/>
  <c r="M25" i="6"/>
  <c r="N25" i="6"/>
  <c r="F25" i="6"/>
  <c r="R25" i="6"/>
  <c r="Q25" i="6"/>
  <c r="P25" i="6"/>
  <c r="O25" i="6"/>
  <c r="K25" i="6"/>
  <c r="J25" i="6"/>
  <c r="AD25" i="6" s="1"/>
  <c r="I25" i="6"/>
  <c r="H25" i="6"/>
  <c r="Y25" i="6" s="1"/>
  <c r="AO25" i="6"/>
  <c r="AN25" i="6"/>
  <c r="AM25" i="6"/>
  <c r="AL25" i="6"/>
  <c r="AK25" i="6"/>
  <c r="AJ25" i="6"/>
  <c r="AI25" i="6"/>
  <c r="AH25" i="6"/>
  <c r="AG25" i="6"/>
  <c r="AF25" i="6"/>
  <c r="AE25" i="6"/>
  <c r="AB25" i="6"/>
  <c r="AA25" i="6"/>
  <c r="Z25" i="6"/>
  <c r="D25" i="6"/>
  <c r="V24" i="6"/>
  <c r="U24" i="6"/>
  <c r="T24" i="6"/>
  <c r="S24" i="6"/>
  <c r="R24" i="6"/>
  <c r="Q24" i="6"/>
  <c r="P24" i="6"/>
  <c r="O24" i="6"/>
  <c r="N24" i="6"/>
  <c r="L24" i="6"/>
  <c r="M24" i="6"/>
  <c r="K24" i="6"/>
  <c r="J24" i="6"/>
  <c r="I24" i="6"/>
  <c r="H24" i="6"/>
  <c r="Y24" i="6" s="1"/>
  <c r="G24" i="6"/>
  <c r="F24" i="6"/>
  <c r="AU24" i="6"/>
  <c r="AT24" i="6"/>
  <c r="AS24" i="6"/>
  <c r="AR24" i="6"/>
  <c r="AQ24" i="6"/>
  <c r="AO24" i="6"/>
  <c r="AN24" i="6"/>
  <c r="AM24" i="6"/>
  <c r="AL24" i="6"/>
  <c r="AK24" i="6"/>
  <c r="AJ24" i="6"/>
  <c r="AI24" i="6"/>
  <c r="AH24" i="6"/>
  <c r="AF24" i="6"/>
  <c r="AE24" i="6"/>
  <c r="AD24" i="6"/>
  <c r="AC24" i="6"/>
  <c r="AB24" i="6"/>
  <c r="AA24" i="6"/>
  <c r="Z24" i="6"/>
  <c r="V23" i="6"/>
  <c r="U23" i="6"/>
  <c r="T23" i="6"/>
  <c r="S23" i="6"/>
  <c r="R23" i="6"/>
  <c r="Q23" i="6"/>
  <c r="P23" i="6"/>
  <c r="O23" i="6"/>
  <c r="K23" i="6"/>
  <c r="J23" i="6"/>
  <c r="I23" i="6"/>
  <c r="H23" i="6"/>
  <c r="Y23" i="6" s="1"/>
  <c r="G23" i="6"/>
  <c r="F23" i="6"/>
  <c r="D12" i="6" s="1"/>
  <c r="L12" i="6" s="1"/>
  <c r="M12" i="6" s="1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F23" i="6"/>
  <c r="AD23" i="6"/>
  <c r="AC23" i="6"/>
  <c r="AB23" i="6"/>
  <c r="AA23" i="6"/>
  <c r="Z23" i="6"/>
  <c r="V22" i="6"/>
  <c r="U22" i="6"/>
  <c r="T22" i="6"/>
  <c r="S22" i="6"/>
  <c r="R22" i="6"/>
  <c r="Q22" i="6"/>
  <c r="P22" i="6"/>
  <c r="O22" i="6"/>
  <c r="K22" i="6"/>
  <c r="J22" i="6"/>
  <c r="I22" i="6"/>
  <c r="H22" i="6"/>
  <c r="Y22" i="6" s="1"/>
  <c r="G22" i="6"/>
  <c r="F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F22" i="6"/>
  <c r="AE22" i="6"/>
  <c r="AD22" i="6"/>
  <c r="AC22" i="6"/>
  <c r="AB22" i="6"/>
  <c r="AA22" i="6"/>
  <c r="Z22" i="6"/>
  <c r="V21" i="6"/>
  <c r="U21" i="6"/>
  <c r="T21" i="6"/>
  <c r="S21" i="6"/>
  <c r="R21" i="6"/>
  <c r="Q21" i="6"/>
  <c r="P21" i="6"/>
  <c r="O21" i="6"/>
  <c r="K21" i="6"/>
  <c r="J21" i="6"/>
  <c r="I21" i="6"/>
  <c r="H21" i="6"/>
  <c r="Y21" i="6" s="1"/>
  <c r="G21" i="6"/>
  <c r="F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F21" i="6"/>
  <c r="AE21" i="6"/>
  <c r="AD21" i="6"/>
  <c r="AC21" i="6"/>
  <c r="AB21" i="6"/>
  <c r="AA21" i="6"/>
  <c r="Z21" i="6"/>
  <c r="V20" i="6"/>
  <c r="U20" i="6"/>
  <c r="T20" i="6"/>
  <c r="S20" i="6"/>
  <c r="R20" i="6"/>
  <c r="Q20" i="6"/>
  <c r="P20" i="6"/>
  <c r="O20" i="6"/>
  <c r="K20" i="6"/>
  <c r="J20" i="6"/>
  <c r="I20" i="6"/>
  <c r="H20" i="6"/>
  <c r="Y20" i="6" s="1"/>
  <c r="G20" i="6"/>
  <c r="F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F20" i="6"/>
  <c r="AE20" i="6"/>
  <c r="AD20" i="6"/>
  <c r="AC20" i="6"/>
  <c r="AB20" i="6"/>
  <c r="AA20" i="6"/>
  <c r="Z20" i="6"/>
  <c r="V19" i="6"/>
  <c r="U19" i="6"/>
  <c r="T19" i="6"/>
  <c r="S19" i="6"/>
  <c r="R19" i="6"/>
  <c r="Q19" i="6"/>
  <c r="P19" i="6"/>
  <c r="O19" i="6"/>
  <c r="K19" i="6"/>
  <c r="J19" i="6"/>
  <c r="I19" i="6"/>
  <c r="H19" i="6"/>
  <c r="Y19" i="6" s="1"/>
  <c r="G19" i="6"/>
  <c r="F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F19" i="6"/>
  <c r="AE19" i="6"/>
  <c r="AD19" i="6"/>
  <c r="AC19" i="6"/>
  <c r="AB19" i="6"/>
  <c r="AA19" i="6"/>
  <c r="Z19" i="6"/>
  <c r="V18" i="6"/>
  <c r="U18" i="6"/>
  <c r="T18" i="6"/>
  <c r="S18" i="6"/>
  <c r="R18" i="6"/>
  <c r="Q18" i="6"/>
  <c r="P18" i="6"/>
  <c r="O18" i="6"/>
  <c r="K18" i="6"/>
  <c r="J18" i="6"/>
  <c r="I18" i="6"/>
  <c r="H18" i="6"/>
  <c r="Y18" i="6" s="1"/>
  <c r="G18" i="6"/>
  <c r="F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F18" i="6"/>
  <c r="AE18" i="6"/>
  <c r="AD18" i="6"/>
  <c r="AC18" i="6"/>
  <c r="AB18" i="6"/>
  <c r="AA18" i="6"/>
  <c r="Z18" i="6"/>
  <c r="V17" i="6"/>
  <c r="U17" i="6"/>
  <c r="T17" i="6"/>
  <c r="S17" i="6"/>
  <c r="R17" i="6"/>
  <c r="Q17" i="6"/>
  <c r="P17" i="6"/>
  <c r="O17" i="6"/>
  <c r="K17" i="6"/>
  <c r="J17" i="6"/>
  <c r="I17" i="6"/>
  <c r="H17" i="6"/>
  <c r="Y17" i="6" s="1"/>
  <c r="G17" i="6"/>
  <c r="F17" i="6"/>
  <c r="AS17" i="6"/>
  <c r="AQ17" i="6"/>
  <c r="AP17" i="6"/>
  <c r="AO17" i="6"/>
  <c r="AN17" i="6"/>
  <c r="AM17" i="6"/>
  <c r="AL17" i="6"/>
  <c r="AK17" i="6"/>
  <c r="AJ17" i="6"/>
  <c r="AI17" i="6"/>
  <c r="AH17" i="6"/>
  <c r="AF17" i="6"/>
  <c r="AE17" i="6"/>
  <c r="AD17" i="6"/>
  <c r="AC17" i="6"/>
  <c r="AB17" i="6"/>
  <c r="AA17" i="6"/>
  <c r="Z17" i="6"/>
  <c r="V16" i="6"/>
  <c r="U16" i="6"/>
  <c r="T16" i="6"/>
  <c r="S16" i="6"/>
  <c r="R16" i="6"/>
  <c r="Q16" i="6"/>
  <c r="P16" i="6"/>
  <c r="O16" i="6"/>
  <c r="K16" i="6"/>
  <c r="J16" i="6"/>
  <c r="I16" i="6"/>
  <c r="H16" i="6"/>
  <c r="G16" i="6"/>
  <c r="F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F16" i="6"/>
  <c r="AE16" i="6"/>
  <c r="AD16" i="6"/>
  <c r="AC16" i="6"/>
  <c r="AB16" i="6"/>
  <c r="AA16" i="6"/>
  <c r="Z16" i="6"/>
  <c r="Y16" i="6"/>
  <c r="V15" i="6"/>
  <c r="U15" i="6"/>
  <c r="T15" i="6"/>
  <c r="S15" i="6"/>
  <c r="R15" i="6"/>
  <c r="Q15" i="6"/>
  <c r="P15" i="6"/>
  <c r="O15" i="6"/>
  <c r="K15" i="6"/>
  <c r="J15" i="6"/>
  <c r="I15" i="6"/>
  <c r="H15" i="6"/>
  <c r="G15" i="6"/>
  <c r="F15" i="6"/>
  <c r="AU15" i="6"/>
  <c r="AS15" i="6"/>
  <c r="AQ15" i="6"/>
  <c r="AP15" i="6"/>
  <c r="AO15" i="6"/>
  <c r="AN15" i="6"/>
  <c r="AM15" i="6"/>
  <c r="AL15" i="6"/>
  <c r="AK15" i="6"/>
  <c r="AJ15" i="6"/>
  <c r="AI15" i="6"/>
  <c r="AH15" i="6"/>
  <c r="AF15" i="6"/>
  <c r="AE15" i="6"/>
  <c r="AD15" i="6"/>
  <c r="AC15" i="6"/>
  <c r="AB15" i="6"/>
  <c r="AA15" i="6"/>
  <c r="Z15" i="6"/>
  <c r="Y15" i="6"/>
  <c r="V14" i="6"/>
  <c r="U14" i="6"/>
  <c r="T14" i="6"/>
  <c r="S14" i="6"/>
  <c r="R14" i="6"/>
  <c r="Q14" i="6"/>
  <c r="P14" i="6"/>
  <c r="O14" i="6"/>
  <c r="K14" i="6"/>
  <c r="J14" i="6"/>
  <c r="I14" i="6"/>
  <c r="H14" i="6"/>
  <c r="Y14" i="6" s="1"/>
  <c r="G14" i="6"/>
  <c r="F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F14" i="6"/>
  <c r="AE14" i="6"/>
  <c r="AD14" i="6"/>
  <c r="AC14" i="6"/>
  <c r="AB14" i="6"/>
  <c r="AA14" i="6"/>
  <c r="Z14" i="6"/>
  <c r="V13" i="6"/>
  <c r="U13" i="6"/>
  <c r="T13" i="6"/>
  <c r="S13" i="6"/>
  <c r="R13" i="6"/>
  <c r="Q13" i="6"/>
  <c r="P13" i="6"/>
  <c r="O13" i="6"/>
  <c r="K13" i="6"/>
  <c r="J13" i="6"/>
  <c r="I13" i="6"/>
  <c r="H13" i="6"/>
  <c r="Y13" i="6" s="1"/>
  <c r="G13" i="6"/>
  <c r="F13" i="6"/>
  <c r="AU13" i="6"/>
  <c r="AT13" i="6"/>
  <c r="AS13" i="6"/>
  <c r="AQ13" i="6"/>
  <c r="AO13" i="6"/>
  <c r="AN13" i="6"/>
  <c r="AM13" i="6"/>
  <c r="AL13" i="6"/>
  <c r="AK13" i="6"/>
  <c r="AJ13" i="6"/>
  <c r="AI13" i="6"/>
  <c r="AH13" i="6"/>
  <c r="AF13" i="6"/>
  <c r="AE13" i="6"/>
  <c r="AD13" i="6"/>
  <c r="AC13" i="6"/>
  <c r="AB13" i="6"/>
  <c r="AA13" i="6"/>
  <c r="Z13" i="6"/>
  <c r="N12" i="6"/>
  <c r="T12" i="6"/>
  <c r="S12" i="6"/>
  <c r="G12" i="6"/>
  <c r="F12" i="6"/>
  <c r="R12" i="6"/>
  <c r="Q12" i="6"/>
  <c r="P12" i="6"/>
  <c r="O12" i="6"/>
  <c r="K12" i="6"/>
  <c r="J12" i="6"/>
  <c r="H12" i="6"/>
  <c r="V12" i="6"/>
  <c r="AU12" i="6" s="1"/>
  <c r="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Z12" i="6"/>
  <c r="Y12" i="6"/>
  <c r="L11" i="6"/>
  <c r="M11" i="6"/>
  <c r="N11" i="6"/>
  <c r="T11" i="6"/>
  <c r="S11" i="6"/>
  <c r="G11" i="6"/>
  <c r="F11" i="6"/>
  <c r="R11" i="6"/>
  <c r="Q11" i="6"/>
  <c r="P11" i="6"/>
  <c r="O11" i="6"/>
  <c r="K11" i="6"/>
  <c r="J11" i="6"/>
  <c r="I11" i="6"/>
  <c r="H11" i="6"/>
  <c r="V11" i="6"/>
  <c r="AU11" i="6" s="1"/>
  <c r="U11" i="6"/>
  <c r="AT11" i="6"/>
  <c r="AS11" i="6"/>
  <c r="AQ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B7" i="6"/>
  <c r="N11" i="5"/>
  <c r="Y26" i="5" s="1"/>
  <c r="M11" i="5"/>
  <c r="R23" i="5" s="1"/>
  <c r="W29" i="5"/>
  <c r="U29" i="5"/>
  <c r="T29" i="5"/>
  <c r="S29" i="5"/>
  <c r="Q29" i="5"/>
  <c r="P29" i="5"/>
  <c r="O29" i="5"/>
  <c r="L29" i="5"/>
  <c r="K29" i="5"/>
  <c r="J29" i="5"/>
  <c r="I29" i="5"/>
  <c r="H29" i="5"/>
  <c r="G29" i="5"/>
  <c r="F29" i="5"/>
  <c r="E29" i="5"/>
  <c r="W28" i="5"/>
  <c r="T28" i="5"/>
  <c r="S28" i="5"/>
  <c r="Q28" i="5"/>
  <c r="L28" i="5"/>
  <c r="K28" i="5"/>
  <c r="J28" i="5"/>
  <c r="I28" i="5"/>
  <c r="H28" i="5"/>
  <c r="G28" i="5"/>
  <c r="F28" i="5"/>
  <c r="E28" i="5"/>
  <c r="X27" i="5"/>
  <c r="W27" i="5"/>
  <c r="V27" i="5"/>
  <c r="S27" i="5"/>
  <c r="Q27" i="5"/>
  <c r="L27" i="5"/>
  <c r="K27" i="5"/>
  <c r="J27" i="5"/>
  <c r="I27" i="5"/>
  <c r="H27" i="5"/>
  <c r="G27" i="5"/>
  <c r="F27" i="5"/>
  <c r="E27" i="5"/>
  <c r="W26" i="5"/>
  <c r="S26" i="5"/>
  <c r="Q26" i="5"/>
  <c r="L26" i="5"/>
  <c r="K26" i="5"/>
  <c r="J26" i="5"/>
  <c r="I26" i="5"/>
  <c r="H26" i="5"/>
  <c r="G26" i="5"/>
  <c r="F26" i="5"/>
  <c r="E26" i="5"/>
  <c r="W25" i="5"/>
  <c r="S25" i="5"/>
  <c r="Q25" i="5"/>
  <c r="L25" i="5"/>
  <c r="K25" i="5"/>
  <c r="J25" i="5"/>
  <c r="I25" i="5"/>
  <c r="H25" i="5"/>
  <c r="G25" i="5"/>
  <c r="F25" i="5"/>
  <c r="E25" i="5"/>
  <c r="W24" i="5"/>
  <c r="S24" i="5"/>
  <c r="R24" i="5"/>
  <c r="Q24" i="5"/>
  <c r="L24" i="5"/>
  <c r="K24" i="5"/>
  <c r="J24" i="5"/>
  <c r="I24" i="5"/>
  <c r="H24" i="5"/>
  <c r="G24" i="5"/>
  <c r="F24" i="5"/>
  <c r="E24" i="5"/>
  <c r="W23" i="5"/>
  <c r="S23" i="5"/>
  <c r="Q23" i="5"/>
  <c r="L23" i="5"/>
  <c r="K23" i="5"/>
  <c r="J23" i="5"/>
  <c r="I23" i="5"/>
  <c r="H23" i="5"/>
  <c r="G23" i="5"/>
  <c r="F23" i="5"/>
  <c r="E23" i="5"/>
  <c r="X22" i="5"/>
  <c r="W22" i="5"/>
  <c r="V22" i="5"/>
  <c r="S22" i="5"/>
  <c r="Q22" i="5"/>
  <c r="L22" i="5"/>
  <c r="K22" i="5"/>
  <c r="J22" i="5"/>
  <c r="I22" i="5"/>
  <c r="H22" i="5"/>
  <c r="G22" i="5"/>
  <c r="F22" i="5"/>
  <c r="E22" i="5"/>
  <c r="W21" i="5"/>
  <c r="S21" i="5"/>
  <c r="Q21" i="5"/>
  <c r="L21" i="5"/>
  <c r="K21" i="5"/>
  <c r="J21" i="5"/>
  <c r="I21" i="5"/>
  <c r="H21" i="5"/>
  <c r="G21" i="5"/>
  <c r="F21" i="5"/>
  <c r="E21" i="5"/>
  <c r="Y20" i="5"/>
  <c r="W20" i="5"/>
  <c r="S20" i="5"/>
  <c r="Q20" i="5"/>
  <c r="L20" i="5"/>
  <c r="K20" i="5"/>
  <c r="J20" i="5"/>
  <c r="I20" i="5"/>
  <c r="H20" i="5"/>
  <c r="G20" i="5"/>
  <c r="F20" i="5"/>
  <c r="E20" i="5"/>
  <c r="W19" i="5"/>
  <c r="S19" i="5"/>
  <c r="Q19" i="5"/>
  <c r="L19" i="5"/>
  <c r="K19" i="5"/>
  <c r="J19" i="5"/>
  <c r="I19" i="5"/>
  <c r="H19" i="5"/>
  <c r="G19" i="5"/>
  <c r="F19" i="5"/>
  <c r="E19" i="5"/>
  <c r="W18" i="5"/>
  <c r="S18" i="5"/>
  <c r="Q18" i="5"/>
  <c r="L18" i="5"/>
  <c r="K18" i="5"/>
  <c r="J18" i="5"/>
  <c r="I18" i="5"/>
  <c r="H18" i="5"/>
  <c r="G18" i="5"/>
  <c r="F18" i="5"/>
  <c r="E18" i="5"/>
  <c r="W17" i="5"/>
  <c r="S17" i="5"/>
  <c r="Q17" i="5"/>
  <c r="L17" i="5"/>
  <c r="K17" i="5"/>
  <c r="J17" i="5"/>
  <c r="I17" i="5"/>
  <c r="H17" i="5"/>
  <c r="G17" i="5"/>
  <c r="F17" i="5"/>
  <c r="E17" i="5"/>
  <c r="W16" i="5"/>
  <c r="S16" i="5"/>
  <c r="Q16" i="5"/>
  <c r="L16" i="5"/>
  <c r="K16" i="5"/>
  <c r="J16" i="5"/>
  <c r="I16" i="5"/>
  <c r="H16" i="5"/>
  <c r="G16" i="5"/>
  <c r="F16" i="5"/>
  <c r="E16" i="5"/>
  <c r="Y15" i="5"/>
  <c r="X15" i="5"/>
  <c r="W15" i="5"/>
  <c r="S15" i="5"/>
  <c r="Q15" i="5"/>
  <c r="L15" i="5"/>
  <c r="K15" i="5"/>
  <c r="J15" i="5"/>
  <c r="I15" i="5"/>
  <c r="H15" i="5"/>
  <c r="G15" i="5"/>
  <c r="F15" i="5"/>
  <c r="E15" i="5"/>
  <c r="W14" i="5"/>
  <c r="S14" i="5"/>
  <c r="Q14" i="5"/>
  <c r="L14" i="5"/>
  <c r="K14" i="5"/>
  <c r="J14" i="5"/>
  <c r="I14" i="5"/>
  <c r="H14" i="5"/>
  <c r="G14" i="5"/>
  <c r="F14" i="5"/>
  <c r="E14" i="5"/>
  <c r="W13" i="5"/>
  <c r="S13" i="5"/>
  <c r="Q13" i="5"/>
  <c r="L13" i="5"/>
  <c r="K13" i="5"/>
  <c r="J13" i="5"/>
  <c r="I13" i="5"/>
  <c r="H13" i="5"/>
  <c r="G13" i="5"/>
  <c r="F13" i="5"/>
  <c r="E13" i="5"/>
  <c r="W12" i="5"/>
  <c r="S12" i="5"/>
  <c r="Q12" i="5"/>
  <c r="L12" i="5"/>
  <c r="K12" i="5"/>
  <c r="J12" i="5"/>
  <c r="I12" i="5"/>
  <c r="H12" i="5"/>
  <c r="G12" i="5"/>
  <c r="F12" i="5"/>
  <c r="E12" i="5"/>
  <c r="W11" i="5"/>
  <c r="S11" i="5"/>
  <c r="Q11" i="5"/>
  <c r="L11" i="5"/>
  <c r="K11" i="5"/>
  <c r="J11" i="5"/>
  <c r="I11" i="5"/>
  <c r="H11" i="5"/>
  <c r="G11" i="5"/>
  <c r="F11" i="5"/>
  <c r="E11" i="5"/>
  <c r="B7" i="5"/>
  <c r="P11" i="4"/>
  <c r="Z21" i="4" s="1"/>
  <c r="O11" i="4"/>
  <c r="W16" i="4" s="1"/>
  <c r="AA22" i="4"/>
  <c r="Y22" i="4"/>
  <c r="V22" i="4"/>
  <c r="U22" i="4"/>
  <c r="S22" i="4"/>
  <c r="Q22" i="4"/>
  <c r="N22" i="4"/>
  <c r="M22" i="4"/>
  <c r="L22" i="4"/>
  <c r="K22" i="4"/>
  <c r="J22" i="4"/>
  <c r="I22" i="4"/>
  <c r="H22" i="4"/>
  <c r="G22" i="4"/>
  <c r="F22" i="4"/>
  <c r="E22" i="4"/>
  <c r="AA21" i="4"/>
  <c r="Y21" i="4"/>
  <c r="U21" i="4"/>
  <c r="T21" i="4"/>
  <c r="S21" i="4"/>
  <c r="N21" i="4"/>
  <c r="M21" i="4"/>
  <c r="L21" i="4"/>
  <c r="K21" i="4"/>
  <c r="J21" i="4"/>
  <c r="I21" i="4"/>
  <c r="H21" i="4"/>
  <c r="G21" i="4"/>
  <c r="F21" i="4"/>
  <c r="E21" i="4"/>
  <c r="AA20" i="4"/>
  <c r="Y20" i="4"/>
  <c r="U20" i="4"/>
  <c r="S20" i="4"/>
  <c r="N20" i="4"/>
  <c r="M20" i="4"/>
  <c r="L20" i="4"/>
  <c r="K20" i="4"/>
  <c r="J20" i="4"/>
  <c r="I20" i="4"/>
  <c r="H20" i="4"/>
  <c r="G20" i="4"/>
  <c r="F20" i="4"/>
  <c r="E20" i="4"/>
  <c r="AA19" i="4"/>
  <c r="Y19" i="4"/>
  <c r="U19" i="4"/>
  <c r="S19" i="4"/>
  <c r="N19" i="4"/>
  <c r="M19" i="4"/>
  <c r="L19" i="4"/>
  <c r="K19" i="4"/>
  <c r="J19" i="4"/>
  <c r="I19" i="4"/>
  <c r="H19" i="4"/>
  <c r="G19" i="4"/>
  <c r="F19" i="4"/>
  <c r="E19" i="4"/>
  <c r="AA18" i="4"/>
  <c r="Y18" i="4"/>
  <c r="U18" i="4"/>
  <c r="S18" i="4"/>
  <c r="N18" i="4"/>
  <c r="M18" i="4"/>
  <c r="L18" i="4"/>
  <c r="K18" i="4"/>
  <c r="J18" i="4"/>
  <c r="I18" i="4"/>
  <c r="H18" i="4"/>
  <c r="G18" i="4"/>
  <c r="F18" i="4"/>
  <c r="E18" i="4"/>
  <c r="AA17" i="4"/>
  <c r="Y17" i="4"/>
  <c r="U17" i="4"/>
  <c r="S17" i="4"/>
  <c r="N17" i="4"/>
  <c r="M17" i="4"/>
  <c r="L17" i="4"/>
  <c r="K17" i="4"/>
  <c r="J17" i="4"/>
  <c r="I17" i="4"/>
  <c r="H17" i="4"/>
  <c r="G17" i="4"/>
  <c r="F17" i="4"/>
  <c r="E17" i="4"/>
  <c r="AA16" i="4"/>
  <c r="Y16" i="4"/>
  <c r="U16" i="4"/>
  <c r="S16" i="4"/>
  <c r="N16" i="4"/>
  <c r="M16" i="4"/>
  <c r="L16" i="4"/>
  <c r="K16" i="4"/>
  <c r="J16" i="4"/>
  <c r="I16" i="4"/>
  <c r="H16" i="4"/>
  <c r="G16" i="4"/>
  <c r="F16" i="4"/>
  <c r="E16" i="4"/>
  <c r="AA15" i="4"/>
  <c r="Y15" i="4"/>
  <c r="U15" i="4"/>
  <c r="S15" i="4"/>
  <c r="N15" i="4"/>
  <c r="M15" i="4"/>
  <c r="L15" i="4"/>
  <c r="K15" i="4"/>
  <c r="J15" i="4"/>
  <c r="I15" i="4"/>
  <c r="H15" i="4"/>
  <c r="G15" i="4"/>
  <c r="F15" i="4"/>
  <c r="E15" i="4"/>
  <c r="AA14" i="4"/>
  <c r="Y14" i="4"/>
  <c r="U14" i="4"/>
  <c r="S14" i="4"/>
  <c r="N14" i="4"/>
  <c r="M14" i="4"/>
  <c r="L14" i="4"/>
  <c r="K14" i="4"/>
  <c r="J14" i="4"/>
  <c r="I14" i="4"/>
  <c r="H14" i="4"/>
  <c r="G14" i="4"/>
  <c r="F14" i="4"/>
  <c r="E14" i="4"/>
  <c r="AA13" i="4"/>
  <c r="Y13" i="4"/>
  <c r="U13" i="4"/>
  <c r="S13" i="4"/>
  <c r="N13" i="4"/>
  <c r="M13" i="4"/>
  <c r="L13" i="4"/>
  <c r="K13" i="4"/>
  <c r="J13" i="4"/>
  <c r="I13" i="4"/>
  <c r="H13" i="4"/>
  <c r="G13" i="4"/>
  <c r="F13" i="4"/>
  <c r="E13" i="4"/>
  <c r="AA12" i="4"/>
  <c r="Y12" i="4"/>
  <c r="U12" i="4"/>
  <c r="S12" i="4"/>
  <c r="N12" i="4"/>
  <c r="M12" i="4"/>
  <c r="L12" i="4"/>
  <c r="K12" i="4"/>
  <c r="J12" i="4"/>
  <c r="I12" i="4"/>
  <c r="H12" i="4"/>
  <c r="G12" i="4"/>
  <c r="F12" i="4"/>
  <c r="E12" i="4"/>
  <c r="AA11" i="4"/>
  <c r="Y11" i="4"/>
  <c r="U11" i="4"/>
  <c r="S11" i="4"/>
  <c r="N11" i="4"/>
  <c r="M11" i="4"/>
  <c r="L11" i="4"/>
  <c r="K11" i="4"/>
  <c r="J11" i="4"/>
  <c r="I11" i="4"/>
  <c r="H11" i="4"/>
  <c r="G11" i="4"/>
  <c r="F11" i="4"/>
  <c r="E11" i="4"/>
  <c r="B7" i="4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B7" i="3"/>
  <c r="E53" i="2"/>
  <c r="E34" i="2"/>
  <c r="D53" i="2"/>
  <c r="D34" i="2"/>
  <c r="C53" i="2"/>
  <c r="C34" i="2"/>
  <c r="B53" i="2"/>
  <c r="B34" i="2"/>
  <c r="E52" i="2"/>
  <c r="E33" i="2"/>
  <c r="D52" i="2"/>
  <c r="D33" i="2"/>
  <c r="C52" i="2"/>
  <c r="C33" i="2"/>
  <c r="B52" i="2"/>
  <c r="B33" i="2"/>
  <c r="E51" i="2"/>
  <c r="E32" i="2"/>
  <c r="D51" i="2"/>
  <c r="D32" i="2"/>
  <c r="C51" i="2"/>
  <c r="C32" i="2"/>
  <c r="B51" i="2"/>
  <c r="B32" i="2"/>
  <c r="E50" i="2"/>
  <c r="E31" i="2"/>
  <c r="D50" i="2"/>
  <c r="D31" i="2"/>
  <c r="C50" i="2"/>
  <c r="C31" i="2"/>
  <c r="B50" i="2"/>
  <c r="B31" i="2"/>
  <c r="E49" i="2"/>
  <c r="E30" i="2"/>
  <c r="D49" i="2"/>
  <c r="D30" i="2"/>
  <c r="C49" i="2"/>
  <c r="C30" i="2"/>
  <c r="B49" i="2"/>
  <c r="B30" i="2"/>
  <c r="E48" i="2"/>
  <c r="E29" i="2"/>
  <c r="D48" i="2"/>
  <c r="D29" i="2"/>
  <c r="C48" i="2"/>
  <c r="C29" i="2"/>
  <c r="B48" i="2"/>
  <c r="B29" i="2"/>
  <c r="B17" i="2"/>
  <c r="E15" i="2"/>
  <c r="D15" i="2"/>
  <c r="C15" i="2"/>
  <c r="B15" i="2"/>
  <c r="B7" i="2"/>
  <c r="AJ30" i="8" l="1"/>
  <c r="AA28" i="8"/>
  <c r="AC19" i="8"/>
  <c r="AO21" i="8"/>
  <c r="AE24" i="8"/>
  <c r="AO26" i="8"/>
  <c r="AH29" i="8"/>
  <c r="AL30" i="8"/>
  <c r="AJ20" i="8"/>
  <c r="Z23" i="8"/>
  <c r="AF24" i="8"/>
  <c r="AL25" i="8"/>
  <c r="AC28" i="8"/>
  <c r="AM30" i="8"/>
  <c r="AE19" i="8"/>
  <c r="AA23" i="8"/>
  <c r="AM25" i="8"/>
  <c r="AJ29" i="8"/>
  <c r="AN30" i="8"/>
  <c r="AF19" i="8"/>
  <c r="AL20" i="8"/>
  <c r="AH24" i="8"/>
  <c r="AN25" i="8"/>
  <c r="Z27" i="8"/>
  <c r="AE28" i="8"/>
  <c r="AO30" i="8"/>
  <c r="AA13" i="8"/>
  <c r="AE18" i="8"/>
  <c r="AC22" i="8"/>
  <c r="AM24" i="8"/>
  <c r="AE27" i="8"/>
  <c r="AJ28" i="8"/>
  <c r="AL15" i="8"/>
  <c r="Z17" i="8"/>
  <c r="AF18" i="8"/>
  <c r="AL19" i="8"/>
  <c r="Z21" i="8"/>
  <c r="AH23" i="8"/>
  <c r="AN24" i="8"/>
  <c r="Z26" i="8"/>
  <c r="AF27" i="8"/>
  <c r="AE13" i="8"/>
  <c r="AO15" i="8"/>
  <c r="AC17" i="8"/>
  <c r="AO19" i="8"/>
  <c r="AC21" i="8"/>
  <c r="AC26" i="8"/>
  <c r="AN28" i="8"/>
  <c r="Z30" i="8"/>
  <c r="Z12" i="8"/>
  <c r="AF13" i="8"/>
  <c r="AL14" i="8"/>
  <c r="AJ18" i="8"/>
  <c r="AH22" i="8"/>
  <c r="AL23" i="8"/>
  <c r="Z25" i="8"/>
  <c r="AJ27" i="8"/>
  <c r="AO28" i="8"/>
  <c r="AA30" i="8"/>
  <c r="AA12" i="8"/>
  <c r="AM14" i="8"/>
  <c r="AE17" i="8"/>
  <c r="AE21" i="8"/>
  <c r="AM23" i="8"/>
  <c r="AA25" i="8"/>
  <c r="AE26" i="8"/>
  <c r="AH13" i="8"/>
  <c r="AN14" i="8"/>
  <c r="Z16" i="8"/>
  <c r="AF17" i="8"/>
  <c r="AL18" i="8"/>
  <c r="Z20" i="8"/>
  <c r="AF21" i="8"/>
  <c r="AJ22" i="8"/>
  <c r="AN23" i="8"/>
  <c r="AF26" i="8"/>
  <c r="AL27" i="8"/>
  <c r="AC30" i="8"/>
  <c r="AC12" i="8"/>
  <c r="AO14" i="8"/>
  <c r="AA16" i="8"/>
  <c r="AM18" i="8"/>
  <c r="AA20" i="8"/>
  <c r="AO23" i="8"/>
  <c r="AC25" i="8"/>
  <c r="AM27" i="8"/>
  <c r="Z29" i="8"/>
  <c r="AJ13" i="8"/>
  <c r="AH17" i="8"/>
  <c r="AN18" i="8"/>
  <c r="AH21" i="8"/>
  <c r="AL22" i="8"/>
  <c r="AH26" i="8"/>
  <c r="AN27" i="8"/>
  <c r="AA29" i="8"/>
  <c r="AE30" i="8"/>
  <c r="AE12" i="8"/>
  <c r="AC16" i="8"/>
  <c r="AO18" i="8"/>
  <c r="AC20" i="8"/>
  <c r="AM22" i="8"/>
  <c r="AE25" i="8"/>
  <c r="AO27" i="8"/>
  <c r="AJ15" i="7"/>
  <c r="AM16" i="7"/>
  <c r="AL23" i="7"/>
  <c r="AM23" i="7"/>
  <c r="AL15" i="7"/>
  <c r="AJ22" i="7"/>
  <c r="AJ14" i="7"/>
  <c r="Y30" i="7"/>
  <c r="AH29" i="7"/>
  <c r="AA30" i="7"/>
  <c r="Y17" i="7"/>
  <c r="X24" i="7"/>
  <c r="AC23" i="7"/>
  <c r="V25" i="7"/>
  <c r="AH16" i="7"/>
  <c r="AA18" i="7"/>
  <c r="AC20" i="7"/>
  <c r="AF29" i="7"/>
  <c r="AH13" i="7"/>
  <c r="AF20" i="7"/>
  <c r="V16" i="7"/>
  <c r="AF14" i="7"/>
  <c r="AA15" i="7"/>
  <c r="AH20" i="7"/>
  <c r="AC21" i="7"/>
  <c r="Y22" i="7"/>
  <c r="AH26" i="7"/>
  <c r="AC27" i="7"/>
  <c r="AA11" i="7"/>
  <c r="AH15" i="7"/>
  <c r="V18" i="7"/>
  <c r="AC11" i="7"/>
  <c r="AH22" i="7"/>
  <c r="V12" i="7"/>
  <c r="Y18" i="7"/>
  <c r="AF17" i="7"/>
  <c r="AA14" i="7"/>
  <c r="Y27" i="7"/>
  <c r="X30" i="7"/>
  <c r="AA21" i="7"/>
  <c r="X22" i="7"/>
  <c r="V11" i="7"/>
  <c r="X16" i="7"/>
  <c r="V23" i="7"/>
  <c r="AC30" i="7"/>
  <c r="AF22" i="7"/>
  <c r="AF16" i="7"/>
  <c r="AE11" i="7"/>
  <c r="AF23" i="7"/>
  <c r="Y12" i="7"/>
  <c r="AF19" i="7"/>
  <c r="AC26" i="7"/>
  <c r="V22" i="7"/>
  <c r="AC14" i="7"/>
  <c r="AA27" i="7"/>
  <c r="AC15" i="7"/>
  <c r="Y16" i="7"/>
  <c r="AA22" i="7"/>
  <c r="X11" i="7"/>
  <c r="V17" i="7"/>
  <c r="X23" i="7"/>
  <c r="AF27" i="7"/>
  <c r="AE30" i="7"/>
  <c r="X17" i="7"/>
  <c r="V24" i="7"/>
  <c r="AC16" i="7"/>
  <c r="AA17" i="7"/>
  <c r="X18" i="7"/>
  <c r="AC17" i="7"/>
  <c r="AF13" i="7"/>
  <c r="Y21" i="7"/>
  <c r="AH25" i="7"/>
  <c r="X15" i="7"/>
  <c r="Y15" i="7"/>
  <c r="AF26" i="7"/>
  <c r="AH14" i="7"/>
  <c r="AF21" i="7"/>
  <c r="AE27" i="7"/>
  <c r="Y11" i="7"/>
  <c r="AF15" i="7"/>
  <c r="AA16" i="7"/>
  <c r="AH21" i="7"/>
  <c r="AC22" i="7"/>
  <c r="Y23" i="7"/>
  <c r="X28" i="7"/>
  <c r="Y28" i="7"/>
  <c r="AA23" i="7"/>
  <c r="AA28" i="7"/>
  <c r="Y24" i="7"/>
  <c r="AC28" i="7"/>
  <c r="AA24" i="7"/>
  <c r="V29" i="7"/>
  <c r="AF11" i="7"/>
  <c r="X12" i="7"/>
  <c r="V13" i="7"/>
  <c r="V19" i="7"/>
  <c r="X25" i="7"/>
  <c r="AE28" i="7"/>
  <c r="X29" i="7"/>
  <c r="Y25" i="7"/>
  <c r="AH11" i="7"/>
  <c r="X13" i="7"/>
  <c r="X19" i="7"/>
  <c r="V20" i="7"/>
  <c r="V26" i="7"/>
  <c r="Y29" i="7"/>
  <c r="AH23" i="7"/>
  <c r="AC12" i="7"/>
  <c r="Y13" i="7"/>
  <c r="AH17" i="7"/>
  <c r="AC18" i="7"/>
  <c r="Y19" i="7"/>
  <c r="AF24" i="7"/>
  <c r="AA25" i="7"/>
  <c r="AH28" i="7"/>
  <c r="AH27" i="7"/>
  <c r="V14" i="7"/>
  <c r="X20" i="7"/>
  <c r="X26" i="7"/>
  <c r="AA29" i="7"/>
  <c r="AC24" i="7"/>
  <c r="AE12" i="7"/>
  <c r="AA13" i="7"/>
  <c r="AF18" i="7"/>
  <c r="AA19" i="7"/>
  <c r="Y20" i="7"/>
  <c r="AH24" i="7"/>
  <c r="AC25" i="7"/>
  <c r="Y26" i="7"/>
  <c r="AF12" i="7"/>
  <c r="X14" i="7"/>
  <c r="V21" i="7"/>
  <c r="V27" i="7"/>
  <c r="AC29" i="7"/>
  <c r="AC13" i="7"/>
  <c r="Y14" i="7"/>
  <c r="AH18" i="7"/>
  <c r="AC19" i="7"/>
  <c r="AA20" i="7"/>
  <c r="AF25" i="7"/>
  <c r="AA26" i="7"/>
  <c r="V30" i="7"/>
  <c r="AF28" i="7"/>
  <c r="AH12" i="7"/>
  <c r="V15" i="7"/>
  <c r="X21" i="7"/>
  <c r="X27" i="7"/>
  <c r="AI30" i="7"/>
  <c r="AH30" i="7"/>
  <c r="P30" i="7"/>
  <c r="AH19" i="7"/>
  <c r="N12" i="7"/>
  <c r="N13" i="7"/>
  <c r="K12" i="7"/>
  <c r="AP13" i="6"/>
  <c r="AR17" i="6"/>
  <c r="AT19" i="6"/>
  <c r="AU26" i="6"/>
  <c r="AR15" i="6"/>
  <c r="AU19" i="6"/>
  <c r="AR13" i="6"/>
  <c r="AT17" i="6"/>
  <c r="AP24" i="6"/>
  <c r="AP11" i="6"/>
  <c r="AR11" i="6"/>
  <c r="AT15" i="6"/>
  <c r="AU17" i="6"/>
  <c r="AG24" i="6"/>
  <c r="AA27" i="6"/>
  <c r="AN27" i="6"/>
  <c r="AH27" i="6"/>
  <c r="AJ27" i="6"/>
  <c r="AH26" i="6"/>
  <c r="AJ26" i="6"/>
  <c r="S25" i="6"/>
  <c r="T25" i="6"/>
  <c r="V25" i="6"/>
  <c r="AU25" i="6" s="1"/>
  <c r="U25" i="6"/>
  <c r="AT25" i="6" s="1"/>
  <c r="AC25" i="6"/>
  <c r="M13" i="6"/>
  <c r="L13" i="6" s="1"/>
  <c r="N13" i="6" s="1"/>
  <c r="AG13" i="6" s="1"/>
  <c r="I12" i="6"/>
  <c r="Y27" i="5"/>
  <c r="V12" i="5"/>
  <c r="Y28" i="5"/>
  <c r="X18" i="5"/>
  <c r="Y21" i="5"/>
  <c r="X16" i="5"/>
  <c r="V18" i="5"/>
  <c r="Y18" i="5"/>
  <c r="V25" i="5"/>
  <c r="V11" i="5"/>
  <c r="X28" i="5"/>
  <c r="X13" i="5"/>
  <c r="V20" i="5"/>
  <c r="V23" i="5"/>
  <c r="Y16" i="5"/>
  <c r="X11" i="5"/>
  <c r="Y23" i="5"/>
  <c r="V13" i="5"/>
  <c r="Y13" i="5"/>
  <c r="X25" i="5"/>
  <c r="V28" i="5"/>
  <c r="X23" i="5"/>
  <c r="Y11" i="5"/>
  <c r="V15" i="5"/>
  <c r="X20" i="5"/>
  <c r="Y25" i="5"/>
  <c r="Y22" i="5"/>
  <c r="X17" i="5"/>
  <c r="X24" i="5"/>
  <c r="V29" i="5"/>
  <c r="V17" i="5"/>
  <c r="Y17" i="5"/>
  <c r="V19" i="5"/>
  <c r="V14" i="5"/>
  <c r="Y19" i="5"/>
  <c r="V26" i="5"/>
  <c r="V24" i="5"/>
  <c r="Y12" i="5"/>
  <c r="X19" i="5"/>
  <c r="X14" i="5"/>
  <c r="V21" i="5"/>
  <c r="X29" i="5"/>
  <c r="X12" i="5"/>
  <c r="Y24" i="5"/>
  <c r="Y14" i="5"/>
  <c r="X26" i="5"/>
  <c r="Y29" i="5"/>
  <c r="V16" i="5"/>
  <c r="X21" i="5"/>
  <c r="P25" i="5"/>
  <c r="U16" i="5"/>
  <c r="R20" i="5"/>
  <c r="O24" i="5"/>
  <c r="T20" i="5"/>
  <c r="P19" i="5"/>
  <c r="R14" i="5"/>
  <c r="O17" i="5"/>
  <c r="T18" i="5"/>
  <c r="P22" i="5"/>
  <c r="U23" i="5"/>
  <c r="R16" i="5"/>
  <c r="O19" i="5"/>
  <c r="O14" i="5"/>
  <c r="T24" i="5"/>
  <c r="P18" i="5"/>
  <c r="P13" i="5"/>
  <c r="O27" i="5"/>
  <c r="R27" i="5"/>
  <c r="T21" i="5"/>
  <c r="T16" i="5"/>
  <c r="R15" i="5"/>
  <c r="R29" i="5"/>
  <c r="O18" i="5"/>
  <c r="O22" i="5"/>
  <c r="R22" i="5"/>
  <c r="T26" i="5"/>
  <c r="R11" i="5"/>
  <c r="O15" i="5"/>
  <c r="T25" i="5"/>
  <c r="U15" i="5"/>
  <c r="O28" i="5"/>
  <c r="P23" i="5"/>
  <c r="T23" i="5"/>
  <c r="T27" i="5"/>
  <c r="O25" i="5"/>
  <c r="O23" i="5"/>
  <c r="U19" i="5"/>
  <c r="U14" i="5"/>
  <c r="R18" i="5"/>
  <c r="U28" i="5"/>
  <c r="O12" i="5"/>
  <c r="R12" i="5"/>
  <c r="O21" i="5"/>
  <c r="T22" i="5"/>
  <c r="P26" i="5"/>
  <c r="U27" i="5"/>
  <c r="O20" i="5"/>
  <c r="P15" i="5"/>
  <c r="P27" i="5"/>
  <c r="P17" i="5"/>
  <c r="U13" i="5"/>
  <c r="O26" i="5"/>
  <c r="O16" i="5"/>
  <c r="T17" i="5"/>
  <c r="P21" i="5"/>
  <c r="U22" i="5"/>
  <c r="P20" i="5"/>
  <c r="T11" i="5"/>
  <c r="R25" i="5"/>
  <c r="U25" i="5"/>
  <c r="U20" i="5"/>
  <c r="P14" i="5"/>
  <c r="R19" i="5"/>
  <c r="P28" i="5"/>
  <c r="O13" i="5"/>
  <c r="U18" i="5"/>
  <c r="P12" i="5"/>
  <c r="O11" i="5"/>
  <c r="T12" i="5"/>
  <c r="P16" i="5"/>
  <c r="U17" i="5"/>
  <c r="R26" i="5"/>
  <c r="U26" i="5"/>
  <c r="U21" i="5"/>
  <c r="U11" i="5"/>
  <c r="T15" i="5"/>
  <c r="T19" i="5"/>
  <c r="T14" i="5"/>
  <c r="R13" i="5"/>
  <c r="T13" i="5"/>
  <c r="R17" i="5"/>
  <c r="P11" i="5"/>
  <c r="U12" i="5"/>
  <c r="R21" i="5"/>
  <c r="P24" i="5"/>
  <c r="U24" i="5"/>
  <c r="R28" i="5"/>
  <c r="AC21" i="4"/>
  <c r="AB13" i="4"/>
  <c r="Z20" i="4"/>
  <c r="Z16" i="4"/>
  <c r="AB16" i="4"/>
  <c r="AC17" i="4"/>
  <c r="X12" i="4"/>
  <c r="X20" i="4"/>
  <c r="AB12" i="4"/>
  <c r="AC12" i="4"/>
  <c r="AC16" i="4"/>
  <c r="AC20" i="4"/>
  <c r="AC13" i="4"/>
  <c r="AB21" i="4"/>
  <c r="X16" i="4"/>
  <c r="Z12" i="4"/>
  <c r="AB20" i="4"/>
  <c r="X11" i="4"/>
  <c r="X15" i="4"/>
  <c r="X19" i="4"/>
  <c r="Z11" i="4"/>
  <c r="Z19" i="4"/>
  <c r="AB11" i="4"/>
  <c r="AB15" i="4"/>
  <c r="AC11" i="4"/>
  <c r="AC15" i="4"/>
  <c r="AC19" i="4"/>
  <c r="AB17" i="4"/>
  <c r="Z15" i="4"/>
  <c r="AB19" i="4"/>
  <c r="X14" i="4"/>
  <c r="X18" i="4"/>
  <c r="Z22" i="4"/>
  <c r="Z14" i="4"/>
  <c r="AB18" i="4"/>
  <c r="AC18" i="4"/>
  <c r="X17" i="4"/>
  <c r="X21" i="4"/>
  <c r="AB22" i="4"/>
  <c r="Z18" i="4"/>
  <c r="X22" i="4"/>
  <c r="AB14" i="4"/>
  <c r="AC14" i="4"/>
  <c r="X13" i="4"/>
  <c r="Z13" i="4"/>
  <c r="Z17" i="4"/>
  <c r="AC22" i="4"/>
  <c r="Q17" i="4"/>
  <c r="T18" i="4"/>
  <c r="V13" i="4"/>
  <c r="T11" i="4"/>
  <c r="W13" i="4"/>
  <c r="R18" i="4"/>
  <c r="R16" i="4"/>
  <c r="R15" i="4"/>
  <c r="T12" i="4"/>
  <c r="W14" i="4"/>
  <c r="Q18" i="4"/>
  <c r="Q16" i="4"/>
  <c r="Q13" i="4"/>
  <c r="V14" i="4"/>
  <c r="W11" i="4"/>
  <c r="R17" i="4"/>
  <c r="Q15" i="4"/>
  <c r="Q14" i="4"/>
  <c r="W15" i="4"/>
  <c r="W12" i="4"/>
  <c r="T20" i="4"/>
  <c r="V11" i="4"/>
  <c r="R14" i="4"/>
  <c r="V12" i="4"/>
  <c r="R22" i="4"/>
  <c r="Q20" i="4"/>
  <c r="R21" i="4"/>
  <c r="Q21" i="4"/>
  <c r="Q19" i="4"/>
  <c r="R20" i="4"/>
  <c r="T22" i="4"/>
  <c r="T19" i="4"/>
  <c r="V21" i="4"/>
  <c r="W22" i="4"/>
  <c r="V20" i="4"/>
  <c r="W21" i="4"/>
  <c r="T17" i="4"/>
  <c r="V19" i="4"/>
  <c r="W20" i="4"/>
  <c r="T16" i="4"/>
  <c r="W19" i="4"/>
  <c r="R19" i="4"/>
  <c r="V18" i="4"/>
  <c r="Q12" i="4"/>
  <c r="R13" i="4"/>
  <c r="T15" i="4"/>
  <c r="V17" i="4"/>
  <c r="W18" i="4"/>
  <c r="Q11" i="4"/>
  <c r="R12" i="4"/>
  <c r="T14" i="4"/>
  <c r="V16" i="4"/>
  <c r="W17" i="4"/>
  <c r="R11" i="4"/>
  <c r="T13" i="4"/>
  <c r="V15" i="4"/>
  <c r="AG30" i="7" l="1"/>
  <c r="AF30" i="7"/>
  <c r="AB12" i="7"/>
  <c r="AA12" i="7"/>
  <c r="M13" i="7"/>
  <c r="N14" i="7" s="1"/>
  <c r="AS25" i="6"/>
  <c r="AR25" i="6"/>
  <c r="AQ25" i="6"/>
  <c r="AP25" i="6"/>
  <c r="M14" i="6"/>
  <c r="L14" i="6"/>
  <c r="M15" i="6" s="1"/>
  <c r="AA12" i="6"/>
  <c r="AB12" i="6"/>
  <c r="O13" i="7" l="1"/>
  <c r="AE13" i="7" s="1"/>
  <c r="M14" i="7"/>
  <c r="N15" i="7" s="1"/>
  <c r="O14" i="7"/>
  <c r="AE14" i="7" s="1"/>
  <c r="N14" i="6"/>
  <c r="AG14" i="6" s="1"/>
  <c r="L15" i="6"/>
  <c r="M16" i="6" s="1"/>
  <c r="M15" i="7" l="1"/>
  <c r="N15" i="6"/>
  <c r="AG15" i="6" s="1"/>
  <c r="L16" i="6"/>
  <c r="M17" i="6" s="1"/>
  <c r="O15" i="7" l="1"/>
  <c r="AE15" i="7" s="1"/>
  <c r="N16" i="7"/>
  <c r="L17" i="6"/>
  <c r="M18" i="6" s="1"/>
  <c r="N17" i="6"/>
  <c r="AG17" i="6" s="1"/>
  <c r="N16" i="6"/>
  <c r="AG16" i="6" s="1"/>
  <c r="M16" i="7" l="1"/>
  <c r="N17" i="7" s="1"/>
  <c r="O16" i="7"/>
  <c r="AE16" i="7" s="1"/>
  <c r="L18" i="6"/>
  <c r="M17" i="7" l="1"/>
  <c r="N18" i="7" s="1"/>
  <c r="O17" i="7"/>
  <c r="AE17" i="7" s="1"/>
  <c r="N18" i="6"/>
  <c r="AG18" i="6" s="1"/>
  <c r="M19" i="6"/>
  <c r="M18" i="7" l="1"/>
  <c r="N19" i="7" s="1"/>
  <c r="L19" i="6"/>
  <c r="O18" i="7" l="1"/>
  <c r="AE18" i="7" s="1"/>
  <c r="M19" i="7"/>
  <c r="N20" i="7" s="1"/>
  <c r="O19" i="7"/>
  <c r="AE19" i="7" s="1"/>
  <c r="N19" i="6"/>
  <c r="AG19" i="6" s="1"/>
  <c r="M20" i="6"/>
  <c r="M20" i="7" l="1"/>
  <c r="N21" i="7" s="1"/>
  <c r="L20" i="6"/>
  <c r="O20" i="7" l="1"/>
  <c r="AE20" i="7" s="1"/>
  <c r="M21" i="7"/>
  <c r="N22" i="7" s="1"/>
  <c r="O21" i="7"/>
  <c r="AE21" i="7" s="1"/>
  <c r="N20" i="6"/>
  <c r="AG20" i="6" s="1"/>
  <c r="M21" i="6"/>
  <c r="M22" i="7" l="1"/>
  <c r="N23" i="7" s="1"/>
  <c r="L21" i="6"/>
  <c r="O22" i="7" l="1"/>
  <c r="AE22" i="7" s="1"/>
  <c r="M23" i="7"/>
  <c r="N24" i="7" s="1"/>
  <c r="O23" i="7"/>
  <c r="AE23" i="7" s="1"/>
  <c r="N21" i="6"/>
  <c r="AG21" i="6" s="1"/>
  <c r="M22" i="6"/>
  <c r="M24" i="7" l="1"/>
  <c r="N25" i="7" s="1"/>
  <c r="L22" i="6"/>
  <c r="M25" i="7" l="1"/>
  <c r="O24" i="7"/>
  <c r="AE24" i="7" s="1"/>
  <c r="N22" i="6"/>
  <c r="AG22" i="6" s="1"/>
  <c r="M23" i="6"/>
  <c r="O25" i="7" l="1"/>
  <c r="AE25" i="7" s="1"/>
  <c r="N26" i="7"/>
  <c r="L23" i="6"/>
  <c r="N23" i="6" s="1"/>
  <c r="AG23" i="6" s="1"/>
  <c r="M26" i="7" l="1"/>
  <c r="O26" i="7"/>
  <c r="AE26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B0568BE9-C701-462F-BBC1-4FD3EAE3A1CD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0" authorId="0" shapeId="0" xr:uid="{93404ABC-002D-45AD-BAAA-B22AAB694C24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218249D5-A0CC-4D8C-8BEC-326583589FD5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0" authorId="0" shapeId="0" xr:uid="{18AD91D2-D191-42B6-9DCF-FC525B605B42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0" authorId="0" shapeId="0" xr:uid="{E3703D17-7CF0-44FD-A5E4-9CD4927643C4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0" authorId="0" shapeId="0" xr:uid="{89A7FF02-FD31-4320-A492-19D599050F0D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0" authorId="0" shapeId="0" xr:uid="{712F31F7-4168-4150-B8BE-762423E8AA87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0" authorId="0" shapeId="0" xr:uid="{F4815749-D0D5-413C-A206-90B43BDEC53F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0" authorId="0" shapeId="0" xr:uid="{D786E146-3774-4209-8C6B-63B71AF093B8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0" authorId="0" shapeId="0" xr:uid="{3A834A6A-6F15-4C8A-99EA-F6A2CA05F4A2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<sst xmlns="http://schemas.openxmlformats.org/spreadsheetml/2006/main" count="515" uniqueCount="260">
  <si>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</si>
  <si>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</si>
  <si>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</si>
  <si>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</si>
  <si>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</si>
  <si>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</si>
  <si>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</si>
  <si>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</si>
  <si>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This is the simple workbook.</t>
  </si>
  <si>
    <t>Each sheet draws the same data as the complex workbook reduced to its base tier: no variance tiers, no callouts, no highlight markers. Seven templates have a useful simple form and they are the ones here. A scattergram and a bubble chart have no tiers to drop; a line chart's tiers are all measures; and a table reduced to one column block is a list rather than a report.</t>
  </si>
  <si>
    <t>The data zone is identical to the complex workbook's, including the columns feeding tiers this sheet does not draw. That is deliberate - both workbooks are built from one set of numbers, so they cannot disagree with each other.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</si>
  <si>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</si>
  <si>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</si>
  <si>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</si>
  <si>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</si>
  <si>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</si>
  <si>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</si>
  <si>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</si>
  <si>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</si>
  <si>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</si>
  <si>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</si>
  <si>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</si>
  <si>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</si>
  <si>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</si>
  <si>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</si>
  <si>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</si>
  <si>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</si>
  <si>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</si>
  <si>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</si>
  <si>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Software</t>
  </si>
  <si>
    <t>Service</t>
  </si>
  <si>
    <t>Training</t>
  </si>
  <si>
    <t>Consulting</t>
  </si>
  <si>
    <t>Other</t>
  </si>
  <si>
    <t>Total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</si>
  <si>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</si>
  <si>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</si>
  <si>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</si>
  <si>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</si>
  <si>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</si>
  <si>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</si>
  <si>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</si>
  <si>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Germany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</si>
  <si>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</si>
  <si>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</si>
  <si>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</si>
  <si>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</si>
  <si>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</si>
  <si>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</si>
  <si>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</si>
  <si>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</si>
  <si>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</si>
  <si>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</si>
  <si>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</si>
  <si>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Rest of Europe</t>
  </si>
  <si>
    <t>USA</t>
  </si>
  <si>
    <t>Brazil</t>
  </si>
  <si>
    <t>Japan</t>
  </si>
  <si>
    <t>Canada</t>
  </si>
  <si>
    <t>Rest of world</t>
  </si>
  <si>
    <t>Direct</t>
  </si>
  <si>
    <t>Retail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</si>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</sst>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5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5" fillId="0" borderId="0" xfId="0" applyFont="1" applyAlignment="1">
      <alignment horizontal="left" wrapText="1"/>
    </xf>
    <xf numFmtId="49" fontId="0" fillId="0" borderId="0" xfId="0" applyNumberFormat="1"/>
    <xf numFmtId="49" fontId="0" fillId="0" borderId="0" xfId="0" applyNumberFormat="1" applyAlignment="1">
      <alignment horizontal="right"/>
    </xf>
    <xf numFmtId="164" fontId="0" fillId="2" borderId="0" xfId="0" applyNumberFormat="1" applyFill="1"/>
    <xf numFmtId="49" fontId="1" fillId="0" borderId="0" xfId="0" applyNumberFormat="1" applyFont="1"/>
    <xf numFmtId="164" fontId="1" fillId="0" borderId="0" xfId="0" applyNumberFormat="1" applyFont="1"/>
    <xf numFmtId="165" fontId="0" fillId="0" borderId="0" xfId="0" applyNumberFormat="1"/>
    <xf numFmtId="166" fontId="0" fillId="2" borderId="0" xfId="0" applyNumberFormat="1" applyFill="1"/>
    <xf numFmtId="166" fontId="1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wrapText="1"/>
    </xf>
    <xf numFmtId="49" fontId="3" fillId="2" borderId="0" xfId="0" applyNumberFormat="1" applyFont="1" applyFill="1" applyAlignment="1">
      <alignment horizontal="left" wrapText="1"/>
    </xf>
    <xf numFmtId="0" fontId="0" fillId="2" borderId="0" xfId="0" applyFill="1"/>
    <xf numFmtId="164" fontId="5" fillId="0" borderId="0" xfId="0" applyNumberFormat="1" applyFont="1"/>
    <xf numFmtId="167" fontId="5" fillId="0" borderId="0" xfId="0" applyNumberFormat="1" applyFont="1"/>
    <xf numFmtId="165" fontId="5" fillId="0" borderId="0" xfId="0" applyNumberFormat="1" applyFon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5" fillId="0" borderId="0" xfId="0" applyNumberFormat="1" applyFont="1"/>
    <xf numFmtId="168" fontId="5" fillId="0" borderId="0" xfId="0" applyNumberFormat="1" applyFont="1"/>
    <xf numFmtId="3" fontId="0" fillId="2" borderId="0" xfId="0" applyNumberFormat="1" applyFill="1"/>
    <xf numFmtId="3" fontId="5" fillId="2" borderId="0" xfId="0" applyNumberFormat="1" applyFont="1" applyFill="1"/>
    <xf numFmtId="169" fontId="0" fillId="2" borderId="0" xfId="0" applyNumberFormat="1" applyFill="1"/>
    <xf numFmtId="3" fontId="5" fillId="0" borderId="0" xfId="0" applyNumberFormat="1" applyFont="1"/>
    <xf numFmtId="167" fontId="0" fillId="2" borderId="0" xfId="0" applyNumberFormat="1" applyFill="1"/>
    <xf numFmtId="169" fontId="5" fillId="0" borderId="0" xfId="0" applyNumberFormat="1" applyFont="1"/>
    <xf numFmtId="49" fontId="0" fillId="0" borderId="0" xfId="0" applyNumberForma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'C01A'!$B$48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{982E7A4C-D915-488B-A494-968A3FCE8B54}</c15:txfldGUID>
                      <c15:f>'C01A'!$B$48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E524-499A-8F0D-2387D7025858}"/>
                </c:ext>
              </c:extLst>
            </c:dLbl>
            <c:dLbl>
              <c:idx val="1"/>
              <c:tx>
                <c:strRef>
                  <c:f>'C01A'!$C$48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{366F5AAF-2E43-4550-BF63-72BA778533F5}</c15:txfldGUID>
                      <c15:f>'C01A'!$C$48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E524-499A-8F0D-2387D7025858}"/>
                </c:ext>
              </c:extLst>
            </c:dLbl>
            <c:dLbl>
              <c:idx val="2"/>
              <c:tx>
                <c:strRef>
                  <c:f>'C01A'!$D$48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{726BBFE0-D6A6-421C-B1EA-C7DE7E53033C}</c15:txfldGUID>
                      <c15:f>'C01A'!$D$48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E524-499A-8F0D-2387D7025858}"/>
                </c:ext>
              </c:extLst>
            </c:dLbl>
            <c:dLbl>
              <c:idx val="3"/>
              <c:tx>
                <c:strRef>
                  <c:f>'C01A'!$E$48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{8879E8E0-4C09-4B4D-B64D-CFA83C4DC01A}</c15:txfldGUID>
                      <c15:f>'C01A'!$E$48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E524-499A-8F0D-2387D70258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'C01A'!$B$29:$E$29</c:f>
              <c:numCache>
                <c:formatCode>General</c:formatCode>
                <c:ptCount val="4"/>
                <c:pt idx="0">
                  <c:v>0.28557409224730129</c:v>
                </c:pt>
                <c:pt idx="1">
                  <c:v>0.31305201177625119</c:v>
                </c:pt>
                <c:pt idx="2">
                  <c:v>0.40039254170755639</c:v>
                </c:pt>
                <c:pt idx="3">
                  <c:v>0.39450441609421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24-499A-8F0D-2387D7025858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'C01A'!$B$49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{D4462AAB-8AF7-4A9B-9D50-943A69A7B27F}</c15:txfldGUID>
                      <c15:f>'C01A'!$B$49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E524-499A-8F0D-2387D7025858}"/>
                </c:ext>
              </c:extLst>
            </c:dLbl>
            <c:dLbl>
              <c:idx val="1"/>
              <c:tx>
                <c:strRef>
                  <c:f>'C01A'!$C$49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{55593A5A-DCAE-4B41-8EDA-759923CE39E6}</c15:txfldGUID>
                      <c15:f>'C01A'!$C$49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E524-499A-8F0D-2387D7025858}"/>
                </c:ext>
              </c:extLst>
            </c:dLbl>
            <c:dLbl>
              <c:idx val="2"/>
              <c:tx>
                <c:strRef>
                  <c:f>'C01A'!$D$49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{74005671-D749-4618-B2A6-D33CC2D57DA9}</c15:txfldGUID>
                      <c15:f>'C01A'!$D$49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E524-499A-8F0D-2387D7025858}"/>
                </c:ext>
              </c:extLst>
            </c:dLbl>
            <c:dLbl>
              <c:idx val="3"/>
              <c:tx>
                <c:strRef>
                  <c:f>'C01A'!$E$49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{C19ED87D-3E81-432C-BACB-12565D84C50C}</c15:txfldGUID>
                      <c15:f>'C01A'!$E$49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E524-499A-8F0D-2387D70258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'C01A'!$B$30:$E$30</c:f>
              <c:numCache>
                <c:formatCode>General</c:formatCode>
                <c:ptCount val="4"/>
                <c:pt idx="0">
                  <c:v>0.15701668302257113</c:v>
                </c:pt>
                <c:pt idx="1">
                  <c:v>0.18449460255152109</c:v>
                </c:pt>
                <c:pt idx="2">
                  <c:v>0.23748773307163884</c:v>
                </c:pt>
                <c:pt idx="3">
                  <c:v>0.2620215897939156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524-499A-8F0D-2387D7025858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{5F86F036-A2D0-485C-AE97-DDE7FA834593}</c15:txfldGUID>
                      <c15:f>'C01A'!$B$50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E524-499A-8F0D-2387D7025858}"/>
                </c:ext>
              </c:extLst>
            </c:dLbl>
            <c:dLbl>
              <c:idx val="1"/>
              <c:tx>
                <c:strRef>
                  <c:f>'C01A'!$C$50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{9E14505F-CD9A-4702-BDB4-75140BDB2153}</c15:txfldGUID>
                      <c15:f>'C01A'!$C$50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E524-499A-8F0D-2387D7025858}"/>
                </c:ext>
              </c:extLst>
            </c:dLbl>
            <c:dLbl>
              <c:idx val="2"/>
              <c:tx>
                <c:strRef>
                  <c:f>'C01A'!$D$50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{A62DADF6-FF4D-4D76-88E1-FA10CF762CEC}</c15:txfldGUID>
                      <c15:f>'C01A'!$D$50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E524-499A-8F0D-2387D7025858}"/>
                </c:ext>
              </c:extLst>
            </c:dLbl>
            <c:dLbl>
              <c:idx val="3"/>
              <c:tx>
                <c:strRef>
                  <c:f>'C01A'!$E$50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{957E440A-E9E9-4DEB-89F5-5CDD6A08EF16}</c15:txfldGUID>
                      <c15:f>'C01A'!$E$50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E524-499A-8F0D-2387D70258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'C01A'!$B$31:$E$31</c:f>
              <c:numCache>
                <c:formatCode>General</c:formatCode>
                <c:ptCount val="4"/>
                <c:pt idx="0">
                  <c:v>8.8321884200196262E-3</c:v>
                </c:pt>
                <c:pt idx="1">
                  <c:v>2.8459273797841019E-2</c:v>
                </c:pt>
                <c:pt idx="2">
                  <c:v>5.0049067713444549E-2</c:v>
                </c:pt>
                <c:pt idx="3">
                  <c:v>7.5564278704612367E-2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524-499A-8F0D-2387D7025858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{7D52CCF3-5F39-44F7-A1CE-ED750B10D1C1}</c15:txfldGUID>
                      <c15:f>'C01A'!$B$51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E524-499A-8F0D-2387D7025858}"/>
                </c:ext>
              </c:extLst>
            </c:dLbl>
            <c:dLbl>
              <c:idx val="1"/>
              <c:tx>
                <c:strRef>
                  <c:f>'C01A'!$C$51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{C75144D1-505F-4A54-A871-E1FA37EB658A}</c15:txfldGUID>
                      <c15:f>'C01A'!$C$51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E524-499A-8F0D-2387D7025858}"/>
                </c:ext>
              </c:extLst>
            </c:dLbl>
            <c:dLbl>
              <c:idx val="2"/>
              <c:tx>
                <c:strRef>
                  <c:f>'C01A'!$D$51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{82D75DA2-32C9-4E85-89EF-5DCBF2F6F5CF}</c15:txfldGUID>
                      <c15:f>'C01A'!$D$51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E524-499A-8F0D-2387D7025858}"/>
                </c:ext>
              </c:extLst>
            </c:dLbl>
            <c:dLbl>
              <c:idx val="3"/>
              <c:tx>
                <c:strRef>
                  <c:f>'C01A'!$E$51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{28D9C5F4-F636-4462-A080-735BBF90CCCD}</c15:txfldGUID>
                      <c15:f>'C01A'!$E$51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E524-499A-8F0D-2387D70258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'C01A'!$B$32:$E$32</c:f>
              <c:numCache>
                <c:formatCode>General</c:formatCode>
                <c:ptCount val="4"/>
                <c:pt idx="0">
                  <c:v>0.21982335623159957</c:v>
                </c:pt>
                <c:pt idx="1">
                  <c:v>0.21982335623159957</c:v>
                </c:pt>
                <c:pt idx="2">
                  <c:v>0.24828263002944062</c:v>
                </c:pt>
                <c:pt idx="3">
                  <c:v>0.21982335623159957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524-499A-8F0D-2387D7025858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{D83A7A36-F842-4EB7-AAD5-FF100204A413}</c15:txfldGUID>
                      <c15:f>'C01A'!$B$52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E524-499A-8F0D-2387D7025858}"/>
                </c:ext>
              </c:extLst>
            </c:dLbl>
            <c:dLbl>
              <c:idx val="1"/>
              <c:tx>
                <c:strRef>
                  <c:f>'C01A'!$C$52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{102755B4-56DF-45A2-9582-B32F44A641B3}</c15:txfldGUID>
                      <c15:f>'C01A'!$C$52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E524-499A-8F0D-2387D7025858}"/>
                </c:ext>
              </c:extLst>
            </c:dLbl>
            <c:dLbl>
              <c:idx val="2"/>
              <c:tx>
                <c:strRef>
                  <c:f>'C01A'!$D$52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{F3601E96-379E-4437-86CE-97768A5000D0}</c15:txfldGUID>
                      <c15:f>'C01A'!$D$52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E524-499A-8F0D-2387D7025858}"/>
                </c:ext>
              </c:extLst>
            </c:dLbl>
            <c:dLbl>
              <c:idx val="3"/>
              <c:tx>
                <c:strRef>
                  <c:f>'C01A'!$E$52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{D6027822-4491-492A-AAC8-C720937370A6}</c15:txfldGUID>
                      <c15:f>'C01A'!$E$52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E524-499A-8F0D-2387D70258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'C01A'!$B$33:$E$33</c:f>
              <c:numCache>
                <c:formatCode>General</c:formatCode>
                <c:ptCount val="4"/>
                <c:pt idx="0">
                  <c:v>6.3788027477919521E-2</c:v>
                </c:pt>
                <c:pt idx="1">
                  <c:v>3.8272816486751716E-2</c:v>
                </c:pt>
                <c:pt idx="2">
                  <c:v>5.1030421982335622E-2</c:v>
                </c:pt>
                <c:pt idx="3">
                  <c:v>4.8086359175662417E-2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524-499A-8F0D-2387D7025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206626191"/>
        <c:axId val="1199089935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'C01A'!$B$53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{B9E65972-47B2-4FB2-BACF-404163255F70}</c15:txfldGUID>
                      <c15:f>'C01A'!$B$53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E524-499A-8F0D-2387D7025858}"/>
                </c:ext>
              </c:extLst>
            </c:dLbl>
            <c:dLbl>
              <c:idx val="1"/>
              <c:tx>
                <c:strRef>
                  <c:f>'C01A'!$C$53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{6B3285B0-CF52-4E77-B34F-A1BDCC5AB3B8}</c15:txfldGUID>
                      <c15:f>'C01A'!$C$53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E524-499A-8F0D-2387D7025858}"/>
                </c:ext>
              </c:extLst>
            </c:dLbl>
            <c:dLbl>
              <c:idx val="2"/>
              <c:tx>
                <c:strRef>
                  <c:f>'C01A'!$D$53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{4A452DD7-857E-42A4-B9D8-CA3E3296878A}</c15:txfldGUID>
                      <c15:f>'C01A'!$D$53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E524-499A-8F0D-2387D7025858}"/>
                </c:ext>
              </c:extLst>
            </c:dLbl>
            <c:dLbl>
              <c:idx val="3"/>
              <c:tx>
                <c:strRef>
                  <c:f>'C01A'!$E$53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{AC775ADA-877D-4F4C-A5A9-DEC1938CA478}</c15:txfldGUID>
                      <c15:f>'C01A'!$E$53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E524-499A-8F0D-2387D7025858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'C01A'!$B$9:$E$9</c:f>
              <c:strCache>
                <c:ptCount val="4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</c:strCache>
            </c:strRef>
          </c:cat>
          <c:val>
            <c:numRef>
              <c:f>'C01A'!$B$34:$E$34</c:f>
              <c:numCache>
                <c:formatCode>General</c:formatCode>
                <c:ptCount val="4"/>
                <c:pt idx="0">
                  <c:v>0.7350343473994112</c:v>
                </c:pt>
                <c:pt idx="1">
                  <c:v>0.78410206084396472</c:v>
                </c:pt>
                <c:pt idx="2">
                  <c:v>0.98724239450441598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524-499A-8F0D-2387D7025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626191"/>
        <c:axId val="1199089935"/>
      </c:lineChart>
      <c:catAx>
        <c:axId val="120662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199089935"/>
        <c:crosses val="autoZero"/>
        <c:auto val="1"/>
        <c:lblAlgn val="ctr"/>
        <c:lblOffset val="100"/>
        <c:noMultiLvlLbl val="0"/>
      </c:catAx>
      <c:valAx>
        <c:axId val="1199089935"/>
        <c:scaling>
          <c:orientation val="minMax"/>
          <c:max val="1.1776251226692835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206626191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{7942E9AA-909D-4567-8C32-992EDC2BABC9}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3552-487A-9688-B54672F5703D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{628C51F7-F0ED-4C3A-9097-D3C684F31590}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3552-487A-9688-B54672F5703D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{DB6FD3FD-FAD4-45F4-8599-036F7E73CFE5}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552-487A-9688-B54672F5703D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{2D3D0A89-A502-4181-95A7-589E81B12A2C}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552-487A-9688-B54672F5703D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{5068E22B-3206-4DF2-9EAF-3E5F776BEC63}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552-487A-9688-B54672F5703D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{F840F54F-7915-4EE9-83A9-07C3010BD0F0}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552-487A-9688-B54672F5703D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{29FDE009-BA75-49DE-908D-A255DEBC82CD}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552-487A-9688-B54672F5703D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{0C82C74A-5100-4E23-A8BC-43CBA49A0FE4}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552-487A-9688-B54672F5703D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{3D0915E7-0BFE-4024-AD55-2CBF7572FC7B}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552-487A-9688-B54672F5703D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{C2ABD8F3-693F-4B76-A215-6EF7DE8B2D08}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552-487A-9688-B54672F5703D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{7110FB26-0BCE-4F0D-BAD7-467AD102C659}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552-487A-9688-B54672F5703D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{E3439AAE-2D2E-44D1-B963-133203CA5D0F}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552-487A-9688-B54672F5703D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{A47183B4-9B3D-45FE-922B-4459B4CA13FC}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552-487A-9688-B54672F5703D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{4D0E9EDB-86E6-4617-ABF0-507158B7267A}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552-487A-9688-B54672F5703D}"/>
                </c:ext>
              </c:extLst>
            </c:dLbl>
            <c:dLbl>
              <c:idx val="14"/>
              <c:tx>
                <c:strRef>
                  <c:f>'C02A'!$P$44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{9D275C58-79BC-46A5-8520-A6FC2DECF4DD}</c15:txfldGUID>
                      <c15:f>'C02A'!$P$44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552-487A-9688-B54672F5703D}"/>
                </c:ext>
              </c:extLst>
            </c:dLbl>
            <c:dLbl>
              <c:idx val="15"/>
              <c:tx>
                <c:strRef>
                  <c:f>'C02A'!$Q$44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{F4448668-1DA5-44BC-865B-0F01818B11BA}</c15:txfldGUID>
                      <c15:f>'C02A'!$Q$44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552-487A-9688-B54672F5703D}"/>
                </c:ext>
              </c:extLst>
            </c:dLbl>
            <c:dLbl>
              <c:idx val="16"/>
              <c:tx>
                <c:strRef>
                  <c:f>'C02A'!$R$44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{581550E9-EF4C-4136-9A45-5911105BD28F}</c15:txfldGUID>
                      <c15:f>'C02A'!$R$44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552-487A-9688-B54672F5703D}"/>
                </c:ext>
              </c:extLst>
            </c:dLbl>
            <c:dLbl>
              <c:idx val="17"/>
              <c:tx>
                <c:strRef>
                  <c:f>'C02A'!$S$44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{BB43C817-C5D4-41D1-B954-F5DFF61B635B}</c15:txfldGUID>
                      <c15:f>'C02A'!$S$44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552-487A-9688-B54672F5703D}"/>
                </c:ext>
              </c:extLst>
            </c:dLbl>
            <c:dLbl>
              <c:idx val="18"/>
              <c:tx>
                <c:strRef>
                  <c:f>'C02A'!$T$44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{49BEE098-1A35-4639-8625-C3D7E11A7B25}</c15:txfldGUID>
                      <c15:f>'C02A'!$T$44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3552-487A-9688-B54672F5703D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'C02A'!$B$27:$T$27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52-487A-9688-B54672F5703D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{19A9FC22-357B-4F19-AF74-8263BADC43A1}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3552-487A-9688-B54672F5703D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{35E27B49-6CB1-4A45-857B-DF01FC56C587}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3552-487A-9688-B54672F5703D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{B6D63DE0-69F4-4A7A-8FBE-174250546964}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3552-487A-9688-B54672F5703D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{1CAC0C5E-5470-4B60-9F5A-E80EFD9FF75D}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3552-487A-9688-B54672F5703D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{C371E5B2-A6BF-4ED5-A416-18268F4BB2F7}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3552-487A-9688-B54672F5703D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{223C874C-F926-4988-A1D6-C79084CD5BD3}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3552-487A-9688-B54672F5703D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{7DE8510C-BAE1-4B78-9243-8C297457C71A}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3552-487A-9688-B54672F5703D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{C6314235-8FE9-409C-9431-75863EECBF5E}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3552-487A-9688-B54672F5703D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{C7F0B32C-C1E5-417D-A412-88BD8043E8CD}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3552-487A-9688-B54672F5703D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{DEF59725-DE03-4A41-BB31-4B36B6BB86C3}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3552-487A-9688-B54672F5703D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{75505A27-57B2-454C-B671-BFDD453A30E5}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3552-487A-9688-B54672F5703D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{24CD30C5-6828-4DE1-918B-1E3B7550D585}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3552-487A-9688-B54672F5703D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{AEDB7B22-D624-4740-BD30-46FB15BA7415}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3552-487A-9688-B54672F5703D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{F3EC962F-7A56-4B9B-8E6C-D921150D562B}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3552-487A-9688-B54672F5703D}"/>
                </c:ext>
              </c:extLst>
            </c:dLbl>
            <c:dLbl>
              <c:idx val="14"/>
              <c:tx>
                <c:strRef>
                  <c:f>'C02A'!$P$45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{07B824BA-9F1D-41EE-B27D-422AEF52BC49}</c15:txfldGUID>
                      <c15:f>'C02A'!$P$45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3552-487A-9688-B54672F5703D}"/>
                </c:ext>
              </c:extLst>
            </c:dLbl>
            <c:dLbl>
              <c:idx val="15"/>
              <c:tx>
                <c:strRef>
                  <c:f>'C02A'!$Q$45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{3CF66A36-DB5F-47AF-8A69-33CB181E79B5}</c15:txfldGUID>
                      <c15:f>'C02A'!$Q$45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3552-487A-9688-B54672F5703D}"/>
                </c:ext>
              </c:extLst>
            </c:dLbl>
            <c:dLbl>
              <c:idx val="16"/>
              <c:tx>
                <c:strRef>
                  <c:f>'C02A'!$R$45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{D4D7CE30-7FB5-43AA-B282-97ECBE0FE8CB}</c15:txfldGUID>
                      <c15:f>'C02A'!$R$45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3552-487A-9688-B54672F5703D}"/>
                </c:ext>
              </c:extLst>
            </c:dLbl>
            <c:dLbl>
              <c:idx val="17"/>
              <c:tx>
                <c:strRef>
                  <c:f>'C02A'!$S$45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{99137975-FA35-4FE7-B8F6-F2AA76D6D9AD}</c15:txfldGUID>
                      <c15:f>'C02A'!$S$45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3552-487A-9688-B54672F5703D}"/>
                </c:ext>
              </c:extLst>
            </c:dLbl>
            <c:dLbl>
              <c:idx val="18"/>
              <c:tx>
                <c:strRef>
                  <c:f>'C02A'!$T$45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{E6E17D8D-4619-4E75-B517-CBB7A5054FF8}</c15:txfldGUID>
                      <c15:f>'C02A'!$T$45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3552-487A-9688-B54672F5703D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'C02A'!$B$28:$T$28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552-487A-9688-B54672F5703D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{4C32BFF9-4421-422B-9984-4CFB26DC3570}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3552-487A-9688-B54672F5703D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{59AB9F47-EDCC-4AC3-89C1-AAC3FA65DC4A}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3552-487A-9688-B54672F5703D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{6A72129A-BC0D-4F86-9CCC-5F9E3A4B098E}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3552-487A-9688-B54672F5703D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{02D5A804-23B9-4050-BE6F-E9B18F4429D0}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3552-487A-9688-B54672F5703D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{59E00C48-2326-4711-8F0A-776CBDC38440}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3552-487A-9688-B54672F5703D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{C7BE3219-5FB3-4C44-932A-75597FAC7913}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3552-487A-9688-B54672F5703D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{B8C2D83D-17C6-4E76-A66F-65FBDCB5FE2B}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3552-487A-9688-B54672F5703D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{04FE616D-F946-463B-ADE7-A49FBAD7612E}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3552-487A-9688-B54672F5703D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{A0C96378-A7BE-4E37-B746-0B0551BD1B41}</c15:txfldGUID>
                      <c15:f>'C02A'!$J$46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3552-487A-9688-B54672F5703D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{8DFD5711-A10E-4603-BC72-6C5AE7534383}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3552-487A-9688-B54672F5703D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{021F5D5A-8BE0-48F5-91F6-762C29427905}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3552-487A-9688-B54672F5703D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{71A7C533-904E-4043-9443-5DF6C986D57D}</c15:txfldGUID>
                      <c15:f>'C02A'!$M$46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3552-487A-9688-B54672F5703D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{E4CC236C-93E2-4863-843B-149B5778EAB7}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3552-487A-9688-B54672F5703D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{FF175A42-8490-4DD3-A9E4-B696931C8A3F}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3552-487A-9688-B54672F5703D}"/>
                </c:ext>
              </c:extLst>
            </c:dLbl>
            <c:dLbl>
              <c:idx val="14"/>
              <c:tx>
                <c:strRef>
                  <c:f>'C02A'!$P$46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{5FFEC36E-71D4-4020-B7C2-FE65669B8646}</c15:txfldGUID>
                      <c15:f>'C02A'!$P$46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3552-487A-9688-B54672F5703D}"/>
                </c:ext>
              </c:extLst>
            </c:dLbl>
            <c:dLbl>
              <c:idx val="15"/>
              <c:tx>
                <c:strRef>
                  <c:f>'C02A'!$Q$46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{DC6100EB-A6A2-44A8-BF23-A02EFF8769FC}</c15:txfldGUID>
                      <c15:f>'C02A'!$Q$46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3552-487A-9688-B54672F5703D}"/>
                </c:ext>
              </c:extLst>
            </c:dLbl>
            <c:dLbl>
              <c:idx val="16"/>
              <c:tx>
                <c:strRef>
                  <c:f>'C02A'!$R$46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{03C6BB21-7449-48ED-A68C-FDB14ED7CE73}</c15:txfldGUID>
                      <c15:f>'C02A'!$R$46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3552-487A-9688-B54672F5703D}"/>
                </c:ext>
              </c:extLst>
            </c:dLbl>
            <c:dLbl>
              <c:idx val="17"/>
              <c:tx>
                <c:strRef>
                  <c:f>'C02A'!$S$46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{A1CAA7EE-122D-4A5B-9897-5C0BA178C612}</c15:txfldGUID>
                      <c15:f>'C02A'!$S$46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3552-487A-9688-B54672F5703D}"/>
                </c:ext>
              </c:extLst>
            </c:dLbl>
            <c:dLbl>
              <c:idx val="18"/>
              <c:tx>
                <c:strRef>
                  <c:f>'C02A'!$T$46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{79B9759F-20A6-4D7A-8B83-B406C7968D95}</c15:txfldGUID>
                      <c15:f>'C02A'!$T$46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3552-487A-9688-B54672F5703D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'C02A'!$B$29:$T$29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552-487A-9688-B54672F5703D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{0B0A32BD-0291-4BB4-AD01-1405F62FC4F4}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3552-487A-9688-B54672F5703D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{D209BFA5-C4AA-4011-8663-A08D070AAAD6}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3552-487A-9688-B54672F5703D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{0F54A067-3109-4927-A8AE-3BC8D338F032}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3552-487A-9688-B54672F5703D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{C785DDDA-8E67-4D78-B983-31F3D0425AB9}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3552-487A-9688-B54672F5703D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{CAA2CA2E-005B-4CDA-9DAE-FAA687F1AAC8}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3552-487A-9688-B54672F5703D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{78DD33FB-D4E2-49C5-8424-30D42D049DD6}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3552-487A-9688-B54672F5703D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{77D6040D-E792-4E5F-B506-8BAFEEA3B9E9}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3552-487A-9688-B54672F5703D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{06433498-61AE-4AE2-B94E-9276AC68DA48}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3552-487A-9688-B54672F5703D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{24FE6BA0-B27A-4B34-9B82-641A72D22635}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3552-487A-9688-B54672F5703D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{04501A1B-B250-4759-BFBA-4D9E81B84A3C}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3552-487A-9688-B54672F5703D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{BEA0C5AE-1DFD-44B7-95CB-F952B71906B8}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3552-487A-9688-B54672F5703D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{19C9157E-01A6-4BA2-9D67-D57E7A6025D0}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3552-487A-9688-B54672F5703D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{BBA03CF7-7E3E-4D5F-B198-B8F4E72D1E9C}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3552-487A-9688-B54672F5703D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{3E62F268-ECCE-41AD-8506-ABF662A38539}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3552-487A-9688-B54672F5703D}"/>
                </c:ext>
              </c:extLst>
            </c:dLbl>
            <c:dLbl>
              <c:idx val="14"/>
              <c:tx>
                <c:strRef>
                  <c:f>'C02A'!$P$13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{24E3E0FC-402B-4B9E-9F33-7FEFE3B917F8}</c15:txfldGUID>
                      <c15:f>'C02A'!$P$13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3552-487A-9688-B54672F5703D}"/>
                </c:ext>
              </c:extLst>
            </c:dLbl>
            <c:dLbl>
              <c:idx val="15"/>
              <c:tx>
                <c:strRef>
                  <c:f>'C02A'!$Q$13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{BE69559F-B1B4-4652-82E1-F177766312DF}</c15:txfldGUID>
                      <c15:f>'C02A'!$Q$13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3552-487A-9688-B54672F5703D}"/>
                </c:ext>
              </c:extLst>
            </c:dLbl>
            <c:dLbl>
              <c:idx val="16"/>
              <c:tx>
                <c:strRef>
                  <c:f>'C02A'!$R$13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{9D6DA6FA-2497-45D2-AFC8-13BE98F9FB3C}</c15:txfldGUID>
                      <c15:f>'C02A'!$R$13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3552-487A-9688-B54672F5703D}"/>
                </c:ext>
              </c:extLst>
            </c:dLbl>
            <c:dLbl>
              <c:idx val="17"/>
              <c:tx>
                <c:strRef>
                  <c:f>'C02A'!$S$13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{CAA61358-FDCD-42AA-AE55-68E2F4B7D472}</c15:txfldGUID>
                      <c15:f>'C02A'!$S$13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3552-487A-9688-B54672F5703D}"/>
                </c:ext>
              </c:extLst>
            </c:dLbl>
            <c:dLbl>
              <c:idx val="18"/>
              <c:tx>
                <c:strRef>
                  <c:f>'C02A'!$T$13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{172AE0A3-2374-483B-88E4-EC9B478ABB93}</c15:txfldGUID>
                      <c15:f>'C02A'!$T$13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3552-487A-9688-B54672F570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'C02A'!$B$9:$T$9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40-3552-487A-9688-B54672F57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1414523695"/>
        <c:axId val="1419163215"/>
      </c:barChart>
      <c:catAx>
        <c:axId val="141452369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19163215"/>
        <c:crosses val="autoZero"/>
        <c:auto val="1"/>
        <c:lblAlgn val="ctr"/>
        <c:lblOffset val="100"/>
        <c:noMultiLvlLbl val="0"/>
      </c:catAx>
      <c:valAx>
        <c:axId val="1419163215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14523695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'C03A'!$Q$11:$Q$22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6A-4A4A-8097-E2382FDAD8FF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66A-4A4A-8097-E2382FDAD8FF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B66A-4A4A-8097-E2382FDAD8FF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66A-4A4A-8097-E2382FDAD8FF}"/>
              </c:ext>
            </c:extLst>
          </c:dPt>
          <c:dLbls>
            <c:dLbl>
              <c:idx val="0"/>
              <c:tx>
                <c:strRef>
                  <c:f>'C03A'!$S$11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{6388DB49-F361-47D3-A938-423D4AB54E7E}</c15:txfldGUID>
                      <c15:f>'C03A'!$S$11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66A-4A4A-8097-E2382FDAD8FF}"/>
                </c:ext>
              </c:extLst>
            </c:dLbl>
            <c:dLbl>
              <c:idx val="1"/>
              <c:tx>
                <c:strRef>
                  <c:f>'C03A'!$S$12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{85043289-D0A0-4CD9-94DE-9566318E77DD}</c15:txfldGUID>
                      <c15:f>'C03A'!$S$12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66A-4A4A-8097-E2382FDAD8FF}"/>
                </c:ext>
              </c:extLst>
            </c:dLbl>
            <c:dLbl>
              <c:idx val="2"/>
              <c:tx>
                <c:strRef>
                  <c:f>'C03A'!$S$13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{EDE78505-8AEB-440C-97EF-98BC1CFBF230}</c15:txfldGUID>
                      <c15:f>'C03A'!$S$13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66A-4A4A-8097-E2382FDAD8FF}"/>
                </c:ext>
              </c:extLst>
            </c:dLbl>
            <c:dLbl>
              <c:idx val="3"/>
              <c:tx>
                <c:strRef>
                  <c:f>'C03A'!$S$14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{7379B32C-237B-4416-8901-7BA73D198C2B}</c15:txfldGUID>
                      <c15:f>'C03A'!$S$14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66A-4A4A-8097-E2382FDAD8FF}"/>
                </c:ext>
              </c:extLst>
            </c:dLbl>
            <c:dLbl>
              <c:idx val="4"/>
              <c:tx>
                <c:strRef>
                  <c:f>'C03A'!$S$15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{BDDB8AAF-7A0D-41A0-947A-2D4B3A317873}</c15:txfldGUID>
                      <c15:f>'C03A'!$S$15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66A-4A4A-8097-E2382FDAD8FF}"/>
                </c:ext>
              </c:extLst>
            </c:dLbl>
            <c:dLbl>
              <c:idx val="5"/>
              <c:tx>
                <c:strRef>
                  <c:f>'C03A'!$S$16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{ABB447AB-3F1B-4DC5-8F74-E747A33F51CD}</c15:txfldGUID>
                      <c15:f>'C03A'!$S$16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66A-4A4A-8097-E2382FDAD8FF}"/>
                </c:ext>
              </c:extLst>
            </c:dLbl>
            <c:dLbl>
              <c:idx val="6"/>
              <c:tx>
                <c:strRef>
                  <c:f>'C03A'!$S$17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{A189777D-2C97-4991-AA7D-6E153C8F8073}</c15:txfldGUID>
                      <c15:f>'C03A'!$S$17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66A-4A4A-8097-E2382FDAD8FF}"/>
                </c:ext>
              </c:extLst>
            </c:dLbl>
            <c:dLbl>
              <c:idx val="7"/>
              <c:tx>
                <c:strRef>
                  <c:f>'C03A'!$S$18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{F678C6DA-F447-4E5D-9C6B-B550822FC4F6}</c15:txfldGUID>
                      <c15:f>'C03A'!$S$18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66A-4A4A-8097-E2382FDAD8FF}"/>
                </c:ext>
              </c:extLst>
            </c:dLbl>
            <c:dLbl>
              <c:idx val="8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{3D3246BA-351C-4734-8DF3-194F68B12DBB}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66A-4A4A-8097-E2382FDAD8FF}"/>
                </c:ext>
              </c:extLst>
            </c:dLbl>
            <c:dLbl>
              <c:idx val="9"/>
              <c:tx>
                <c:strRef>
                  <c:f>'C03A'!$S$20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{FA071ABB-AC41-4264-AC56-F61C62A8A5F1}</c15:txfldGUID>
                      <c15:f>'C03A'!$S$20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66A-4A4A-8097-E2382FDAD8FF}"/>
                </c:ext>
              </c:extLst>
            </c:dLbl>
            <c:dLbl>
              <c:idx val="10"/>
              <c:tx>
                <c:strRef>
                  <c:f>'C03A'!$S$21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{E9802C9A-2A1B-4EF8-8C23-A99BBF457D12}</c15:txfldGUID>
                      <c15:f>'C03A'!$S$21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66A-4A4A-8097-E2382FDAD8FF}"/>
                </c:ext>
              </c:extLst>
            </c:dLbl>
            <c:dLbl>
              <c:idx val="11"/>
              <c:tx>
                <c:strRef>
                  <c:f>'C03A'!$S$22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{3308C515-51B7-4A33-A589-C8093E4D2FF8}</c15:txfldGUID>
                      <c15:f>'C03A'!$S$22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66A-4A4A-8097-E2382FDAD8FF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'C03A'!$A$11:$A$22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'C03A'!$R$11:$R$22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6A-4A4A-8097-E2382FDAD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1433942799"/>
        <c:axId val="1419202575"/>
      </c:barChart>
      <c:catAx>
        <c:axId val="143394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19202575"/>
        <c:crosses val="autoZero"/>
        <c:auto val="1"/>
        <c:lblAlgn val="ctr"/>
        <c:lblOffset val="100"/>
        <c:noMultiLvlLbl val="0"/>
      </c:catAx>
      <c:valAx>
        <c:axId val="1419202575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33942799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'C04A'!$A$11:$A$29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'C04A'!$O$11:$O$29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6DB-40F6-8AC4-8DFD34D70D8C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'C04A'!$Q$11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{F0D78E08-0D33-4706-AF5E-B4DB5679FE26}</c15:txfldGUID>
                      <c15:f>'C04A'!$Q$11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6DB-40F6-8AC4-8DFD34D70D8C}"/>
                </c:ext>
              </c:extLst>
            </c:dLbl>
            <c:dLbl>
              <c:idx val="1"/>
              <c:tx>
                <c:strRef>
                  <c:f>'C04A'!$Q$12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{F87DA228-4EEA-40E2-A75C-CC0F2604E1B3}</c15:txfldGUID>
                      <c15:f>'C04A'!$Q$12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6DB-40F6-8AC4-8DFD34D70D8C}"/>
                </c:ext>
              </c:extLst>
            </c:dLbl>
            <c:dLbl>
              <c:idx val="2"/>
              <c:tx>
                <c:strRef>
                  <c:f>'C04A'!$Q$13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{AC7CF271-13C0-484E-BB0F-ACB8DFC3CDA0}</c15:txfldGUID>
                      <c15:f>'C04A'!$Q$13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6DB-40F6-8AC4-8DFD34D70D8C}"/>
                </c:ext>
              </c:extLst>
            </c:dLbl>
            <c:dLbl>
              <c:idx val="3"/>
              <c:tx>
                <c:strRef>
                  <c:f>'C04A'!$Q$14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{84E09DAC-264E-4221-A0B2-37B3B4E28132}</c15:txfldGUID>
                      <c15:f>'C04A'!$Q$14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6DB-40F6-8AC4-8DFD34D70D8C}"/>
                </c:ext>
              </c:extLst>
            </c:dLbl>
            <c:dLbl>
              <c:idx val="4"/>
              <c:tx>
                <c:strRef>
                  <c:f>'C04A'!$Q$15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{D7723355-2DA0-48DC-A8C1-F69E7D303B7A}</c15:txfldGUID>
                      <c15:f>'C04A'!$Q$15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6DB-40F6-8AC4-8DFD34D70D8C}"/>
                </c:ext>
              </c:extLst>
            </c:dLbl>
            <c:dLbl>
              <c:idx val="5"/>
              <c:tx>
                <c:strRef>
                  <c:f>'C04A'!$Q$16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{28E181CD-643E-4B5D-AEAA-00112AE8298F}</c15:txfldGUID>
                      <c15:f>'C04A'!$Q$16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6DB-40F6-8AC4-8DFD34D70D8C}"/>
                </c:ext>
              </c:extLst>
            </c:dLbl>
            <c:dLbl>
              <c:idx val="6"/>
              <c:tx>
                <c:strRef>
                  <c:f>'C04A'!$Q$17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{39BDD97B-193B-4B28-84AD-7294560E26B5}</c15:txfldGUID>
                      <c15:f>'C04A'!$Q$17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6DB-40F6-8AC4-8DFD34D70D8C}"/>
                </c:ext>
              </c:extLst>
            </c:dLbl>
            <c:dLbl>
              <c:idx val="7"/>
              <c:tx>
                <c:strRef>
                  <c:f>'C04A'!$Q$18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{39C51DAB-528F-455E-98BE-02785CE80455}</c15:txfldGUID>
                      <c15:f>'C04A'!$Q$18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6DB-40F6-8AC4-8DFD34D70D8C}"/>
                </c:ext>
              </c:extLst>
            </c:dLbl>
            <c:dLbl>
              <c:idx val="8"/>
              <c:tx>
                <c:strRef>
                  <c:f>'C04A'!$Q$19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{64A243F4-9B70-4891-A45C-5688F34D192C}</c15:txfldGUID>
                      <c15:f>'C04A'!$Q$19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6DB-40F6-8AC4-8DFD34D70D8C}"/>
                </c:ext>
              </c:extLst>
            </c:dLbl>
            <c:dLbl>
              <c:idx val="9"/>
              <c:tx>
                <c:strRef>
                  <c:f>'C04A'!$Q$20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{A929D5DC-02EC-4F8C-8D39-E5C5427D8CB0}</c15:txfldGUID>
                      <c15:f>'C04A'!$Q$20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6DB-40F6-8AC4-8DFD34D70D8C}"/>
                </c:ext>
              </c:extLst>
            </c:dLbl>
            <c:dLbl>
              <c:idx val="10"/>
              <c:tx>
                <c:strRef>
                  <c:f>'C04A'!$Q$21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{1797CAFD-1E7C-44D5-9A33-F95E6336A631}</c15:txfldGUID>
                      <c15:f>'C04A'!$Q$21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6DB-40F6-8AC4-8DFD34D70D8C}"/>
                </c:ext>
              </c:extLst>
            </c:dLbl>
            <c:dLbl>
              <c:idx val="11"/>
              <c:tx>
                <c:strRef>
                  <c:f>'C04A'!$Q$22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{73C4AB41-FD24-431F-AEDE-9A17DE132E96}</c15:txfldGUID>
                      <c15:f>'C04A'!$Q$22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6DB-40F6-8AC4-8DFD34D70D8C}"/>
                </c:ext>
              </c:extLst>
            </c:dLbl>
            <c:dLbl>
              <c:idx val="12"/>
              <c:tx>
                <c:strRef>
                  <c:f>'C04A'!$Q$23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{75B49C45-E360-4177-8F5D-AF3A1068BCAA}</c15:txfldGUID>
                      <c15:f>'C04A'!$Q$23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56DB-40F6-8AC4-8DFD34D70D8C}"/>
                </c:ext>
              </c:extLst>
            </c:dLbl>
            <c:dLbl>
              <c:idx val="13"/>
              <c:tx>
                <c:strRef>
                  <c:f>'C04A'!$Q$24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{D833D7F7-956F-47FB-A900-549070746AB6}</c15:txfldGUID>
                      <c15:f>'C04A'!$Q$24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56DB-40F6-8AC4-8DFD34D70D8C}"/>
                </c:ext>
              </c:extLst>
            </c:dLbl>
            <c:dLbl>
              <c:idx val="14"/>
              <c:tx>
                <c:strRef>
                  <c:f>'C04A'!$Q$25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{5AD75807-E24F-4BB2-940A-A653CB82A069}</c15:txfldGUID>
                      <c15:f>'C04A'!$Q$25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56DB-40F6-8AC4-8DFD34D70D8C}"/>
                </c:ext>
              </c:extLst>
            </c:dLbl>
            <c:dLbl>
              <c:idx val="15"/>
              <c:tx>
                <c:strRef>
                  <c:f>'C04A'!$Q$26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{9B147565-8207-4007-9FB1-CDA633313911}</c15:txfldGUID>
                      <c15:f>'C04A'!$Q$26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56DB-40F6-8AC4-8DFD34D70D8C}"/>
                </c:ext>
              </c:extLst>
            </c:dLbl>
            <c:dLbl>
              <c:idx val="16"/>
              <c:tx>
                <c:strRef>
                  <c:f>'C04A'!$Q$27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{26BFCBA4-BAA4-4EC1-A650-4C5FBA8945A8}</c15:txfldGUID>
                      <c15:f>'C04A'!$Q$27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56DB-40F6-8AC4-8DFD34D70D8C}"/>
                </c:ext>
              </c:extLst>
            </c:dLbl>
            <c:dLbl>
              <c:idx val="17"/>
              <c:tx>
                <c:strRef>
                  <c:f>'C04A'!$Q$28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{E2A923F7-3D88-4F99-88D4-5E8F97945E2D}</c15:txfldGUID>
                      <c15:f>'C04A'!$Q$28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56DB-40F6-8AC4-8DFD34D70D8C}"/>
                </c:ext>
              </c:extLst>
            </c:dLbl>
            <c:dLbl>
              <c:idx val="18"/>
              <c:tx>
                <c:strRef>
                  <c:f>'C04A'!$Q$29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{E44D2E9D-A8C8-48B9-A9EC-9166BC432B43}</c15:txfldGUID>
                      <c15:f>'C04A'!$Q$29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56DB-40F6-8AC4-8DFD34D70D8C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'C04A'!$A$11:$A$29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'C04A'!$P$11:$P$29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6DB-40F6-8AC4-8DFD34D7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1437190159"/>
        <c:axId val="1419251535"/>
      </c:barChart>
      <c:catAx>
        <c:axId val="14371901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19251535"/>
        <c:crosses val="autoZero"/>
        <c:auto val="1"/>
        <c:lblAlgn val="ctr"/>
        <c:lblOffset val="100"/>
        <c:noMultiLvlLbl val="0"/>
      </c:catAx>
      <c:valAx>
        <c:axId val="1419251535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37190159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1"/>
          <c:w val="0.90322580645161288"/>
          <c:h val="0.65158983536148896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'C05X'!$AG$11:$AG$27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7BF-4A33-839B-8DA8BEBD49D1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BF-4A33-839B-8DA8BEBD49D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7BF-4A33-839B-8DA8BEBD49D1}"/>
                </c:ext>
              </c:extLst>
            </c:dLbl>
            <c:dLbl>
              <c:idx val="2"/>
              <c:tx>
                <c:strRef>
                  <c:f>'C05X'!$AI$13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{ACD3A331-042F-4F98-BE2C-DC4B858E6613}</c15:txfldGUID>
                      <c15:f>'C05X'!$AI$13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7BF-4A33-839B-8DA8BEBD49D1}"/>
                </c:ext>
              </c:extLst>
            </c:dLbl>
            <c:dLbl>
              <c:idx val="3"/>
              <c:tx>
                <c:strRef>
                  <c:f>'C05X'!$AI$14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{C24CB419-0E3A-4FAC-942B-B6D9126DADB1}</c15:txfldGUID>
                      <c15:f>'C05X'!$AI$14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7BF-4A33-839B-8DA8BEBD49D1}"/>
                </c:ext>
              </c:extLst>
            </c:dLbl>
            <c:dLbl>
              <c:idx val="4"/>
              <c:tx>
                <c:strRef>
                  <c:f>'C05X'!$AI$15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{408E7D66-1EC4-4F90-8ED7-6E3DBE96FBC7}</c15:txfldGUID>
                      <c15:f>'C05X'!$AI$15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7BF-4A33-839B-8DA8BEBD49D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7BF-4A33-839B-8DA8BEBD49D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BF-4A33-839B-8DA8BEBD49D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7BF-4A33-839B-8DA8BEBD49D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BF-4A33-839B-8DA8BEBD49D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7BF-4A33-839B-8DA8BEBD49D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BF-4A33-839B-8DA8BEBD49D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7BF-4A33-839B-8DA8BEBD49D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BF-4A33-839B-8DA8BEBD49D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7BF-4A33-839B-8DA8BEBD49D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BF-4A33-839B-8DA8BEBD49D1}"/>
                </c:ext>
              </c:extLst>
            </c:dLbl>
            <c:dLbl>
              <c:idx val="15"/>
              <c:tx>
                <c:strRef>
                  <c:f>'C05X'!$AI$26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{F3381031-D6BD-41C7-8A89-75789890D08A}</c15:txfldGUID>
                      <c15:f>'C05X'!$AI$26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7BF-4A33-839B-8DA8BEBD49D1}"/>
                </c:ext>
              </c:extLst>
            </c:dLbl>
            <c:dLbl>
              <c:idx val="16"/>
              <c:tx>
                <c:strRef>
                  <c:f>'C05X'!$AI$27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{F2ABE12B-D1D7-43D6-8E0F-EFA162BE4996}</c15:txfldGUID>
                      <c15:f>'C05X'!$AI$27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7BF-4A33-839B-8DA8BEBD49D1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'C05X'!$AH$11:$AH$27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7BF-4A33-839B-8DA8BEBD49D1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F7BF-4A33-839B-8DA8BEBD49D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F7BF-4A33-839B-8DA8BEBD49D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F7BF-4A33-839B-8DA8BEBD49D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F7BF-4A33-839B-8DA8BEBD49D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7BF-4A33-839B-8DA8BEBD49D1}"/>
                </c:ext>
              </c:extLst>
            </c:dLbl>
            <c:dLbl>
              <c:idx val="5"/>
              <c:tx>
                <c:strRef>
                  <c:f>'C05X'!$AK$16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{E8BC8678-3AC9-46B3-AA70-6CA05525B9DC}</c15:txfldGUID>
                      <c15:f>'C05X'!$AK$16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F7BF-4A33-839B-8DA8BEBD49D1}"/>
                </c:ext>
              </c:extLst>
            </c:dLbl>
            <c:dLbl>
              <c:idx val="6"/>
              <c:tx>
                <c:strRef>
                  <c:f>'C05X'!$AK$17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{68F4E08F-77B4-4968-AEEE-71E2714DA681}</c15:txfldGUID>
                      <c15:f>'C05X'!$AK$17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F7BF-4A33-839B-8DA8BEBD49D1}"/>
                </c:ext>
              </c:extLst>
            </c:dLbl>
            <c:dLbl>
              <c:idx val="7"/>
              <c:tx>
                <c:strRef>
                  <c:f>'C05X'!$AK$18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{BA0641DB-D474-41ED-8F1D-93341D1C4A7F}</c15:txfldGUID>
                      <c15:f>'C05X'!$AK$18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F7BF-4A33-839B-8DA8BEBD49D1}"/>
                </c:ext>
              </c:extLst>
            </c:dLbl>
            <c:dLbl>
              <c:idx val="8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{E58B0F66-6AE5-4316-95D3-C147D03412F4}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F7BF-4A33-839B-8DA8BEBD49D1}"/>
                </c:ext>
              </c:extLst>
            </c:dLbl>
            <c:dLbl>
              <c:idx val="9"/>
              <c:tx>
                <c:strRef>
                  <c:f>'C05X'!$AK$20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{40A8FA9B-3CF7-4DCA-A731-916C37A712A3}</c15:txfldGUID>
                      <c15:f>'C05X'!$AK$20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F7BF-4A33-839B-8DA8BEBD49D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7BF-4A33-839B-8DA8BEBD49D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7BF-4A33-839B-8DA8BEBD49D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7BF-4A33-839B-8DA8BEBD49D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7BF-4A33-839B-8DA8BEBD49D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7BF-4A33-839B-8DA8BEBD49D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7BF-4A33-839B-8DA8BEBD49D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F7BF-4A33-839B-8DA8BEBD49D1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'C05X'!$AJ$11:$AJ$27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BF-4A33-839B-8DA8BEBD49D1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F7BF-4A33-839B-8DA8BEBD49D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7BF-4A33-839B-8DA8BEBD49D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F7BF-4A33-839B-8DA8BEBD49D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F7BF-4A33-839B-8DA8BEBD49D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F7BF-4A33-839B-8DA8BEBD49D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7BF-4A33-839B-8DA8BEBD49D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7BF-4A33-839B-8DA8BEBD49D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7BF-4A33-839B-8DA8BEBD49D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7BF-4A33-839B-8DA8BEBD49D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7BF-4A33-839B-8DA8BEBD49D1}"/>
                </c:ext>
              </c:extLst>
            </c:dLbl>
            <c:dLbl>
              <c:idx val="10"/>
              <c:tx>
                <c:strRef>
                  <c:f>'C05X'!$AM$21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{9F15186E-F38E-4143-9BF7-CE7211FB28EE}</c15:txfldGUID>
                      <c15:f>'C05X'!$AM$21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F7BF-4A33-839B-8DA8BEBD49D1}"/>
                </c:ext>
              </c:extLst>
            </c:dLbl>
            <c:dLbl>
              <c:idx val="11"/>
              <c:tx>
                <c:strRef>
                  <c:f>'C05X'!$AM$22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{A740A4F0-47DD-4D34-87EA-6E433E85357A}</c15:txfldGUID>
                      <c15:f>'C05X'!$AM$22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F7BF-4A33-839B-8DA8BEBD49D1}"/>
                </c:ext>
              </c:extLst>
            </c:dLbl>
            <c:dLbl>
              <c:idx val="12"/>
              <c:tx>
                <c:strRef>
                  <c:f>'C05X'!$AM$23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{170336FA-734F-4244-9F68-5761BA7D54A2}</c15:txfldGUID>
                      <c15:f>'C05X'!$AM$23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F7BF-4A33-839B-8DA8BEBD49D1}"/>
                </c:ext>
              </c:extLst>
            </c:dLbl>
            <c:dLbl>
              <c:idx val="13"/>
              <c:tx>
                <c:strRef>
                  <c:f>'C05X'!$AM$24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{F9FCBD20-05C1-4DC2-8016-91FB4011EA79}</c15:txfldGUID>
                      <c15:f>'C05X'!$AM$24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F7BF-4A33-839B-8DA8BEBD49D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F7BF-4A33-839B-8DA8BEBD49D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7BF-4A33-839B-8DA8BEBD49D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F7BF-4A33-839B-8DA8BEBD49D1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'C05X'!$AL$11:$AL$27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7BF-4A33-839B-8DA8BEBD49D1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'C05X'!$AN$11:$AN$27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F7BF-4A33-839B-8DA8BEBD4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37174847"/>
        <c:axId val="1419077775"/>
      </c:barChart>
      <c:catAx>
        <c:axId val="143717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19077775"/>
        <c:crosses val="autoZero"/>
        <c:auto val="1"/>
        <c:lblAlgn val="ctr"/>
        <c:lblOffset val="100"/>
        <c:noMultiLvlLbl val="0"/>
      </c:catAx>
      <c:valAx>
        <c:axId val="1419077775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3717484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3.6363636363636362E-2"/>
          <c:w val="0.90322580645161288"/>
          <c:h val="0.90909090909090917"/>
        </c:manualLayout>
      </c:layout>
      <c:barChart>
        <c:barDir val="col"/>
        <c:grouping val="clustered"/>
        <c:varyColors val="0"/>
        <c:ser>
          <c:idx val="0"/>
          <c:order val="0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'C05X'!$Z$11</c:f>
                  <c:strCache>
                    <c:ptCount val="1"/>
                    <c:pt idx="0">
                      <c:v>174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{C90652B2-5B99-459F-8C6B-7994DF8E6CB6}</c15:txfldGUID>
                      <c15:f>'C05X'!$Z$11</c15:f>
                      <c15:dlblFieldTableCache>
                        <c:ptCount val="1"/>
                        <c:pt idx="0">
                          <c:v>174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2511-4876-B14E-A04059A972A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511-4876-B14E-A04059A972A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511-4876-B14E-A04059A972A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511-4876-B14E-A04059A972A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511-4876-B14E-A04059A972A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511-4876-B14E-A04059A972A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511-4876-B14E-A04059A972A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511-4876-B14E-A04059A972A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511-4876-B14E-A04059A972A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511-4876-B14E-A04059A972A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511-4876-B14E-A04059A972A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511-4876-B14E-A04059A972A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511-4876-B14E-A04059A972A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511-4876-B14E-A04059A972A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511-4876-B14E-A04059A972A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511-4876-B14E-A04059A972A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511-4876-B14E-A04059A972A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'C05X'!$Y$11:$Y$27</c:f>
              <c:numCache>
                <c:formatCode>0.000000</c:formatCode>
                <c:ptCount val="17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511-4876-B14E-A04059A972AB}"/>
            </c:ext>
          </c:extLst>
        </c:ser>
        <c:ser>
          <c:idx val="1"/>
          <c:order val="1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511-4876-B14E-A04059A972AB}"/>
                </c:ext>
              </c:extLst>
            </c:dLbl>
            <c:dLbl>
              <c:idx val="1"/>
              <c:tx>
                <c:strRef>
                  <c:f>'C05X'!$AB$12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{ABE20B2B-C87D-40C3-9AC3-6989A9F34A82}</c15:txfldGUID>
                      <c15:f>'C05X'!$AB$12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511-4876-B14E-A04059A972AB}"/>
                </c:ext>
              </c:extLst>
            </c:dLbl>
            <c:dLbl>
              <c:idx val="2"/>
              <c:tx>
                <c:strRef>
                  <c:f>'C05X'!$AB$13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{5771520D-58BD-4295-8876-E3DDB5470233}</c15:txfldGUID>
                      <c15:f>'C05X'!$AB$13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511-4876-B14E-A04059A972AB}"/>
                </c:ext>
              </c:extLst>
            </c:dLbl>
            <c:dLbl>
              <c:idx val="3"/>
              <c:tx>
                <c:strRef>
                  <c:f>'C05X'!$AB$14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{123FCC02-0294-4ECA-B569-B9E5ACA40326}</c15:txfldGUID>
                      <c15:f>'C05X'!$AB$14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2511-4876-B14E-A04059A972AB}"/>
                </c:ext>
              </c:extLst>
            </c:dLbl>
            <c:dLbl>
              <c:idx val="4"/>
              <c:tx>
                <c:strRef>
                  <c:f>'C05X'!$AB$15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{F3E2FA79-7179-4E6C-AFAA-0C19873959F0}</c15:txfldGUID>
                      <c15:f>'C05X'!$AB$15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2511-4876-B14E-A04059A972AB}"/>
                </c:ext>
              </c:extLst>
            </c:dLbl>
            <c:dLbl>
              <c:idx val="5"/>
              <c:tx>
                <c:strRef>
                  <c:f>'C05X'!$AB$16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{43C0D579-B9EC-4498-9F68-EEB3370DA21D}</c15:txfldGUID>
                      <c15:f>'C05X'!$AB$16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2511-4876-B14E-A04059A972AB}"/>
                </c:ext>
              </c:extLst>
            </c:dLbl>
            <c:dLbl>
              <c:idx val="6"/>
              <c:tx>
                <c:strRef>
                  <c:f>'C05X'!$AB$17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{491812B0-11E1-4C01-83AD-D92B47F3FE3B}</c15:txfldGUID>
                      <c15:f>'C05X'!$AB$17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2511-4876-B14E-A04059A972AB}"/>
                </c:ext>
              </c:extLst>
            </c:dLbl>
            <c:dLbl>
              <c:idx val="7"/>
              <c:tx>
                <c:strRef>
                  <c:f>'C05X'!$AB$18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{9A021FCA-4749-4D66-93F2-A2E31BE7B0FB}</c15:txfldGUID>
                      <c15:f>'C05X'!$AB$18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2511-4876-B14E-A04059A972AB}"/>
                </c:ext>
              </c:extLst>
            </c:dLbl>
            <c:dLbl>
              <c:idx val="8"/>
              <c:tx>
                <c:strRef>
                  <c:f>'C05X'!$AB$19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{9C3D8F99-5791-440F-8EBD-2AB1C12DC378}</c15:txfldGUID>
                      <c15:f>'C05X'!$AB$19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2511-4876-B14E-A04059A972AB}"/>
                </c:ext>
              </c:extLst>
            </c:dLbl>
            <c:dLbl>
              <c:idx val="9"/>
              <c:tx>
                <c:strRef>
                  <c:f>'C05X'!$AB$20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{B5BDA612-7C1D-43D7-85FA-167CEACE262B}</c15:txfldGUID>
                      <c15:f>'C05X'!$AB$20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2511-4876-B14E-A04059A972AB}"/>
                </c:ext>
              </c:extLst>
            </c:dLbl>
            <c:dLbl>
              <c:idx val="10"/>
              <c:tx>
                <c:strRef>
                  <c:f>'C05X'!$AB$21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{11F5BBA0-CB95-477A-8FE1-BE30EC476E9B}</c15:txfldGUID>
                      <c15:f>'C05X'!$AB$21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2511-4876-B14E-A04059A972AB}"/>
                </c:ext>
              </c:extLst>
            </c:dLbl>
            <c:dLbl>
              <c:idx val="11"/>
              <c:tx>
                <c:strRef>
                  <c:f>'C05X'!$AB$22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{75AB957B-DC2C-4FB9-B30D-015C1A006954}</c15:txfldGUID>
                      <c15:f>'C05X'!$AB$22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2511-4876-B14E-A04059A972AB}"/>
                </c:ext>
              </c:extLst>
            </c:dLbl>
            <c:dLbl>
              <c:idx val="12"/>
              <c:tx>
                <c:strRef>
                  <c:f>'C05X'!$AB$23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{811B924F-3FC0-41AE-AB84-E40B8A56014B}</c15:txfldGUID>
                      <c15:f>'C05X'!$AB$23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2511-4876-B14E-A04059A972AB}"/>
                </c:ext>
              </c:extLst>
            </c:dLbl>
            <c:dLbl>
              <c:idx val="13"/>
              <c:tx>
                <c:strRef>
                  <c:f>'C05X'!$AB$24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{6C7B1D28-9779-4699-8BF4-CAD65B8FBCE2}</c15:txfldGUID>
                      <c15:f>'C05X'!$AB$24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2511-4876-B14E-A04059A972A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511-4876-B14E-A04059A972A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511-4876-B14E-A04059A972A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2511-4876-B14E-A04059A972A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'C05X'!$AA$11:$AA$27</c:f>
              <c:numCache>
                <c:formatCode>0.000000</c:formatCode>
                <c:ptCount val="17"/>
                <c:pt idx="0">
                  <c:v>#N/A</c:v>
                </c:pt>
                <c:pt idx="1">
                  <c:v>0.88505747126436785</c:v>
                </c:pt>
                <c:pt idx="2">
                  <c:v>6.3218390804597707E-2</c:v>
                </c:pt>
                <c:pt idx="3">
                  <c:v>5.7471264367816091E-2</c:v>
                </c:pt>
                <c:pt idx="4">
                  <c:v>5.7471264367816091E-2</c:v>
                </c:pt>
                <c:pt idx="5">
                  <c:v>5.7471264367816091E-2</c:v>
                </c:pt>
                <c:pt idx="6">
                  <c:v>5.7471264367816091E-2</c:v>
                </c:pt>
                <c:pt idx="7">
                  <c:v>5.7471264367816091E-2</c:v>
                </c:pt>
                <c:pt idx="8">
                  <c:v>8.6206896551724144E-2</c:v>
                </c:pt>
                <c:pt idx="9">
                  <c:v>8.0459770114942528E-2</c:v>
                </c:pt>
                <c:pt idx="10">
                  <c:v>8.6206896551724144E-2</c:v>
                </c:pt>
                <c:pt idx="11">
                  <c:v>8.6206896551724144E-2</c:v>
                </c:pt>
                <c:pt idx="12">
                  <c:v>8.6206896551724144E-2</c:v>
                </c:pt>
                <c:pt idx="13">
                  <c:v>0.10919540229885058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2511-4876-B14E-A04059A972AB}"/>
            </c:ext>
          </c:extLst>
        </c:ser>
        <c:ser>
          <c:idx val="2"/>
          <c:order val="2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2511-4876-B14E-A04059A972A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2511-4876-B14E-A04059A972AB}"/>
                </c:ext>
              </c:extLst>
            </c:dLbl>
            <c:dLbl>
              <c:idx val="2"/>
              <c:tx>
                <c:strRef>
                  <c:f>'C05X'!$AD$13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{5E976820-A6AD-4A98-B908-8B806DB9A3EE}</c15:txfldGUID>
                      <c15:f>'C05X'!$AD$13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2511-4876-B14E-A04059A972AB}"/>
                </c:ext>
              </c:extLst>
            </c:dLbl>
            <c:dLbl>
              <c:idx val="3"/>
              <c:tx>
                <c:strRef>
                  <c:f>'C05X'!$AD$14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{0B14CA9A-2DB0-40AB-8A18-418AC7300F7B}</c15:txfldGUID>
                      <c15:f>'C05X'!$AD$14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2511-4876-B14E-A04059A972AB}"/>
                </c:ext>
              </c:extLst>
            </c:dLbl>
            <c:dLbl>
              <c:idx val="4"/>
              <c:tx>
                <c:strRef>
                  <c:f>'C05X'!$AD$15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{6F9C3ADC-A071-4F48-81C0-20FC934438FA}</c15:txfldGUID>
                      <c15:f>'C05X'!$AD$15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2511-4876-B14E-A04059A972AB}"/>
                </c:ext>
              </c:extLst>
            </c:dLbl>
            <c:dLbl>
              <c:idx val="5"/>
              <c:tx>
                <c:strRef>
                  <c:f>'C05X'!$AD$16</c:f>
                  <c:strCache>
                    <c:ptCount val="1"/>
                    <c:pt idx="0">
                      <c:v>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{C7F81110-33E4-49B4-B48A-50007EFE4862}</c15:txfldGUID>
                      <c15:f>'C05X'!$AD$16</c15:f>
                      <c15:dlblFieldTableCache>
                        <c:ptCount val="1"/>
                        <c:pt idx="0">
                          <c:v>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2511-4876-B14E-A04059A972AB}"/>
                </c:ext>
              </c:extLst>
            </c:dLbl>
            <c:dLbl>
              <c:idx val="6"/>
              <c:tx>
                <c:strRef>
                  <c:f>'C05X'!$AD$17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{6B545021-7978-44D3-90E9-A7CC1D109A0C}</c15:txfldGUID>
                      <c15:f>'C05X'!$AD$17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2511-4876-B14E-A04059A972AB}"/>
                </c:ext>
              </c:extLst>
            </c:dLbl>
            <c:dLbl>
              <c:idx val="7"/>
              <c:tx>
                <c:strRef>
                  <c:f>'C05X'!$AD$18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{77D4E436-5A40-49FD-8903-9A7696EA212E}</c15:txfldGUID>
                      <c15:f>'C05X'!$AD$18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2511-4876-B14E-A04059A972AB}"/>
                </c:ext>
              </c:extLst>
            </c:dLbl>
            <c:dLbl>
              <c:idx val="8"/>
              <c:tx>
                <c:strRef>
                  <c:f>'C05X'!$AD$19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{5AA95FBB-39C0-4756-AE97-F84818479B9C}</c15:txfldGUID>
                      <c15:f>'C05X'!$AD$19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2511-4876-B14E-A04059A972AB}"/>
                </c:ext>
              </c:extLst>
            </c:dLbl>
            <c:dLbl>
              <c:idx val="9"/>
              <c:tx>
                <c:strRef>
                  <c:f>'C05X'!$AD$20</c:f>
                  <c:strCache>
                    <c:ptCount val="1"/>
                    <c:pt idx="0">
                      <c:v>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{3961F186-F1BE-4413-A10F-7899D56C3E76}</c15:txfldGUID>
                      <c15:f>'C05X'!$AD$20</c15:f>
                      <c15:dlblFieldTableCache>
                        <c:ptCount val="1"/>
                        <c:pt idx="0">
                          <c:v>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2511-4876-B14E-A04059A972A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511-4876-B14E-A04059A972A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2511-4876-B14E-A04059A972A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511-4876-B14E-A04059A972A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2511-4876-B14E-A04059A972AB}"/>
                </c:ext>
              </c:extLst>
            </c:dLbl>
            <c:dLbl>
              <c:idx val="14"/>
              <c:tx>
                <c:strRef>
                  <c:f>'C05X'!$AD$25</c:f>
                  <c:strCache>
                    <c:ptCount val="1"/>
                    <c:pt idx="0">
                      <c:v>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{98C67514-C96C-40D7-B48C-55A4DEF9575E}</c15:txfldGUID>
                      <c15:f>'C05X'!$AD$25</c15:f>
                      <c15:dlblFieldTableCache>
                        <c:ptCount val="1"/>
                        <c:pt idx="0">
                          <c:v>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2511-4876-B14E-A04059A972A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2511-4876-B14E-A04059A972A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511-4876-B14E-A04059A972A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'C05X'!$AC$11:$AC$27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8.6206896551724144E-2</c:v>
                </c:pt>
                <c:pt idx="3">
                  <c:v>7.4712643678160925E-2</c:v>
                </c:pt>
                <c:pt idx="4">
                  <c:v>9.7701149425287362E-2</c:v>
                </c:pt>
                <c:pt idx="5">
                  <c:v>4.0229885057471264E-2</c:v>
                </c:pt>
                <c:pt idx="6">
                  <c:v>2.8735632183908046E-2</c:v>
                </c:pt>
                <c:pt idx="7">
                  <c:v>3.4482758620689655E-2</c:v>
                </c:pt>
                <c:pt idx="8">
                  <c:v>6.3218390804597707E-2</c:v>
                </c:pt>
                <c:pt idx="9">
                  <c:v>5.1724137931034482E-2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0.47701149425287354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2511-4876-B14E-A04059A972AB}"/>
            </c:ext>
          </c:extLst>
        </c:ser>
        <c:ser>
          <c:idx val="3"/>
          <c:order val="3"/>
          <c:tx>
            <c:v>FC bar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511-4876-B14E-A04059A972A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2511-4876-B14E-A04059A972A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511-4876-B14E-A04059A972A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2511-4876-B14E-A04059A972A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511-4876-B14E-A04059A972A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2511-4876-B14E-A04059A972A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511-4876-B14E-A04059A972A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2511-4876-B14E-A04059A972A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511-4876-B14E-A04059A972A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2511-4876-B14E-A04059A972AB}"/>
                </c:ext>
              </c:extLst>
            </c:dLbl>
            <c:dLbl>
              <c:idx val="10"/>
              <c:tx>
                <c:strRef>
                  <c:f>'C05X'!$AF$21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{A91E551C-07FC-46DB-888F-4530E52C2917}</c15:txfldGUID>
                      <c15:f>'C05X'!$AF$21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2511-4876-B14E-A04059A972AB}"/>
                </c:ext>
              </c:extLst>
            </c:dLbl>
            <c:dLbl>
              <c:idx val="11"/>
              <c:tx>
                <c:strRef>
                  <c:f>'C05X'!$AF$22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{BD8A569D-1D41-4D4A-8E08-BCB2C06C86E9}</c15:txfldGUID>
                      <c15:f>'C05X'!$AF$22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2511-4876-B14E-A04059A972AB}"/>
                </c:ext>
              </c:extLst>
            </c:dLbl>
            <c:dLbl>
              <c:idx val="12"/>
              <c:tx>
                <c:strRef>
                  <c:f>'C05X'!$AF$23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{43E637D4-846A-4EC3-929D-CE09F45D8F83}</c15:txfldGUID>
                      <c15:f>'C05X'!$AF$23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2511-4876-B14E-A04059A972AB}"/>
                </c:ext>
              </c:extLst>
            </c:dLbl>
            <c:dLbl>
              <c:idx val="13"/>
              <c:tx>
                <c:strRef>
                  <c:f>'C05X'!$AF$24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{54FC74BD-867D-4C75-BC52-3180A5B0D9E6}</c15:txfldGUID>
                      <c15:f>'C05X'!$AF$24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2511-4876-B14E-A04059A972AB}"/>
                </c:ext>
              </c:extLst>
            </c:dLbl>
            <c:dLbl>
              <c:idx val="14"/>
              <c:tx>
                <c:strRef>
                  <c:f>'C05X'!$AF$25</c:f>
                  <c:strCache>
                    <c:ptCount val="1"/>
                    <c:pt idx="0">
                      <c:v>95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{95625BB8-CF6F-42E0-AA97-372E8CC955FD}</c15:txfldGUID>
                      <c15:f>'C05X'!$AF$25</c15:f>
                      <c15:dlblFieldTableCache>
                        <c:ptCount val="1"/>
                        <c:pt idx="0">
                          <c:v>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2511-4876-B14E-A04059A972A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2511-4876-B14E-A04059A972A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2511-4876-B14E-A04059A972A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'C05X'!$A$11:$A$27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'C05X'!$AE$11:$AE$27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0.14942528735632185</c:v>
                </c:pt>
                <c:pt idx="11">
                  <c:v>0.12643678160919541</c:v>
                </c:pt>
                <c:pt idx="12">
                  <c:v>0.10344827586206896</c:v>
                </c:pt>
                <c:pt idx="13">
                  <c:v>0.16666666666666666</c:v>
                </c:pt>
                <c:pt idx="14">
                  <c:v>0.54597701149425293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2511-4876-B14E-A04059A97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76"/>
        <c:axId val="889680527"/>
        <c:axId val="1419082095"/>
      </c:barChart>
      <c:catAx>
        <c:axId val="88968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419082095"/>
        <c:crosses val="autoZero"/>
        <c:auto val="1"/>
        <c:lblAlgn val="ctr"/>
        <c:lblOffset val="100"/>
        <c:noMultiLvlLbl val="0"/>
      </c:catAx>
      <c:valAx>
        <c:axId val="1419082095"/>
        <c:scaling>
          <c:orientation val="minMax"/>
          <c:max val="1.149425287356321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89680527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759-48B7-BA79-3459BD31F5C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759-48B7-BA79-3459BD31F5C4}"/>
                </c:ext>
              </c:extLst>
            </c:dLbl>
            <c:dLbl>
              <c:idx val="2"/>
              <c:tx>
                <c:strRef>
                  <c:f>'C06F'!$W$13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{0724FF45-A43F-4832-90E9-B5F872CDA6AC}</c15:txfldGUID>
                      <c15:f>'C06F'!$W$13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759-48B7-BA79-3459BD31F5C4}"/>
                </c:ext>
              </c:extLst>
            </c:dLbl>
            <c:dLbl>
              <c:idx val="3"/>
              <c:tx>
                <c:strRef>
                  <c:f>'C06F'!$W$14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{E99E6A72-A70E-4910-8D16-28D2C135CB04}</c15:txfldGUID>
                      <c15:f>'C06F'!$W$14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759-48B7-BA79-3459BD31F5C4}"/>
                </c:ext>
              </c:extLst>
            </c:dLbl>
            <c:dLbl>
              <c:idx val="4"/>
              <c:tx>
                <c:strRef>
                  <c:f>'C06F'!$W$15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{F0822406-CEA6-4682-AD3C-7BA03EC2B7EE}</c15:txfldGUID>
                      <c15:f>'C06F'!$W$15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759-48B7-BA79-3459BD31F5C4}"/>
                </c:ext>
              </c:extLst>
            </c:dLbl>
            <c:dLbl>
              <c:idx val="5"/>
              <c:tx>
                <c:strRef>
                  <c:f>'C06F'!$W$16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{77478E7C-99F3-4B0A-9E42-EADC0C065B61}</c15:txfldGUID>
                      <c15:f>'C06F'!$W$16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759-48B7-BA79-3459BD31F5C4}"/>
                </c:ext>
              </c:extLst>
            </c:dLbl>
            <c:dLbl>
              <c:idx val="6"/>
              <c:tx>
                <c:strRef>
                  <c:f>'C06F'!$W$17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{9885F12F-8711-4EDD-B263-4BCE8F3889A1}</c15:txfldGUID>
                      <c15:f>'C06F'!$W$17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759-48B7-BA79-3459BD31F5C4}"/>
                </c:ext>
              </c:extLst>
            </c:dLbl>
            <c:dLbl>
              <c:idx val="7"/>
              <c:tx>
                <c:strRef>
                  <c:f>'C06F'!$W$18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{ED0E95BB-E9F6-4063-A28D-3A95C7BE50C0}</c15:txfldGUID>
                      <c15:f>'C06F'!$W$18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759-48B7-BA79-3459BD31F5C4}"/>
                </c:ext>
              </c:extLst>
            </c:dLbl>
            <c:dLbl>
              <c:idx val="8"/>
              <c:tx>
                <c:strRef>
                  <c:f>'C06F'!$W$19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{D5C74558-64C8-4BCB-A896-2F63E9B6F96E}</c15:txfldGUID>
                      <c15:f>'C06F'!$W$19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759-48B7-BA79-3459BD31F5C4}"/>
                </c:ext>
              </c:extLst>
            </c:dLbl>
            <c:dLbl>
              <c:idx val="9"/>
              <c:tx>
                <c:strRef>
                  <c:f>'C06F'!$W$20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{A95CEDD8-A062-4B39-A328-7976894AF5B3}</c15:txfldGUID>
                      <c15:f>'C06F'!$W$20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759-48B7-BA79-3459BD31F5C4}"/>
                </c:ext>
              </c:extLst>
            </c:dLbl>
            <c:dLbl>
              <c:idx val="10"/>
              <c:tx>
                <c:strRef>
                  <c:f>'C06F'!$W$21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{4AF662D8-0D79-4688-964B-AC256361C130}</c15:txfldGUID>
                      <c15:f>'C06F'!$W$21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759-48B7-BA79-3459BD31F5C4}"/>
                </c:ext>
              </c:extLst>
            </c:dLbl>
            <c:dLbl>
              <c:idx val="11"/>
              <c:tx>
                <c:strRef>
                  <c:f>'C06F'!$W$22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{A850C9FC-87F6-4876-B1BD-261B5EB20C96}</c15:txfldGUID>
                      <c15:f>'C06F'!$W$22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759-48B7-BA79-3459BD31F5C4}"/>
                </c:ext>
              </c:extLst>
            </c:dLbl>
            <c:dLbl>
              <c:idx val="12"/>
              <c:tx>
                <c:strRef>
                  <c:f>'C06F'!$W$23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{14C8B684-B397-4732-ACE7-102DCA3585F9}</c15:txfldGUID>
                      <c15:f>'C06F'!$W$23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759-48B7-BA79-3459BD31F5C4}"/>
                </c:ext>
              </c:extLst>
            </c:dLbl>
            <c:dLbl>
              <c:idx val="13"/>
              <c:tx>
                <c:strRef>
                  <c:f>'C06F'!$W$24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{A9B99172-ADE5-4B2D-AD10-F3F172FE2AF3}</c15:txfldGUID>
                      <c15:f>'C06F'!$W$24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759-48B7-BA79-3459BD31F5C4}"/>
                </c:ext>
              </c:extLst>
            </c:dLbl>
            <c:dLbl>
              <c:idx val="14"/>
              <c:tx>
                <c:strRef>
                  <c:f>'C06F'!$W$25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{133BE0C0-16BF-4F10-90F5-1E792693C0C3}</c15:txfldGUID>
                      <c15:f>'C06F'!$W$25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759-48B7-BA79-3459BD31F5C4}"/>
                </c:ext>
              </c:extLst>
            </c:dLbl>
            <c:dLbl>
              <c:idx val="15"/>
              <c:tx>
                <c:strRef>
                  <c:f>'C06F'!$W$26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{A3F300C0-B0B5-47A5-B277-8758FE7A3976}</c15:txfldGUID>
                      <c15:f>'C06F'!$W$26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759-48B7-BA79-3459BD31F5C4}"/>
                </c:ext>
              </c:extLst>
            </c:dLbl>
            <c:dLbl>
              <c:idx val="16"/>
              <c:tx>
                <c:strRef>
                  <c:f>'C06F'!$W$27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{B07EB92F-CA9C-4376-87E2-69B5C39B1498}</c15:txfldGUID>
                      <c15:f>'C06F'!$W$27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759-48B7-BA79-3459BD31F5C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759-48B7-BA79-3459BD31F5C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759-48B7-BA79-3459BD31F5C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759-48B7-BA79-3459BD31F5C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'C06F'!$V$11:$V$30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59-48B7-BA79-3459BD31F5C4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'C06F'!$X$11:$X$30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759-48B7-BA79-3459BD31F5C4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'C06F'!$Z$11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{CCD9D6A5-1484-479F-8130-DDD2C76E9973}</c15:txfldGUID>
                      <c15:f>'C06F'!$Z$11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9759-48B7-BA79-3459BD31F5C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759-48B7-BA79-3459BD31F5C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759-48B7-BA79-3459BD31F5C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759-48B7-BA79-3459BD31F5C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759-48B7-BA79-3459BD31F5C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759-48B7-BA79-3459BD31F5C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759-48B7-BA79-3459BD31F5C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759-48B7-BA79-3459BD31F5C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759-48B7-BA79-3459BD31F5C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759-48B7-BA79-3459BD31F5C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9759-48B7-BA79-3459BD31F5C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9759-48B7-BA79-3459BD31F5C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9759-48B7-BA79-3459BD31F5C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9759-48B7-BA79-3459BD31F5C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759-48B7-BA79-3459BD31F5C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9759-48B7-BA79-3459BD31F5C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759-48B7-BA79-3459BD31F5C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9759-48B7-BA79-3459BD31F5C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759-48B7-BA79-3459BD31F5C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9759-48B7-BA79-3459BD31F5C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'C06F'!$Y$11:$Y$30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759-48B7-BA79-3459BD31F5C4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9759-48B7-BA79-3459BD31F5C4}"/>
                </c:ext>
              </c:extLst>
            </c:dLbl>
            <c:dLbl>
              <c:idx val="1"/>
              <c:tx>
                <c:strRef>
                  <c:f>'C06F'!$AB$12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{85DF3E5D-653E-4C93-9AF9-43BC10923427}</c15:txfldGUID>
                      <c15:f>'C06F'!$AB$12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9759-48B7-BA79-3459BD31F5C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9759-48B7-BA79-3459BD31F5C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759-48B7-BA79-3459BD31F5C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759-48B7-BA79-3459BD31F5C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759-48B7-BA79-3459BD31F5C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759-48B7-BA79-3459BD31F5C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759-48B7-BA79-3459BD31F5C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9759-48B7-BA79-3459BD31F5C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759-48B7-BA79-3459BD31F5C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759-48B7-BA79-3459BD31F5C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759-48B7-BA79-3459BD31F5C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9759-48B7-BA79-3459BD31F5C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759-48B7-BA79-3459BD31F5C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9759-48B7-BA79-3459BD31F5C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759-48B7-BA79-3459BD31F5C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759-48B7-BA79-3459BD31F5C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9759-48B7-BA79-3459BD31F5C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759-48B7-BA79-3459BD31F5C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9759-48B7-BA79-3459BD31F5C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'C06F'!$AA$11:$AA$30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759-48B7-BA79-3459BD31F5C4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9759-48B7-BA79-3459BD31F5C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9759-48B7-BA79-3459BD31F5C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9759-48B7-BA79-3459BD31F5C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759-48B7-BA79-3459BD31F5C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9759-48B7-BA79-3459BD31F5C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9759-48B7-BA79-3459BD31F5C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9759-48B7-BA79-3459BD31F5C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759-48B7-BA79-3459BD31F5C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9759-48B7-BA79-3459BD31F5C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759-48B7-BA79-3459BD31F5C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9759-48B7-BA79-3459BD31F5C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759-48B7-BA79-3459BD31F5C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9759-48B7-BA79-3459BD31F5C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759-48B7-BA79-3459BD31F5C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9759-48B7-BA79-3459BD31F5C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9759-48B7-BA79-3459BD31F5C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9759-48B7-BA79-3459BD31F5C4}"/>
                </c:ext>
              </c:extLst>
            </c:dLbl>
            <c:dLbl>
              <c:idx val="17"/>
              <c:tx>
                <c:strRef>
                  <c:f>'C06F'!$AD$28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{BAAC9B58-5A37-4CA3-9A4C-760929C521E4}</c15:txfldGUID>
                      <c15:f>'C06F'!$AD$28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9759-48B7-BA79-3459BD31F5C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9759-48B7-BA79-3459BD31F5C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9759-48B7-BA79-3459BD31F5C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'C06F'!$AC$11:$AC$30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9759-48B7-BA79-3459BD31F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89690735"/>
        <c:axId val="1419250575"/>
      </c:barChart>
      <c:catAx>
        <c:axId val="8896907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19250575"/>
        <c:crosses val="autoZero"/>
        <c:auto val="1"/>
        <c:lblAlgn val="ctr"/>
        <c:lblOffset val="100"/>
        <c:noMultiLvlLbl val="0"/>
      </c:catAx>
      <c:valAx>
        <c:axId val="1419250575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89690735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'C06F'!$AE$11:$AE$30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13-4086-A2CA-440DE6CC548C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13-4086-A2CA-440DE6CC54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13-4086-A2CA-440DE6CC548C}"/>
                </c:ext>
              </c:extLst>
            </c:dLbl>
            <c:dLbl>
              <c:idx val="2"/>
              <c:tx>
                <c:strRef>
                  <c:f>'C06F'!$AG$13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{B3CABC27-757D-4F42-9C66-55746BCC618A}</c15:txfldGUID>
                      <c15:f>'C06F'!$AG$13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713-4086-A2CA-440DE6CC548C}"/>
                </c:ext>
              </c:extLst>
            </c:dLbl>
            <c:dLbl>
              <c:idx val="3"/>
              <c:tx>
                <c:strRef>
                  <c:f>'C06F'!$AG$14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{9479504E-3D75-4BEB-941B-90B62F54BB8D}</c15:txfldGUID>
                      <c15:f>'C06F'!$AG$14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713-4086-A2CA-440DE6CC548C}"/>
                </c:ext>
              </c:extLst>
            </c:dLbl>
            <c:dLbl>
              <c:idx val="4"/>
              <c:tx>
                <c:strRef>
                  <c:f>'C06F'!$AG$15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{E27A4C10-1EBD-46E6-AE97-FB71050F9A66}</c15:txfldGUID>
                      <c15:f>'C06F'!$AG$15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713-4086-A2CA-440DE6CC548C}"/>
                </c:ext>
              </c:extLst>
            </c:dLbl>
            <c:dLbl>
              <c:idx val="5"/>
              <c:tx>
                <c:strRef>
                  <c:f>'C06F'!$AG$16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{4A0A7CC0-F5A3-4B9F-AEC1-7B10F8507465}</c15:txfldGUID>
                      <c15:f>'C06F'!$AG$16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713-4086-A2CA-440DE6CC548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13-4086-A2CA-440DE6CC548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13-4086-A2CA-440DE6CC548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13-4086-A2CA-440DE6CC548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13-4086-A2CA-440DE6CC548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13-4086-A2CA-440DE6CC548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13-4086-A2CA-440DE6CC548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713-4086-A2CA-440DE6CC548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13-4086-A2CA-440DE6CC548C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13-4086-A2CA-440DE6CC548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13-4086-A2CA-440DE6CC548C}"/>
                </c:ext>
              </c:extLst>
            </c:dLbl>
            <c:dLbl>
              <c:idx val="16"/>
              <c:tx>
                <c:strRef>
                  <c:f>'C06F'!$AG$27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{19E52100-C3F8-435B-9413-696E14036175}</c15:txfldGUID>
                      <c15:f>'C06F'!$AG$27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713-4086-A2CA-440DE6CC548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13-4086-A2CA-440DE6CC548C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13-4086-A2CA-440DE6CC548C}"/>
                </c:ext>
              </c:extLst>
            </c:dLbl>
            <c:dLbl>
              <c:idx val="19"/>
              <c:tx>
                <c:strRef>
                  <c:f>'C06F'!$AG$30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{27C48E02-AAFA-4B3F-967E-DEAC3B6C651E}</c15:txfldGUID>
                      <c15:f>'C06F'!$AG$30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713-4086-A2CA-440DE6CC548C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'C06F'!$AF$11:$AF$30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13-4086-A2CA-440DE6CC548C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13-4086-A2CA-440DE6CC54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13-4086-A2CA-440DE6CC54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13-4086-A2CA-440DE6CC54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13-4086-A2CA-440DE6CC54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13-4086-A2CA-440DE6CC548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13-4086-A2CA-440DE6CC548C}"/>
                </c:ext>
              </c:extLst>
            </c:dLbl>
            <c:dLbl>
              <c:idx val="6"/>
              <c:tx>
                <c:strRef>
                  <c:f>'C06F'!$AI$17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{2A7F31A8-65E2-4313-A428-DC24A693BCB2}</c15:txfldGUID>
                      <c15:f>'C06F'!$AI$17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713-4086-A2CA-440DE6CC548C}"/>
                </c:ext>
              </c:extLst>
            </c:dLbl>
            <c:dLbl>
              <c:idx val="7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{8B0C40F3-8D02-4AE2-A00E-64F9447ABD1F}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713-4086-A2CA-440DE6CC548C}"/>
                </c:ext>
              </c:extLst>
            </c:dLbl>
            <c:dLbl>
              <c:idx val="8"/>
              <c:tx>
                <c:strRef>
                  <c:f>'C06F'!$AI$19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{FB0E4579-BCC1-4928-A274-AF3D4F26AA83}</c15:txfldGUID>
                      <c15:f>'C06F'!$AI$19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713-4086-A2CA-440DE6CC548C}"/>
                </c:ext>
              </c:extLst>
            </c:dLbl>
            <c:dLbl>
              <c:idx val="9"/>
              <c:tx>
                <c:strRef>
                  <c:f>'C06F'!$AI$20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{E934C7E2-4116-4AE9-BD1E-AD6F77B7ABCF}</c15:txfldGUID>
                      <c15:f>'C06F'!$AI$20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713-4086-A2CA-440DE6CC548C}"/>
                </c:ext>
              </c:extLst>
            </c:dLbl>
            <c:dLbl>
              <c:idx val="10"/>
              <c:tx>
                <c:strRef>
                  <c:f>'C06F'!$AI$21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{673771AC-6DB3-4CD0-A83E-F1879C571D8B}</c15:txfldGUID>
                      <c15:f>'C06F'!$AI$21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713-4086-A2CA-440DE6CC548C}"/>
                </c:ext>
              </c:extLst>
            </c:dLbl>
            <c:dLbl>
              <c:idx val="11"/>
              <c:tx>
                <c:strRef>
                  <c:f>'C06F'!$AI$22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{9EC60E0E-7370-47B9-A4B8-AFE0F00BF46F}</c15:txfldGUID>
                      <c15:f>'C06F'!$AI$22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713-4086-A2CA-440DE6CC548C}"/>
                </c:ext>
              </c:extLst>
            </c:dLbl>
            <c:dLbl>
              <c:idx val="12"/>
              <c:tx>
                <c:strRef>
                  <c:f>'C06F'!$AI$23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{ECC515F4-3F4F-4DF7-BD03-43B6E5A6C68C}</c15:txfldGUID>
                      <c15:f>'C06F'!$AI$23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713-4086-A2CA-440DE6CC548C}"/>
                </c:ext>
              </c:extLst>
            </c:dLbl>
            <c:dLbl>
              <c:idx val="13"/>
              <c:tx>
                <c:strRef>
                  <c:f>'C06F'!$AI$24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{B9A71CD3-F5DD-493E-BD20-07E793A294FA}</c15:txfldGUID>
                      <c15:f>'C06F'!$AI$24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713-4086-A2CA-440DE6CC548C}"/>
                </c:ext>
              </c:extLst>
            </c:dLbl>
            <c:dLbl>
              <c:idx val="14"/>
              <c:tx>
                <c:strRef>
                  <c:f>'C06F'!$AI$25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{0F1413B3-B3D0-4BB4-BA5E-52BBF9F01851}</c15:txfldGUID>
                      <c15:f>'C06F'!$AI$25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B713-4086-A2CA-440DE6CC548C}"/>
                </c:ext>
              </c:extLst>
            </c:dLbl>
            <c:dLbl>
              <c:idx val="15"/>
              <c:tx>
                <c:strRef>
                  <c:f>'C06F'!$AI$26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{B9C6A79A-F92F-4A7A-915A-6573624CD760}</c15:txfldGUID>
                      <c15:f>'C06F'!$AI$26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B713-4086-A2CA-440DE6CC548C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713-4086-A2CA-440DE6CC548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B713-4086-A2CA-440DE6CC548C}"/>
                </c:ext>
              </c:extLst>
            </c:dLbl>
            <c:dLbl>
              <c:idx val="18"/>
              <c:tx>
                <c:strRef>
                  <c:f>'C06F'!$AI$29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{51C7B144-0FA6-4477-B666-A97B65520711}</c15:txfldGUID>
                      <c15:f>'C06F'!$AI$29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B713-4086-A2CA-440DE6CC548C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B713-4086-A2CA-440DE6CC548C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'C06F'!$A$11:$A$30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'C06F'!$AH$11:$AH$30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713-4086-A2CA-440DE6CC5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0767759"/>
        <c:axId val="1419126735"/>
      </c:barChart>
      <c:catAx>
        <c:axId val="89076775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419126735"/>
        <c:crosses val="autoZero"/>
        <c:auto val="1"/>
        <c:lblAlgn val="ctr"/>
        <c:lblOffset val="100"/>
        <c:noMultiLvlLbl val="0"/>
      </c:catAx>
      <c:valAx>
        <c:axId val="1419126735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0767759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'C12A'!$AE$11:$AE$30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514-4504-B84F-766C0A9B4BC5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'C12A'!$AG$11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{D9D7D833-9B5E-48FF-A0B5-0E9F9774CF7A}</c15:txfldGUID>
                      <c15:f>'C12A'!$AG$11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2514-4504-B84F-766C0A9B4BC5}"/>
                </c:ext>
              </c:extLst>
            </c:dLbl>
            <c:dLbl>
              <c:idx val="1"/>
              <c:tx>
                <c:strRef>
                  <c:f>'C12A'!$AG$12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{70676A97-3C31-4240-97F5-715709EA0D8D}</c15:txfldGUID>
                      <c15:f>'C12A'!$AG$12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2514-4504-B84F-766C0A9B4BC5}"/>
                </c:ext>
              </c:extLst>
            </c:dLbl>
            <c:dLbl>
              <c:idx val="2"/>
              <c:tx>
                <c:strRef>
                  <c:f>'C12A'!$AG$13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{8DB5F8E5-9E19-4E3F-BAC4-928B0A693AA4}</c15:txfldGUID>
                      <c15:f>'C12A'!$AG$13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2514-4504-B84F-766C0A9B4BC5}"/>
                </c:ext>
              </c:extLst>
            </c:dLbl>
            <c:dLbl>
              <c:idx val="3"/>
              <c:tx>
                <c:strRef>
                  <c:f>'C12A'!$AG$14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{6DB2628C-3EFD-49D7-8891-E5EABBD51DC4}</c15:txfldGUID>
                      <c15:f>'C12A'!$AG$14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2514-4504-B84F-766C0A9B4BC5}"/>
                </c:ext>
              </c:extLst>
            </c:dLbl>
            <c:dLbl>
              <c:idx val="4"/>
              <c:tx>
                <c:strRef>
                  <c:f>'C12A'!$AG$15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{5BA5BEFC-55A5-48EC-882B-31AE623C119D}</c15:txfldGUID>
                      <c15:f>'C12A'!$AG$15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2514-4504-B84F-766C0A9B4BC5}"/>
                </c:ext>
              </c:extLst>
            </c:dLbl>
            <c:dLbl>
              <c:idx val="5"/>
              <c:tx>
                <c:strRef>
                  <c:f>'C12A'!$AG$16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{5410D011-AD97-49F1-9DDE-35E91B6A6EE3}</c15:txfldGUID>
                      <c15:f>'C12A'!$AG$16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2514-4504-B84F-766C0A9B4BC5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514-4504-B84F-766C0A9B4BC5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514-4504-B84F-766C0A9B4BC5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514-4504-B84F-766C0A9B4BC5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514-4504-B84F-766C0A9B4BC5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514-4504-B84F-766C0A9B4BC5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514-4504-B84F-766C0A9B4BC5}"/>
                </c:ext>
              </c:extLst>
            </c:dLbl>
            <c:dLbl>
              <c:idx val="12"/>
              <c:tx>
                <c:strRef>
                  <c:f>'C12A'!$AG$23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{4904C65F-E755-48AE-9801-F569451DC2EB}</c15:txfldGUID>
                      <c15:f>'C12A'!$AG$23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2514-4504-B84F-766C0A9B4BC5}"/>
                </c:ext>
              </c:extLst>
            </c:dLbl>
            <c:dLbl>
              <c:idx val="13"/>
              <c:tx>
                <c:strRef>
                  <c:f>'C12A'!$AG$24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{9ECA397C-8738-4376-9A42-A3C04DB898B3}</c15:txfldGUID>
                      <c15:f>'C12A'!$AG$24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2514-4504-B84F-766C0A9B4BC5}"/>
                </c:ext>
              </c:extLst>
            </c:dLbl>
            <c:dLbl>
              <c:idx val="14"/>
              <c:tx>
                <c:strRef>
                  <c:f>'C12A'!$AG$25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{F3D8D035-2638-475C-B502-07C1636F76F8}</c15:txfldGUID>
                      <c15:f>'C12A'!$AG$25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2514-4504-B84F-766C0A9B4BC5}"/>
                </c:ext>
              </c:extLst>
            </c:dLbl>
            <c:dLbl>
              <c:idx val="15"/>
              <c:tx>
                <c:strRef>
                  <c:f>'C12A'!$AG$26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{2F1E18EA-4519-452C-B4B4-F1D5790013D7}</c15:txfldGUID>
                      <c15:f>'C12A'!$AG$26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2514-4504-B84F-766C0A9B4BC5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514-4504-B84F-766C0A9B4BC5}"/>
                </c:ext>
              </c:extLst>
            </c:dLbl>
            <c:dLbl>
              <c:idx val="17"/>
              <c:tx>
                <c:strRef>
                  <c:f>'C12A'!$AG$28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{C60D1318-D968-4AC9-B582-85A9F41804E8}</c15:txfldGUID>
                      <c15:f>'C12A'!$AG$28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2514-4504-B84F-766C0A9B4BC5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514-4504-B84F-766C0A9B4BC5}"/>
                </c:ext>
              </c:extLst>
            </c:dLbl>
            <c:dLbl>
              <c:idx val="19"/>
              <c:tx>
                <c:strRef>
                  <c:f>'C12A'!$AG$30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{DAEB0ED1-6255-42B3-BDA0-604AF94EF103}</c15:txfldGUID>
                      <c15:f>'C12A'!$AG$30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2514-4504-B84F-766C0A9B4BC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'C12A'!$AF$11:$AF$30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14-4504-B84F-766C0A9B4BC5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514-4504-B84F-766C0A9B4BC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514-4504-B84F-766C0A9B4BC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514-4504-B84F-766C0A9B4BC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514-4504-B84F-766C0A9B4BC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514-4504-B84F-766C0A9B4BC5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514-4504-B84F-766C0A9B4BC5}"/>
                </c:ext>
              </c:extLst>
            </c:dLbl>
            <c:dLbl>
              <c:idx val="6"/>
              <c:tx>
                <c:strRef>
                  <c:f>'C12A'!$AI$17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{D03429A2-8203-482B-A822-F86CF3375D9F}</c15:txfldGUID>
                      <c15:f>'C12A'!$AI$17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2514-4504-B84F-766C0A9B4BC5}"/>
                </c:ext>
              </c:extLst>
            </c:dLbl>
            <c:dLbl>
              <c:idx val="7"/>
              <c:tx>
                <c:strRef>
                  <c:f>'C12A'!$AI$18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{75D48B20-DA7A-427C-81DE-F6BA08251AD9}</c15:txfldGUID>
                      <c15:f>'C12A'!$AI$18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2514-4504-B84F-766C0A9B4BC5}"/>
                </c:ext>
              </c:extLst>
            </c:dLbl>
            <c:dLbl>
              <c:idx val="8"/>
              <c:tx>
                <c:strRef>
                  <c:f>'C12A'!$AI$19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{5F3A71D6-C643-41F4-B442-52B775896ACD}</c15:txfldGUID>
                      <c15:f>'C12A'!$AI$19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2514-4504-B84F-766C0A9B4BC5}"/>
                </c:ext>
              </c:extLst>
            </c:dLbl>
            <c:dLbl>
              <c:idx val="9"/>
              <c:tx>
                <c:strRef>
                  <c:f>'C12A'!$AI$20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{ED1F632A-5065-4CBE-AF35-497A4D8B572C}</c15:txfldGUID>
                      <c15:f>'C12A'!$AI$20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2514-4504-B84F-766C0A9B4BC5}"/>
                </c:ext>
              </c:extLst>
            </c:dLbl>
            <c:dLbl>
              <c:idx val="10"/>
              <c:tx>
                <c:strRef>
                  <c:f>'C12A'!$AI$21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{B63CD53D-7B53-4041-958E-CA66BC17FF68}</c15:txfldGUID>
                      <c15:f>'C12A'!$AI$21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2514-4504-B84F-766C0A9B4BC5}"/>
                </c:ext>
              </c:extLst>
            </c:dLbl>
            <c:dLbl>
              <c:idx val="11"/>
              <c:tx>
                <c:strRef>
                  <c:f>'C12A'!$AI$22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{39922E57-B62D-43F8-9607-CCFDC8E83489}</c15:txfldGUID>
                      <c15:f>'C12A'!$AI$22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2514-4504-B84F-766C0A9B4BC5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514-4504-B84F-766C0A9B4BC5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514-4504-B84F-766C0A9B4BC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514-4504-B84F-766C0A9B4BC5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514-4504-B84F-766C0A9B4BC5}"/>
                </c:ext>
              </c:extLst>
            </c:dLbl>
            <c:dLbl>
              <c:idx val="16"/>
              <c:tx>
                <c:strRef>
                  <c:f>'C12A'!$AI$27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{16D778F1-08FC-4275-A129-937EE414DD80}</c15:txfldGUID>
                      <c15:f>'C12A'!$AI$27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2514-4504-B84F-766C0A9B4BC5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514-4504-B84F-766C0A9B4BC5}"/>
                </c:ext>
              </c:extLst>
            </c:dLbl>
            <c:dLbl>
              <c:idx val="18"/>
              <c:tx>
                <c:strRef>
                  <c:f>'C12A'!$AI$29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{164752A4-CCB4-489C-96DE-A646F7CD0B35}</c15:txfldGUID>
                      <c15:f>'C12A'!$AI$29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2514-4504-B84F-766C0A9B4BC5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514-4504-B84F-766C0A9B4BC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'C12A'!$A$11:$A$30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'C12A'!$AH$11:$AH$30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2514-4504-B84F-766C0A9B4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0762191"/>
        <c:axId val="1419062415"/>
      </c:barChart>
      <c:catAx>
        <c:axId val="89076219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419062415"/>
        <c:crosses val="autoZero"/>
        <c:auto val="1"/>
        <c:lblAlgn val="ctr"/>
        <c:lblOffset val="100"/>
        <c:noMultiLvlLbl val="0"/>
      </c:catAx>
      <c:valAx>
        <c:axId val="1419062415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890762191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11</xdr:col>
      <xdr:colOff>228600</xdr:colOff>
      <xdr:row>68</xdr:row>
      <xdr:rowOff>139700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DD0C3205-856C-5496-DFFE-028B4C4582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11</xdr:col>
      <xdr:colOff>482600</xdr:colOff>
      <xdr:row>1</xdr:row>
      <xdr:rowOff>133350</xdr:rowOff>
    </xdr:to>
    <xdr:sp macro="" textlink="'C01A'!$B$1">
      <xdr:nvSpPr>
        <xdr:cNvPr id="3" name="title_C01A_entity">
          <a:extLst>
            <a:ext uri="{FF2B5EF4-FFF2-40B4-BE49-F238E27FC236}">
              <a16:creationId xmlns:a16="http://schemas.microsoft.com/office/drawing/2014/main" id="{6A8DA807-FDE5-C693-FEC7-6279D58F4CBF}"/>
            </a:ext>
          </a:extLst>
        </xdr:cNvPr>
        <xdr:cNvSpPr txBox="1"/>
      </xdr:nvSpPr>
      <xdr:spPr>
        <a:xfrm>
          <a:off x="5175250" y="1270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41AECA1-8C6E-4908-B2B2-D79C9E751D0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11</xdr:col>
      <xdr:colOff>482600</xdr:colOff>
      <xdr:row>2</xdr:row>
      <xdr:rowOff>139700</xdr:rowOff>
    </xdr:to>
    <xdr:sp macro="" textlink="'C01A'!$B$7">
      <xdr:nvSpPr>
        <xdr:cNvPr id="4" name="title_C01A_subject">
          <a:extLst>
            <a:ext uri="{FF2B5EF4-FFF2-40B4-BE49-F238E27FC236}">
              <a16:creationId xmlns:a16="http://schemas.microsoft.com/office/drawing/2014/main" id="{03E8725F-AB00-C8AF-B904-EEA4B6F13A0F}"/>
            </a:ext>
          </a:extLst>
        </xdr:cNvPr>
        <xdr:cNvSpPr txBox="1"/>
      </xdr:nvSpPr>
      <xdr:spPr>
        <a:xfrm>
          <a:off x="5175250" y="3175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9321A8F-4E49-43D3-9093-7A56D25525E8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11</xdr:col>
      <xdr:colOff>482600</xdr:colOff>
      <xdr:row>3</xdr:row>
      <xdr:rowOff>146050</xdr:rowOff>
    </xdr:to>
    <xdr:sp macro="" textlink="'C01A'!$B$4">
      <xdr:nvSpPr>
        <xdr:cNvPr id="5" name="title_C01A_period">
          <a:extLst>
            <a:ext uri="{FF2B5EF4-FFF2-40B4-BE49-F238E27FC236}">
              <a16:creationId xmlns:a16="http://schemas.microsoft.com/office/drawing/2014/main" id="{67A47CA2-702F-F8B7-B395-221DB2FD6E01}"/>
            </a:ext>
          </a:extLst>
        </xdr:cNvPr>
        <xdr:cNvSpPr txBox="1"/>
      </xdr:nvSpPr>
      <xdr:spPr>
        <a:xfrm>
          <a:off x="5175250" y="508000"/>
          <a:ext cx="330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C4B416C-8057-41E9-B409-81464EA204B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11</xdr:col>
      <xdr:colOff>482600</xdr:colOff>
      <xdr:row>5</xdr:row>
      <xdr:rowOff>107950</xdr:rowOff>
    </xdr:to>
    <xdr:sp macro="" textlink="'C01A'!$B$6">
      <xdr:nvSpPr>
        <xdr:cNvPr id="6" name="title_C01A_message">
          <a:extLst>
            <a:ext uri="{FF2B5EF4-FFF2-40B4-BE49-F238E27FC236}">
              <a16:creationId xmlns:a16="http://schemas.microsoft.com/office/drawing/2014/main" id="{A5EF65A0-D292-E0C7-D847-C2EA685AA350}"/>
            </a:ext>
          </a:extLst>
        </xdr:cNvPr>
        <xdr:cNvSpPr txBox="1"/>
      </xdr:nvSpPr>
      <xdr:spPr>
        <a:xfrm>
          <a:off x="5175250" y="698500"/>
          <a:ext cx="330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A8FBDCA-F0D9-4BF1-8FDB-FC48498EDA9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34</xdr:col>
      <xdr:colOff>25400</xdr:colOff>
      <xdr:row>66</xdr:row>
      <xdr:rowOff>133048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596724D5-655B-EFBF-B2C5-6C0FFC9AC3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34</xdr:col>
      <xdr:colOff>25400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1CA4CFD0-AE0E-B6A4-3854-44DC5BAC3367}"/>
            </a:ext>
          </a:extLst>
        </xdr:cNvPr>
        <xdr:cNvSpPr txBox="1"/>
      </xdr:nvSpPr>
      <xdr:spPr>
        <a:xfrm>
          <a:off x="14928850" y="127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61BC67F-262C-4C88-94C1-0A8AD2FC68A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34</xdr:col>
      <xdr:colOff>25400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D8E10364-7E8D-A2C6-8C30-AD37254756E7}"/>
            </a:ext>
          </a:extLst>
        </xdr:cNvPr>
        <xdr:cNvSpPr txBox="1"/>
      </xdr:nvSpPr>
      <xdr:spPr>
        <a:xfrm>
          <a:off x="14928850" y="3175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7CEB85C-2ECA-4A6B-A217-39F7BEB2E34F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34</xdr:col>
      <xdr:colOff>25400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ABB8A95D-ADE2-6B8C-1A13-B11FF254DACE}"/>
            </a:ext>
          </a:extLst>
        </xdr:cNvPr>
        <xdr:cNvSpPr txBox="1"/>
      </xdr:nvSpPr>
      <xdr:spPr>
        <a:xfrm>
          <a:off x="14928850" y="508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231EE9D-E4BD-4E36-BBB1-99F90DC5D84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34</xdr:col>
      <xdr:colOff>25400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329C9DD3-948D-01AC-9D2C-C7B2489694C4}"/>
            </a:ext>
          </a:extLst>
        </xdr:cNvPr>
        <xdr:cNvSpPr txBox="1"/>
      </xdr:nvSpPr>
      <xdr:spPr>
        <a:xfrm>
          <a:off x="14928850" y="698500"/>
          <a:ext cx="711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C19425D-2D6D-486A-BAC3-4865762E0642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F2905024-160D-B0D3-2C16-9853BDFB264D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74EBD35-9E40-4812-97DC-BBAD62FD4D0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D555708F-0995-9D68-F659-B85483AFAEC4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2F2D61F-33FE-48E6-A13E-30941D48D83C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6BC3087B-4DE4-062B-665E-DB07253BFB1E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ECE5426-BD8D-4938-8DD0-6709FCF0186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8BBE045E-3F89-659B-F170-945E32EFD589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30D379F-B41D-49D0-BE34-E64C6D56DB0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139700</xdr:rowOff>
    </xdr:from>
    <xdr:to>
      <xdr:col>40</xdr:col>
      <xdr:colOff>127000</xdr:colOff>
      <xdr:row>20</xdr:row>
      <xdr:rowOff>95250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1FCE48D2-EA5D-45E9-F8CB-B524E68A53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BE1A8968-5526-9737-3684-D31AA9BE72BE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BFC91DA-CF09-43DD-9255-EF6E110E36CB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0F50A1DA-E084-C91C-347A-265288E26AD2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AF4851E-D7CC-4A99-86A6-5104BDBF5F9B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EE104D39-B6F6-6702-06D6-2C8F750C1424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276BE45-81A5-44AE-BB47-9689950971F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43FE3DF4-04F3-4D16-886B-FE2807890BEC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1DB1B11-54AD-4C8E-A59F-D43A17072C0E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50800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1EA7C1CA-D7C1-7DA1-D10F-B452993EF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65E26B05-D997-D5AF-51A6-B57A6D9C8866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21AA859-74A4-49D6-A25C-E7ED7A276DE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EC4EE25A-6D3E-4F3D-29A1-EABE18E8FDBE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CAF7A32-04F6-4495-8E08-6C20A198D19D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53DD3D8A-4D33-2514-D2D8-AC06EFBFB89A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E1C0CFC-C63F-41C2-8537-A7BEC5BDA2C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3DC81244-86F1-E900-3701-855088BD95BD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7D2DA5F-94DA-480E-84A7-64791E30827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60</xdr:col>
      <xdr:colOff>177800</xdr:colOff>
      <xdr:row>12</xdr:row>
      <xdr:rowOff>31750</xdr:rowOff>
    </xdr:to>
    <xdr:graphicFrame macro="">
      <xdr:nvGraphicFramePr>
        <xdr:cNvPr id="6" name="tier_wf">
          <a:extLst>
            <a:ext uri="{FF2B5EF4-FFF2-40B4-BE49-F238E27FC236}">
              <a16:creationId xmlns:a16="http://schemas.microsoft.com/office/drawing/2014/main" id="{6B72AABD-0FB0-68D2-E4C7-30FEF1956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47</xdr:col>
      <xdr:colOff>228600</xdr:colOff>
      <xdr:row>12</xdr:row>
      <xdr:rowOff>158750</xdr:rowOff>
    </xdr:from>
    <xdr:to>
      <xdr:col>60</xdr:col>
      <xdr:colOff>177800</xdr:colOff>
      <xdr:row>35</xdr:row>
      <xdr:rowOff>114300</xdr:rowOff>
    </xdr:to>
    <xdr:graphicFrame macro="">
      <xdr:nvGraphicFramePr>
        <xdr:cNvPr id="7" name="tier_measure">
          <a:extLst>
            <a:ext uri="{FF2B5EF4-FFF2-40B4-BE49-F238E27FC236}">
              <a16:creationId xmlns:a16="http://schemas.microsoft.com/office/drawing/2014/main" id="{D8F9DDD5-B4CB-7D3A-451F-9A0125B80B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48</xdr:col>
      <xdr:colOff>203200</xdr:colOff>
      <xdr:row>21</xdr:row>
      <xdr:rowOff>81486</xdr:rowOff>
    </xdr:from>
    <xdr:to>
      <xdr:col>60</xdr:col>
      <xdr:colOff>0</xdr:colOff>
      <xdr:row>21</xdr:row>
      <xdr:rowOff>81486</xdr:rowOff>
    </xdr:to>
    <xdr:cxnSp macro="">
      <xdr:nvCxnSpPr>
        <xdr:cNvPr id="8" name="rule_wf_0">
          <a:extLst>
            <a:ext uri="{FF2B5EF4-FFF2-40B4-BE49-F238E27FC236}">
              <a16:creationId xmlns:a16="http://schemas.microsoft.com/office/drawing/2014/main" id="{C28E4B15-B59F-2693-7827-D04A3A5B96D8}"/>
            </a:ext>
          </a:extLst>
        </xdr:cNvPr>
        <xdr:cNvCxnSpPr/>
      </xdr:nvCxnSpPr>
      <xdr:spPr>
        <a:xfrm>
          <a:off x="13773150" y="4196286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21</xdr:row>
      <xdr:rowOff>119586</xdr:rowOff>
    </xdr:from>
    <xdr:to>
      <xdr:col>60</xdr:col>
      <xdr:colOff>0</xdr:colOff>
      <xdr:row>21</xdr:row>
      <xdr:rowOff>119586</xdr:rowOff>
    </xdr:to>
    <xdr:cxnSp macro="">
      <xdr:nvCxnSpPr>
        <xdr:cNvPr id="9" name="rule_wf_1">
          <a:extLst>
            <a:ext uri="{FF2B5EF4-FFF2-40B4-BE49-F238E27FC236}">
              <a16:creationId xmlns:a16="http://schemas.microsoft.com/office/drawing/2014/main" id="{4D6424FD-45D8-2D39-9A15-11594283D23A}"/>
            </a:ext>
          </a:extLst>
        </xdr:cNvPr>
        <xdr:cNvCxnSpPr/>
      </xdr:nvCxnSpPr>
      <xdr:spPr>
        <a:xfrm>
          <a:off x="13773150" y="4234386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283E2CF7-991B-CF60-7302-C28F5A347FEF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7C000F8-2773-417E-8D78-1358508FE81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ABD7695A-E6F8-FC60-3150-706B2610B8D2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8DB3FD5-D797-41F1-A446-CB370C1618BD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FC34BD2F-DA5F-86A3-2636-87C0DAFEF7E4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87E0858-27A2-4852-B401-CCF326C5668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3A812B2B-FD83-9C71-338D-4C4B11CE339D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C046C58-CC81-410C-BF43-742763FB06EA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44450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100F2320-8CB3-B632-2D1B-4BE201718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44450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F52A6CA4-A5E6-F24B-CCDB-53E8B36839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A4671979-1AD3-F1DA-D6DD-46E8DC1567A8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FD3A9FA-EFB0-45BA-81E1-E027E03A7122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CCEC1878-AAF8-1E82-696B-5A126AFE926F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DB768DB-2B7E-4010-929A-2F4C563213F3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F17E0718-1DE0-8449-BFC9-4DA3B5244E4F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2F673E2-7E05-42D3-A36E-DCE5C4125C5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7A7A665C-638F-B12A-156F-D4F5658465DB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954F981-7001-45B2-96E2-7A9A50EC318B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57150</xdr:rowOff>
    </xdr:to>
    <xdr:graphicFrame macro="">
      <xdr:nvGraphicFramePr>
        <xdr:cNvPr id="6" name="tier_wf_ac">
          <a:extLst>
            <a:ext uri="{FF2B5EF4-FFF2-40B4-BE49-F238E27FC236}">
              <a16:creationId xmlns:a16="http://schemas.microsoft.com/office/drawing/2014/main" id="{CD6D702B-5BAE-B646-C0F7-AEF65F8EF3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74142-E4DF-412E-A82F-FC10C8477D5B}">
  <sheetPr>
    <pageSetUpPr fitToPage="1"/>
  </sheetPr>
  <dimension ref="A2:A22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  <row r="17" spans="1:1" x14ac:dyDescent="0.35">
      <c r="A17" s="2"/>
    </row>
    <row r="18" spans="1:1" x14ac:dyDescent="0.35">
      <c r="A18" s="6" t="s">
        <v>8</v>
      </c>
    </row>
    <row r="19" spans="1:1" x14ac:dyDescent="0.35">
      <c r="A19" s="2"/>
    </row>
    <row r="20" spans="1:1" ht="58" x14ac:dyDescent="0.35">
      <c r="A20" s="2" t="s">
        <v>9</v>
      </c>
    </row>
    <row r="21" spans="1:1" x14ac:dyDescent="0.35">
      <c r="A21" s="2"/>
    </row>
    <row r="22" spans="1:1" ht="29" x14ac:dyDescent="0.35">
      <c r="A22" s="2" t="s">
        <v>10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7FC3-F998-42D9-A926-DFCC7D7BBEF8}">
  <sheetPr>
    <pageSetUpPr fitToPage="1"/>
  </sheetPr>
  <dimension ref="A1:F54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6" ht="14.5" customHeight="1" x14ac:dyDescent="0.35">
      <c r="A1" s="7" t="s">
        <v>11</v>
      </c>
      <c r="B1" s="9" t="s">
        <v>12</v>
      </c>
      <c r="C1" s="9"/>
      <c r="D1" s="9"/>
      <c r="E1" s="9"/>
      <c r="F1" s="9"/>
    </row>
    <row r="2" spans="1:6" x14ac:dyDescent="0.35">
      <c r="A2" s="7" t="s">
        <v>13</v>
      </c>
      <c r="B2" s="9" t="s">
        <v>14</v>
      </c>
      <c r="C2" s="8"/>
      <c r="D2" s="8"/>
      <c r="E2" s="8"/>
      <c r="F2" s="8"/>
    </row>
    <row r="3" spans="1:6" x14ac:dyDescent="0.35">
      <c r="A3" s="7" t="s">
        <v>15</v>
      </c>
      <c r="B3" s="9" t="s">
        <v>16</v>
      </c>
      <c r="C3" s="8"/>
      <c r="D3" s="8"/>
      <c r="E3" s="8"/>
      <c r="F3" s="8"/>
    </row>
    <row r="4" spans="1:6" x14ac:dyDescent="0.35">
      <c r="A4" s="7" t="s">
        <v>17</v>
      </c>
      <c r="B4" s="9" t="s">
        <v>18</v>
      </c>
      <c r="C4" s="8"/>
      <c r="D4" s="8"/>
      <c r="E4" s="8"/>
      <c r="F4" s="8"/>
    </row>
    <row r="5" spans="1:6" x14ac:dyDescent="0.35">
      <c r="A5" s="7" t="s">
        <v>19</v>
      </c>
      <c r="B5" s="9" t="s">
        <v>20</v>
      </c>
      <c r="C5" s="8"/>
      <c r="D5" s="8"/>
      <c r="E5" s="8"/>
      <c r="F5" s="8"/>
    </row>
    <row r="6" spans="1:6" ht="36" customHeight="1" x14ac:dyDescent="0.35">
      <c r="A6" s="7" t="s">
        <v>21</v>
      </c>
      <c r="B6" s="9" t="s">
        <v>22</v>
      </c>
      <c r="C6" s="9"/>
      <c r="D6" s="9"/>
      <c r="E6" s="9"/>
      <c r="F6" s="9"/>
    </row>
    <row r="7" spans="1:6" x14ac:dyDescent="0.35">
      <c r="A7" s="7" t="s">
        <v>23</v>
      </c>
      <c r="B7" s="10" t="str">
        <f>B2&amp;IF(B3="",""," in "&amp;B3)</f>
        <v>Net sales in kEUR</v>
      </c>
      <c r="C7" s="8"/>
      <c r="D7" s="8"/>
      <c r="E7" s="8"/>
      <c r="F7" s="8"/>
    </row>
    <row r="9" spans="1:6" x14ac:dyDescent="0.35">
      <c r="A9" s="5" t="s">
        <v>24</v>
      </c>
      <c r="B9" s="12" t="s">
        <v>25</v>
      </c>
      <c r="C9" s="12" t="s">
        <v>26</v>
      </c>
      <c r="D9" s="12" t="s">
        <v>27</v>
      </c>
      <c r="E9" s="12" t="s">
        <v>28</v>
      </c>
    </row>
    <row r="10" spans="1:6" x14ac:dyDescent="0.35">
      <c r="A10" s="11" t="s">
        <v>29</v>
      </c>
      <c r="B10" s="13">
        <v>29.1</v>
      </c>
      <c r="C10" s="13">
        <v>31.9</v>
      </c>
      <c r="D10" s="13">
        <v>40.799999999999997</v>
      </c>
      <c r="E10" s="13">
        <v>40.200000000000003</v>
      </c>
    </row>
    <row r="11" spans="1:6" x14ac:dyDescent="0.35">
      <c r="A11" s="11" t="s">
        <v>30</v>
      </c>
      <c r="B11" s="13">
        <v>16</v>
      </c>
      <c r="C11" s="13">
        <v>18.8</v>
      </c>
      <c r="D11" s="13">
        <v>24.2</v>
      </c>
      <c r="E11" s="13">
        <v>26.7</v>
      </c>
    </row>
    <row r="12" spans="1:6" x14ac:dyDescent="0.35">
      <c r="A12" s="11" t="s">
        <v>31</v>
      </c>
      <c r="B12" s="13">
        <v>0.9</v>
      </c>
      <c r="C12" s="13">
        <v>2.9</v>
      </c>
      <c r="D12" s="13">
        <v>5.0999999999999996</v>
      </c>
      <c r="E12" s="13">
        <v>7.7</v>
      </c>
    </row>
    <row r="13" spans="1:6" x14ac:dyDescent="0.35">
      <c r="A13" s="11" t="s">
        <v>32</v>
      </c>
      <c r="B13" s="13">
        <v>22.4</v>
      </c>
      <c r="C13" s="13">
        <v>22.4</v>
      </c>
      <c r="D13" s="13">
        <v>25.3</v>
      </c>
      <c r="E13" s="13">
        <v>22.4</v>
      </c>
    </row>
    <row r="14" spans="1:6" x14ac:dyDescent="0.35">
      <c r="A14" s="11" t="s">
        <v>33</v>
      </c>
      <c r="B14" s="13">
        <v>6.5</v>
      </c>
      <c r="C14" s="13">
        <v>3.9</v>
      </c>
      <c r="D14" s="13">
        <v>5.2</v>
      </c>
      <c r="E14" s="13">
        <v>4.9000000000000004</v>
      </c>
    </row>
    <row r="15" spans="1:6" x14ac:dyDescent="0.35">
      <c r="A15" s="14" t="s">
        <v>34</v>
      </c>
      <c r="B15" s="15">
        <f>SUM(B10:B14)</f>
        <v>74.900000000000006</v>
      </c>
      <c r="C15" s="15">
        <f>SUM(C10:C14)</f>
        <v>79.900000000000006</v>
      </c>
      <c r="D15" s="15">
        <f>SUM(D10:D14)</f>
        <v>100.6</v>
      </c>
      <c r="E15" s="15">
        <f>SUM(E10:E14)</f>
        <v>101.9</v>
      </c>
    </row>
    <row r="17" spans="1:5" x14ac:dyDescent="0.35">
      <c r="A17" t="s">
        <v>35</v>
      </c>
      <c r="B17" s="16">
        <f>MAX(_xlfn.AGGREGATE(4,6,B15:E15),0.000000001)</f>
        <v>101.9</v>
      </c>
    </row>
    <row r="20" spans="1:5" hidden="1" x14ac:dyDescent="0.35"/>
    <row r="21" spans="1:5" hidden="1" x14ac:dyDescent="0.35"/>
    <row r="22" spans="1:5" hidden="1" x14ac:dyDescent="0.35"/>
    <row r="23" spans="1:5" hidden="1" x14ac:dyDescent="0.35"/>
    <row r="24" spans="1:5" hidden="1" x14ac:dyDescent="0.35"/>
    <row r="25" spans="1:5" hidden="1" x14ac:dyDescent="0.35"/>
    <row r="26" spans="1:5" hidden="1" x14ac:dyDescent="0.35"/>
    <row r="27" spans="1:5" hidden="1" x14ac:dyDescent="0.35"/>
    <row r="28" spans="1:5" hidden="1" x14ac:dyDescent="0.35"/>
    <row r="29" spans="1:5" hidden="1" x14ac:dyDescent="0.35">
      <c r="B29">
        <f>IF(ISBLANK(B10),NA(),B10/$B$17)</f>
        <v>0.28557409224730129</v>
      </c>
      <c r="C29">
        <f>IF(ISBLANK(C10),NA(),C10/$B$17)</f>
        <v>0.31305201177625119</v>
      </c>
      <c r="D29">
        <f>IF(ISBLANK(D10),NA(),D10/$B$17)</f>
        <v>0.40039254170755639</v>
      </c>
      <c r="E29">
        <f>IF(ISBLANK(E10),NA(),E10/$B$17)</f>
        <v>0.39450441609421</v>
      </c>
    </row>
    <row r="30" spans="1:5" hidden="1" x14ac:dyDescent="0.35">
      <c r="B30">
        <f>IF(ISBLANK(B11),NA(),B11/$B$17)</f>
        <v>0.15701668302257113</v>
      </c>
      <c r="C30">
        <f>IF(ISBLANK(C11),NA(),C11/$B$17)</f>
        <v>0.18449460255152109</v>
      </c>
      <c r="D30">
        <f>IF(ISBLANK(D11),NA(),D11/$B$17)</f>
        <v>0.23748773307163884</v>
      </c>
      <c r="E30">
        <f>IF(ISBLANK(E11),NA(),E11/$B$17)</f>
        <v>0.2620215897939156</v>
      </c>
    </row>
    <row r="31" spans="1:5" hidden="1" x14ac:dyDescent="0.35">
      <c r="B31">
        <f>IF(ISBLANK(B12),NA(),B12/$B$17)</f>
        <v>8.8321884200196262E-3</v>
      </c>
      <c r="C31">
        <f>IF(ISBLANK(C12),NA(),C12/$B$17)</f>
        <v>2.8459273797841019E-2</v>
      </c>
      <c r="D31">
        <f>IF(ISBLANK(D12),NA(),D12/$B$17)</f>
        <v>5.0049067713444549E-2</v>
      </c>
      <c r="E31">
        <f>IF(ISBLANK(E12),NA(),E12/$B$17)</f>
        <v>7.5564278704612367E-2</v>
      </c>
    </row>
    <row r="32" spans="1:5" hidden="1" x14ac:dyDescent="0.35">
      <c r="B32">
        <f>IF(ISBLANK(B13),NA(),B13/$B$17)</f>
        <v>0.21982335623159957</v>
      </c>
      <c r="C32">
        <f>IF(ISBLANK(C13),NA(),C13/$B$17)</f>
        <v>0.21982335623159957</v>
      </c>
      <c r="D32">
        <f>IF(ISBLANK(D13),NA(),D13/$B$17)</f>
        <v>0.24828263002944062</v>
      </c>
      <c r="E32">
        <f>IF(ISBLANK(E13),NA(),E13/$B$17)</f>
        <v>0.21982335623159957</v>
      </c>
    </row>
    <row r="33" spans="2:5" hidden="1" x14ac:dyDescent="0.35">
      <c r="B33">
        <f>IF(ISBLANK(B14),NA(),B14/$B$17)</f>
        <v>6.3788027477919521E-2</v>
      </c>
      <c r="C33">
        <f>IF(ISBLANK(C14),NA(),C14/$B$17)</f>
        <v>3.8272816486751716E-2</v>
      </c>
      <c r="D33">
        <f>IF(ISBLANK(D14),NA(),D14/$B$17)</f>
        <v>5.1030421982335622E-2</v>
      </c>
      <c r="E33">
        <f>IF(ISBLANK(E14),NA(),E14/$B$17)</f>
        <v>4.8086359175662417E-2</v>
      </c>
    </row>
    <row r="34" spans="2:5" hidden="1" x14ac:dyDescent="0.35">
      <c r="B34">
        <f>IF(ISBLANK(B15),NA(),B15/$B$17)</f>
        <v>0.7350343473994112</v>
      </c>
      <c r="C34">
        <f>IF(ISBLANK(C15),NA(),C15/$B$17)</f>
        <v>0.78410206084396472</v>
      </c>
      <c r="D34">
        <f>IF(ISBLANK(D15),NA(),D15/$B$17)</f>
        <v>0.98724239450441598</v>
      </c>
      <c r="E34">
        <f>IF(ISBLANK(E15),NA(),E15/$B$17)</f>
        <v>1</v>
      </c>
    </row>
    <row r="35" spans="2:5" hidden="1" x14ac:dyDescent="0.35"/>
    <row r="36" spans="2:5" hidden="1" x14ac:dyDescent="0.35"/>
    <row r="37" spans="2:5" hidden="1" x14ac:dyDescent="0.35"/>
    <row r="38" spans="2:5" hidden="1" x14ac:dyDescent="0.35"/>
    <row r="39" spans="2:5" hidden="1" x14ac:dyDescent="0.35"/>
    <row r="40" spans="2:5" hidden="1" x14ac:dyDescent="0.35"/>
    <row r="41" spans="2:5" hidden="1" x14ac:dyDescent="0.35"/>
    <row r="42" spans="2:5" hidden="1" x14ac:dyDescent="0.35"/>
    <row r="43" spans="2:5" hidden="1" x14ac:dyDescent="0.35"/>
    <row r="44" spans="2:5" hidden="1" x14ac:dyDescent="0.35"/>
    <row r="45" spans="2:5" hidden="1" x14ac:dyDescent="0.35"/>
    <row r="46" spans="2:5" hidden="1" x14ac:dyDescent="0.35"/>
    <row r="47" spans="2:5" hidden="1" x14ac:dyDescent="0.35"/>
    <row r="48" spans="2:5" hidden="1" x14ac:dyDescent="0.35">
      <c r="B48" t="str">
        <f>IF(ISBLANK(B10),"",IF(B10/120*264&lt;(LEN(TEXT(B10,"0.0")))*5,"",TEXT(B10,"0.0")))</f>
        <v>29.1</v>
      </c>
      <c r="C48" t="str">
        <f>IF(ISBLANK(C10),"",IF(C10/120*264&lt;(LEN(TEXT(C10,"0.0")))*5,"",TEXT(C10,"0.0")))</f>
        <v>31.9</v>
      </c>
      <c r="D48" t="str">
        <f>IF(ISBLANK(D10),"",IF(D10/120*264&lt;(LEN(TEXT(D10,"0.0")))*5,"",TEXT(D10,"0.0")))</f>
        <v>40.8</v>
      </c>
      <c r="E48" t="str">
        <f>IF(ISBLANK(E10),"",IF(E10/120*264&lt;(LEN(TEXT(E10,"0.0")))*5,"",TEXT(E10,"0.0")))</f>
        <v>40.2</v>
      </c>
    </row>
    <row r="49" spans="2:5" hidden="1" x14ac:dyDescent="0.35">
      <c r="B49" t="str">
        <f>IF(ISBLANK(B11),"",IF(B11/120*264&lt;(LEN(TEXT(B11,"0.0")))*5,"",TEXT(B11,"0.0")))</f>
        <v>16.0</v>
      </c>
      <c r="C49" t="str">
        <f>IF(ISBLANK(C11),"",IF(C11/120*264&lt;(LEN(TEXT(C11,"0.0")))*5,"",TEXT(C11,"0.0")))</f>
        <v>18.8</v>
      </c>
      <c r="D49" t="str">
        <f>IF(ISBLANK(D11),"",IF(D11/120*264&lt;(LEN(TEXT(D11,"0.0")))*5,"",TEXT(D11,"0.0")))</f>
        <v>24.2</v>
      </c>
      <c r="E49" t="str">
        <f>IF(ISBLANK(E11),"",IF(E11/120*264&lt;(LEN(TEXT(E11,"0.0")))*5,"",TEXT(E11,"0.0")))</f>
        <v>26.7</v>
      </c>
    </row>
    <row r="50" spans="2:5" hidden="1" x14ac:dyDescent="0.35">
      <c r="B50" t="str">
        <f>IF(ISBLANK(B12),"",IF(B12/120*264&lt;(LEN(TEXT(B12,"0.0")))*5,"",TEXT(B12,"0.0")))</f>
        <v/>
      </c>
      <c r="C50" t="str">
        <f>IF(ISBLANK(C12),"",IF(C12/120*264&lt;(LEN(TEXT(C12,"0.0")))*5,"",TEXT(C12,"0.0")))</f>
        <v/>
      </c>
      <c r="D50" t="str">
        <f>IF(ISBLANK(D12),"",IF(D12/120*264&lt;(LEN(TEXT(D12,"0.0")))*5,"",TEXT(D12,"0.0")))</f>
        <v/>
      </c>
      <c r="E50" t="str">
        <f>IF(ISBLANK(E12),"",IF(E12/120*264&lt;(LEN(TEXT(E12,"0.0")))*5,"",TEXT(E12,"0.0")))</f>
        <v>7.7</v>
      </c>
    </row>
    <row r="51" spans="2:5" hidden="1" x14ac:dyDescent="0.35">
      <c r="B51" t="str">
        <f>IF(ISBLANK(B13),"",IF(B13/120*264&lt;(LEN(TEXT(B13,"0.0")))*5,"",TEXT(B13,"0.0")))</f>
        <v>22.4</v>
      </c>
      <c r="C51" t="str">
        <f>IF(ISBLANK(C13),"",IF(C13/120*264&lt;(LEN(TEXT(C13,"0.0")))*5,"",TEXT(C13,"0.0")))</f>
        <v>22.4</v>
      </c>
      <c r="D51" t="str">
        <f>IF(ISBLANK(D13),"",IF(D13/120*264&lt;(LEN(TEXT(D13,"0.0")))*5,"",TEXT(D13,"0.0")))</f>
        <v>25.3</v>
      </c>
      <c r="E51" t="str">
        <f>IF(ISBLANK(E13),"",IF(E13/120*264&lt;(LEN(TEXT(E13,"0.0")))*5,"",TEXT(E13,"0.0")))</f>
        <v>22.4</v>
      </c>
    </row>
    <row r="52" spans="2:5" hidden="1" x14ac:dyDescent="0.35">
      <c r="B52" t="str">
        <f>IF(ISBLANK(B14),"",IF(B14/120*264&lt;(LEN(TEXT(B14,"0.0"))+LEN(TEXT(B15,"0.0")))*5,"",TEXT(B14,"0.0")))</f>
        <v/>
      </c>
      <c r="C52" t="str">
        <f>IF(ISBLANK(C14),"",IF(C14/120*264&lt;(LEN(TEXT(C14,"0.0"))+LEN(TEXT(C15,"0.0")))*5,"",TEXT(C14,"0.0")))</f>
        <v/>
      </c>
      <c r="D52" t="str">
        <f>IF(ISBLANK(D14),"",IF(D14/120*264&lt;(LEN(TEXT(D14,"0.0"))+LEN(TEXT(D15,"0.0")))*5,"",TEXT(D14,"0.0")))</f>
        <v/>
      </c>
      <c r="E52" t="str">
        <f>IF(ISBLANK(E14),"",IF(E14/120*264&lt;(LEN(TEXT(E14,"0.0"))+LEN(TEXT(E15,"0.0")))*5,"",TEXT(E14,"0.0")))</f>
        <v/>
      </c>
    </row>
    <row r="53" spans="2:5" hidden="1" x14ac:dyDescent="0.35">
      <c r="B53" t="str">
        <f>IF(ISBLANK(B15),"",IF(B15/120*264&lt;(LEN(TEXT(B15,"0.0")))*5,"",TEXT(B15,"0.0")))</f>
        <v>74.9</v>
      </c>
      <c r="C53" t="str">
        <f>IF(ISBLANK(C15),"",IF(C15/120*264&lt;(LEN(TEXT(C15,"0.0")))*5,"",TEXT(C15,"0.0")))</f>
        <v>79.9</v>
      </c>
      <c r="D53" t="str">
        <f>IF(ISBLANK(D15),"",IF(D15/120*264&lt;(LEN(TEXT(D15,"0.0")))*5,"",TEXT(D15,"0.0")))</f>
        <v>100.6</v>
      </c>
      <c r="E53" t="str">
        <f>IF(ISBLANK(E15),"",IF(E15/120*264&lt;(LEN(TEXT(E15,"0.0")))*5,"",TEXT(E15,"0.0")))</f>
        <v>101.9</v>
      </c>
    </row>
    <row r="54" spans="2:5" hidden="1" x14ac:dyDescent="0.35"/>
  </sheetData>
  <mergeCells count="7">
    <mergeCell ref="B7:F7"/>
    <mergeCell ref="B1:F1"/>
    <mergeCell ref="B2:F2"/>
    <mergeCell ref="B3:F3"/>
    <mergeCell ref="B4:F4"/>
    <mergeCell ref="B5:F5"/>
    <mergeCell ref="B6:F6"/>
  </mergeCells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7598B-9585-4C41-93BB-6D1709A2A352}">
  <sheetPr>
    <pageSetUpPr fitToPage="1"/>
  </sheetPr>
  <dimension ref="A1:V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2" x14ac:dyDescent="0.35">
      <c r="A1" s="7" t="s">
        <v>11</v>
      </c>
      <c r="B1" s="9" t="s">
        <v>36</v>
      </c>
      <c r="C1" s="8"/>
      <c r="D1" s="8"/>
      <c r="E1" s="8"/>
      <c r="F1" s="8"/>
    </row>
    <row r="2" spans="1:22" x14ac:dyDescent="0.35">
      <c r="A2" s="7" t="s">
        <v>13</v>
      </c>
      <c r="B2" s="9" t="s">
        <v>14</v>
      </c>
      <c r="C2" s="8"/>
      <c r="D2" s="8"/>
      <c r="E2" s="8"/>
      <c r="F2" s="8"/>
    </row>
    <row r="3" spans="1:22" x14ac:dyDescent="0.35">
      <c r="A3" s="7" t="s">
        <v>15</v>
      </c>
      <c r="B3" s="9" t="s">
        <v>37</v>
      </c>
      <c r="C3" s="8"/>
      <c r="D3" s="8"/>
      <c r="E3" s="8"/>
      <c r="F3" s="8"/>
    </row>
    <row r="4" spans="1:22" x14ac:dyDescent="0.35">
      <c r="A4" s="7" t="s">
        <v>17</v>
      </c>
      <c r="B4" s="9" t="s">
        <v>38</v>
      </c>
      <c r="C4" s="8"/>
      <c r="D4" s="8"/>
      <c r="E4" s="8"/>
      <c r="F4" s="8"/>
    </row>
    <row r="5" spans="1:22" x14ac:dyDescent="0.35">
      <c r="A5" s="7" t="s">
        <v>19</v>
      </c>
      <c r="B5" s="9" t="s">
        <v>20</v>
      </c>
      <c r="C5" s="8"/>
      <c r="D5" s="8"/>
      <c r="E5" s="8"/>
      <c r="F5" s="8"/>
    </row>
    <row r="6" spans="1:22" ht="48" customHeight="1" x14ac:dyDescent="0.35">
      <c r="A6" s="7" t="s">
        <v>21</v>
      </c>
      <c r="B6" s="9" t="s">
        <v>39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</row>
    <row r="7" spans="1:22" x14ac:dyDescent="0.35">
      <c r="A7" s="7" t="s">
        <v>23</v>
      </c>
      <c r="B7" s="10" t="str">
        <f>B2&amp;IF(B3="",""," in "&amp;B3)</f>
        <v>Net sales in kCHF</v>
      </c>
      <c r="C7" s="8"/>
      <c r="D7" s="8"/>
      <c r="E7" s="8"/>
      <c r="F7" s="8"/>
    </row>
    <row r="9" spans="1:22" x14ac:dyDescent="0.35">
      <c r="A9" s="5" t="s">
        <v>40</v>
      </c>
      <c r="B9" s="12" t="s">
        <v>41</v>
      </c>
      <c r="C9" s="12" t="s">
        <v>42</v>
      </c>
      <c r="D9" s="12" t="s">
        <v>43</v>
      </c>
      <c r="E9" s="12" t="s">
        <v>44</v>
      </c>
      <c r="F9" s="12" t="s">
        <v>45</v>
      </c>
      <c r="G9" s="12" t="s">
        <v>46</v>
      </c>
      <c r="H9" s="12" t="s">
        <v>47</v>
      </c>
      <c r="I9" s="12" t="s">
        <v>48</v>
      </c>
      <c r="J9" s="12" t="s">
        <v>49</v>
      </c>
      <c r="K9" s="12" t="s">
        <v>50</v>
      </c>
      <c r="L9" s="12" t="s">
        <v>51</v>
      </c>
      <c r="M9" s="12" t="s">
        <v>52</v>
      </c>
      <c r="N9" s="12" t="s">
        <v>53</v>
      </c>
      <c r="O9" s="12" t="s">
        <v>54</v>
      </c>
      <c r="P9" s="12" t="s">
        <v>55</v>
      </c>
      <c r="Q9" s="12" t="s">
        <v>56</v>
      </c>
      <c r="R9" s="12" t="s">
        <v>57</v>
      </c>
      <c r="S9" s="12" t="s">
        <v>58</v>
      </c>
      <c r="T9" s="12" t="s">
        <v>59</v>
      </c>
    </row>
    <row r="10" spans="1:22" x14ac:dyDescent="0.35">
      <c r="A10" s="11" t="s">
        <v>60</v>
      </c>
      <c r="B10" s="17">
        <v>172</v>
      </c>
      <c r="C10" s="17">
        <v>160</v>
      </c>
      <c r="D10" s="17">
        <v>102</v>
      </c>
      <c r="E10" s="17">
        <v>178</v>
      </c>
      <c r="F10" s="17">
        <v>79</v>
      </c>
      <c r="G10" s="17">
        <v>87</v>
      </c>
      <c r="H10" s="17">
        <v>83</v>
      </c>
      <c r="I10" s="17">
        <v>61</v>
      </c>
      <c r="J10" s="17">
        <v>42</v>
      </c>
      <c r="K10" s="17">
        <v>56</v>
      </c>
      <c r="L10" s="17">
        <v>48</v>
      </c>
      <c r="M10" s="17">
        <v>7</v>
      </c>
      <c r="N10" s="17">
        <v>4</v>
      </c>
      <c r="O10" s="17">
        <v>41</v>
      </c>
      <c r="P10" s="17">
        <v>82</v>
      </c>
      <c r="Q10" s="17">
        <v>52</v>
      </c>
      <c r="R10" s="17">
        <v>22</v>
      </c>
      <c r="S10" s="17">
        <v>15</v>
      </c>
      <c r="T10" s="17">
        <v>60</v>
      </c>
    </row>
    <row r="11" spans="1:22" x14ac:dyDescent="0.35">
      <c r="A11" s="11" t="s">
        <v>61</v>
      </c>
      <c r="B11" s="17">
        <v>136</v>
      </c>
      <c r="C11" s="17">
        <v>135</v>
      </c>
      <c r="D11" s="17">
        <v>188</v>
      </c>
      <c r="E11" s="17">
        <v>88</v>
      </c>
      <c r="F11" s="17">
        <v>105</v>
      </c>
      <c r="G11" s="17">
        <v>100</v>
      </c>
      <c r="H11" s="17">
        <v>83</v>
      </c>
      <c r="I11" s="17">
        <v>44</v>
      </c>
      <c r="J11" s="17">
        <v>42</v>
      </c>
      <c r="K11" s="17">
        <v>34</v>
      </c>
      <c r="L11" s="17">
        <v>35</v>
      </c>
      <c r="M11" s="17">
        <v>24</v>
      </c>
      <c r="N11" s="17">
        <v>5</v>
      </c>
      <c r="O11" s="17">
        <v>88</v>
      </c>
      <c r="P11" s="17">
        <v>96</v>
      </c>
      <c r="Q11" s="17">
        <v>36</v>
      </c>
      <c r="R11" s="17">
        <v>16</v>
      </c>
      <c r="S11" s="17">
        <v>5</v>
      </c>
      <c r="T11" s="17">
        <v>48</v>
      </c>
    </row>
    <row r="12" spans="1:22" x14ac:dyDescent="0.35">
      <c r="A12" s="11" t="s">
        <v>62</v>
      </c>
      <c r="B12" s="17">
        <v>188</v>
      </c>
      <c r="C12" s="17">
        <v>142</v>
      </c>
      <c r="D12" s="17">
        <v>125</v>
      </c>
      <c r="E12" s="17">
        <v>78</v>
      </c>
      <c r="F12" s="17">
        <v>84</v>
      </c>
      <c r="G12" s="17">
        <v>66</v>
      </c>
      <c r="H12" s="17">
        <v>58</v>
      </c>
      <c r="I12" s="17">
        <v>12</v>
      </c>
      <c r="J12" s="17">
        <v>17</v>
      </c>
      <c r="K12" s="17">
        <v>7</v>
      </c>
      <c r="L12" s="17">
        <v>13</v>
      </c>
      <c r="M12" s="17">
        <v>21</v>
      </c>
      <c r="N12" s="17">
        <v>13</v>
      </c>
      <c r="O12" s="17">
        <v>47</v>
      </c>
      <c r="P12" s="17">
        <v>109</v>
      </c>
      <c r="Q12" s="17">
        <v>27</v>
      </c>
      <c r="R12" s="17">
        <v>26</v>
      </c>
      <c r="S12" s="17">
        <v>12</v>
      </c>
      <c r="T12" s="17">
        <v>29</v>
      </c>
    </row>
    <row r="13" spans="1:22" x14ac:dyDescent="0.35">
      <c r="A13" s="14" t="s">
        <v>34</v>
      </c>
      <c r="B13" s="18">
        <f>SUM(B10:B12)</f>
        <v>496</v>
      </c>
      <c r="C13" s="18">
        <f>SUM(C10:C12)</f>
        <v>437</v>
      </c>
      <c r="D13" s="18">
        <f>SUM(D10:D12)</f>
        <v>415</v>
      </c>
      <c r="E13" s="18">
        <f>SUM(E10:E12)</f>
        <v>344</v>
      </c>
      <c r="F13" s="18">
        <f>SUM(F10:F12)</f>
        <v>268</v>
      </c>
      <c r="G13" s="18">
        <f>SUM(G10:G12)</f>
        <v>253</v>
      </c>
      <c r="H13" s="18">
        <f>SUM(H10:H12)</f>
        <v>224</v>
      </c>
      <c r="I13" s="18">
        <f>SUM(I10:I12)</f>
        <v>117</v>
      </c>
      <c r="J13" s="18">
        <f>SUM(J10:J12)</f>
        <v>101</v>
      </c>
      <c r="K13" s="18">
        <f>SUM(K10:K12)</f>
        <v>97</v>
      </c>
      <c r="L13" s="18">
        <f>SUM(L10:L12)</f>
        <v>96</v>
      </c>
      <c r="M13" s="18">
        <f>SUM(M10:M12)</f>
        <v>52</v>
      </c>
      <c r="N13" s="18">
        <f>SUM(N10:N12)</f>
        <v>22</v>
      </c>
      <c r="O13" s="18">
        <f>SUM(O10:O12)</f>
        <v>176</v>
      </c>
      <c r="P13" s="18">
        <f>SUM(P10:P12)</f>
        <v>287</v>
      </c>
      <c r="Q13" s="18">
        <f>SUM(Q10:Q12)</f>
        <v>115</v>
      </c>
      <c r="R13" s="18">
        <f>SUM(R10:R12)</f>
        <v>64</v>
      </c>
      <c r="S13" s="18">
        <f>SUM(S10:S12)</f>
        <v>32</v>
      </c>
      <c r="T13" s="18">
        <f>SUM(T10:T12)</f>
        <v>137</v>
      </c>
    </row>
    <row r="15" spans="1:22" x14ac:dyDescent="0.35">
      <c r="A15" t="s">
        <v>35</v>
      </c>
      <c r="B15" s="16">
        <f>MAX(_xlfn.AGGREGATE(4,6,$B$13:$T$13),0.000000001)</f>
        <v>496</v>
      </c>
    </row>
    <row r="18" spans="2:20" hidden="1" x14ac:dyDescent="0.35"/>
    <row r="19" spans="2:20" hidden="1" x14ac:dyDescent="0.35"/>
    <row r="20" spans="2:20" hidden="1" x14ac:dyDescent="0.35"/>
    <row r="21" spans="2:20" hidden="1" x14ac:dyDescent="0.35"/>
    <row r="22" spans="2:20" hidden="1" x14ac:dyDescent="0.35"/>
    <row r="23" spans="2:20" hidden="1" x14ac:dyDescent="0.35"/>
    <row r="24" spans="2:20" hidden="1" x14ac:dyDescent="0.35"/>
    <row r="25" spans="2:20" hidden="1" x14ac:dyDescent="0.35"/>
    <row r="26" spans="2:20" hidden="1" x14ac:dyDescent="0.35"/>
    <row r="27" spans="2:20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0.16532258064516128</v>
      </c>
      <c r="Q27">
        <f>IF(ISBLANK(Q10),NA(),Q10/$B$15)</f>
        <v>0.10483870967741936</v>
      </c>
      <c r="R27">
        <f>IF(ISBLANK(R10),NA(),R10/$B$15)</f>
        <v>4.4354838709677422E-2</v>
      </c>
      <c r="S27">
        <f>IF(ISBLANK(S10),NA(),S10/$B$15)</f>
        <v>3.0241935483870969E-2</v>
      </c>
      <c r="T27">
        <f>IF(ISBLANK(T10),NA(),T10/$B$15)</f>
        <v>0.12096774193548387</v>
      </c>
    </row>
    <row r="28" spans="2:20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0.19354838709677419</v>
      </c>
      <c r="Q28">
        <f>IF(ISBLANK(Q11),NA(),Q11/$B$15)</f>
        <v>7.2580645161290328E-2</v>
      </c>
      <c r="R28">
        <f>IF(ISBLANK(R11),NA(),R11/$B$15)</f>
        <v>3.2258064516129031E-2</v>
      </c>
      <c r="S28">
        <f>IF(ISBLANK(S11),NA(),S11/$B$15)</f>
        <v>1.0080645161290322E-2</v>
      </c>
      <c r="T28">
        <f>IF(ISBLANK(T11),NA(),T11/$B$15)</f>
        <v>9.6774193548387094E-2</v>
      </c>
    </row>
    <row r="29" spans="2:20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0.21975806451612903</v>
      </c>
      <c r="Q29">
        <f>IF(ISBLANK(Q12),NA(),Q12/$B$15)</f>
        <v>5.4435483870967742E-2</v>
      </c>
      <c r="R29">
        <f>IF(ISBLANK(R12),NA(),R12/$B$15)</f>
        <v>5.2419354838709679E-2</v>
      </c>
      <c r="S29">
        <f>IF(ISBLANK(S12),NA(),S12/$B$15)</f>
        <v>2.4193548387096774E-2</v>
      </c>
      <c r="T29">
        <f>IF(ISBLANK(T12),NA(),T12/$B$15)</f>
        <v>5.8467741935483868E-2</v>
      </c>
    </row>
    <row r="30" spans="2:20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0.5786290322580645</v>
      </c>
      <c r="Q30">
        <f>IF(ISBLANK(Q13),NA(),Q13/$B$15)</f>
        <v>0.23185483870967741</v>
      </c>
      <c r="R30">
        <f>IF(ISBLANK(R13),NA(),R13/$B$15)</f>
        <v>0.12903225806451613</v>
      </c>
      <c r="S30">
        <f>IF(ISBLANK(S13),NA(),S13/$B$15)</f>
        <v>6.4516129032258063E-2</v>
      </c>
      <c r="T30">
        <f>IF(ISBLANK(T13),NA(),T13/$B$15)</f>
        <v>0.27620967741935482</v>
      </c>
    </row>
    <row r="31" spans="2:20" hidden="1" x14ac:dyDescent="0.35"/>
    <row r="32" spans="2:20" hidden="1" x14ac:dyDescent="0.35"/>
    <row r="33" spans="2:20" hidden="1" x14ac:dyDescent="0.35"/>
    <row r="34" spans="2:20" hidden="1" x14ac:dyDescent="0.35"/>
    <row r="35" spans="2:20" hidden="1" x14ac:dyDescent="0.35"/>
    <row r="36" spans="2:20" hidden="1" x14ac:dyDescent="0.35"/>
    <row r="37" spans="2:20" hidden="1" x14ac:dyDescent="0.35"/>
    <row r="38" spans="2:20" hidden="1" x14ac:dyDescent="0.35"/>
    <row r="39" spans="2:20" hidden="1" x14ac:dyDescent="0.35"/>
    <row r="40" spans="2:20" hidden="1" x14ac:dyDescent="0.35"/>
    <row r="41" spans="2:20" hidden="1" x14ac:dyDescent="0.35"/>
    <row r="42" spans="2:20" hidden="1" x14ac:dyDescent="0.35"/>
    <row r="43" spans="2:20" hidden="1" x14ac:dyDescent="0.35"/>
    <row r="44" spans="2:20" hidden="1" x14ac:dyDescent="0.35">
      <c r="B44" t="str">
        <f>IF(ISBLANK(B10),"",IF(B10/500*492.8&lt;(LEN(TEXT(B10,"# ##0")))*5,"",TEXT(B10,"# ##0")))</f>
        <v xml:space="preserve"> 172</v>
      </c>
      <c r="C44" t="str">
        <f>IF(ISBLANK(C10),"",IF(C10/500*492.8&lt;(LEN(TEXT(C10,"# ##0")))*5,"",TEXT(C10,"# ##0")))</f>
        <v xml:space="preserve"> 160</v>
      </c>
      <c r="D44" t="str">
        <f>IF(ISBLANK(D10),"",IF(D10/500*492.8&lt;(LEN(TEXT(D10,"# ##0")))*5,"",TEXT(D10,"# ##0")))</f>
        <v xml:space="preserve"> 102</v>
      </c>
      <c r="E44" t="str">
        <f>IF(ISBLANK(E10),"",IF(E10/500*492.8&lt;(LEN(TEXT(E10,"# ##0")))*5,"",TEXT(E10,"# ##0")))</f>
        <v xml:space="preserve"> 178</v>
      </c>
      <c r="F44" t="str">
        <f>IF(ISBLANK(F10),"",IF(F10/500*492.8&lt;(LEN(TEXT(F10,"# ##0")))*5,"",TEXT(F10,"# ##0")))</f>
        <v xml:space="preserve"> 79</v>
      </c>
      <c r="G44" t="str">
        <f>IF(ISBLANK(G10),"",IF(G10/500*492.8&lt;(LEN(TEXT(G10,"# ##0")))*5,"",TEXT(G10,"# ##0")))</f>
        <v xml:space="preserve"> 87</v>
      </c>
      <c r="H44" t="str">
        <f>IF(ISBLANK(H10),"",IF(H10/500*492.8&lt;(LEN(TEXT(H10,"# ##0")))*5,"",TEXT(H10,"# ##0")))</f>
        <v xml:space="preserve"> 83</v>
      </c>
      <c r="I44" t="str">
        <f>IF(ISBLANK(I10),"",IF(I10/500*492.8&lt;(LEN(TEXT(I10,"# ##0")))*5,"",TEXT(I10,"# ##0")))</f>
        <v xml:space="preserve"> 61</v>
      </c>
      <c r="J44" t="str">
        <f>IF(ISBLANK(J10),"",IF(J10/500*492.8&lt;(LEN(TEXT(J10,"# ##0")))*5,"",TEXT(J10,"# ##0")))</f>
        <v xml:space="preserve"> 42</v>
      </c>
      <c r="K44" t="str">
        <f>IF(ISBLANK(K10),"",IF(K10/500*492.8&lt;(LEN(TEXT(K10,"# ##0")))*5,"",TEXT(K10,"# ##0")))</f>
        <v xml:space="preserve"> 56</v>
      </c>
      <c r="L44" t="str">
        <f>IF(ISBLANK(L10),"",IF(L10/500*492.8&lt;(LEN(TEXT(L10,"# ##0")))*5,"",TEXT(L10,"# ##0")))</f>
        <v xml:space="preserve"> 48</v>
      </c>
      <c r="M44" t="str">
        <f>IF(ISBLANK(M10),"",IF(M10/500*492.8&lt;(LEN(TEXT(M10,"# ##0")))*5,"",TEXT(M10,"# ##0")))</f>
        <v/>
      </c>
      <c r="N44" t="str">
        <f>IF(ISBLANK(N10),"",IF(N10/500*492.8&lt;(LEN(TEXT(N10,"# ##0")))*5,"",TEXT(N10,"# ##0")))</f>
        <v/>
      </c>
      <c r="O44" t="str">
        <f>IF(ISBLANK(O10),"",IF(O10/500*492.8&lt;(LEN(TEXT(O10,"# ##0")))*5,"",TEXT(O10,"# ##0")))</f>
        <v xml:space="preserve"> 41</v>
      </c>
      <c r="P44" t="str">
        <f>IF(ISBLANK(P10),"",IF(P10/500*492.8&lt;(LEN(TEXT(P10,"# ##0")))*5,"",TEXT(P10,"# ##0")))</f>
        <v xml:space="preserve"> 82</v>
      </c>
      <c r="Q44" t="str">
        <f>IF(ISBLANK(Q10),"",IF(Q10/500*492.8&lt;(LEN(TEXT(Q10,"# ##0")))*5,"",TEXT(Q10,"# ##0")))</f>
        <v xml:space="preserve"> 52</v>
      </c>
      <c r="R44" t="str">
        <f>IF(ISBLANK(R10),"",IF(R10/500*492.8&lt;(LEN(TEXT(R10,"# ##0")))*5,"",TEXT(R10,"# ##0")))</f>
        <v xml:space="preserve"> 22</v>
      </c>
      <c r="S44" t="str">
        <f>IF(ISBLANK(S10),"",IF(S10/500*492.8&lt;(LEN(TEXT(S10,"# ##0")))*5,"",TEXT(S10,"# ##0")))</f>
        <v/>
      </c>
      <c r="T44" t="str">
        <f>IF(ISBLANK(T10),"",IF(T10/500*492.8&lt;(LEN(TEXT(T10,"# ##0")))*5,"",TEXT(T10,"# ##0")))</f>
        <v xml:space="preserve"> 60</v>
      </c>
    </row>
    <row r="45" spans="2:20" hidden="1" x14ac:dyDescent="0.35">
      <c r="B45" t="str">
        <f>IF(ISBLANK(B11),"",IF(B11/500*492.8&lt;(LEN(TEXT(B11,"# ##0")))*5,"",TEXT(B11,"# ##0")))</f>
        <v xml:space="preserve"> 136</v>
      </c>
      <c r="C45" t="str">
        <f>IF(ISBLANK(C11),"",IF(C11/500*492.8&lt;(LEN(TEXT(C11,"# ##0")))*5,"",TEXT(C11,"# ##0")))</f>
        <v xml:space="preserve"> 135</v>
      </c>
      <c r="D45" t="str">
        <f>IF(ISBLANK(D11),"",IF(D11/500*492.8&lt;(LEN(TEXT(D11,"# ##0")))*5,"",TEXT(D11,"# ##0")))</f>
        <v xml:space="preserve"> 188</v>
      </c>
      <c r="E45" t="str">
        <f>IF(ISBLANK(E11),"",IF(E11/500*492.8&lt;(LEN(TEXT(E11,"# ##0")))*5,"",TEXT(E11,"# ##0")))</f>
        <v xml:space="preserve"> 88</v>
      </c>
      <c r="F45" t="str">
        <f>IF(ISBLANK(F11),"",IF(F11/500*492.8&lt;(LEN(TEXT(F11,"# ##0")))*5,"",TEXT(F11,"# ##0")))</f>
        <v xml:space="preserve"> 105</v>
      </c>
      <c r="G45" t="str">
        <f>IF(ISBLANK(G11),"",IF(G11/500*492.8&lt;(LEN(TEXT(G11,"# ##0")))*5,"",TEXT(G11,"# ##0")))</f>
        <v xml:space="preserve"> 100</v>
      </c>
      <c r="H45" t="str">
        <f>IF(ISBLANK(H11),"",IF(H11/500*492.8&lt;(LEN(TEXT(H11,"# ##0")))*5,"",TEXT(H11,"# ##0")))</f>
        <v xml:space="preserve"> 83</v>
      </c>
      <c r="I45" t="str">
        <f>IF(ISBLANK(I11),"",IF(I11/500*492.8&lt;(LEN(TEXT(I11,"# ##0")))*5,"",TEXT(I11,"# ##0")))</f>
        <v xml:space="preserve"> 44</v>
      </c>
      <c r="J45" t="str">
        <f>IF(ISBLANK(J11),"",IF(J11/500*492.8&lt;(LEN(TEXT(J11,"# ##0")))*5,"",TEXT(J11,"# ##0")))</f>
        <v xml:space="preserve"> 42</v>
      </c>
      <c r="K45" t="str">
        <f>IF(ISBLANK(K11),"",IF(K11/500*492.8&lt;(LEN(TEXT(K11,"# ##0")))*5,"",TEXT(K11,"# ##0")))</f>
        <v xml:space="preserve"> 34</v>
      </c>
      <c r="L45" t="str">
        <f>IF(ISBLANK(L11),"",IF(L11/500*492.8&lt;(LEN(TEXT(L11,"# ##0")))*5,"",TEXT(L11,"# ##0")))</f>
        <v xml:space="preserve"> 35</v>
      </c>
      <c r="M45" t="str">
        <f>IF(ISBLANK(M11),"",IF(M11/500*492.8&lt;(LEN(TEXT(M11,"# ##0")))*5,"",TEXT(M11,"# ##0")))</f>
        <v xml:space="preserve"> 24</v>
      </c>
      <c r="N45" t="str">
        <f>IF(ISBLANK(N11),"",IF(N11/500*492.8&lt;(LEN(TEXT(N11,"# ##0")))*5,"",TEXT(N11,"# ##0")))</f>
        <v/>
      </c>
      <c r="O45" t="str">
        <f>IF(ISBLANK(O11),"",IF(O11/500*492.8&lt;(LEN(TEXT(O11,"# ##0")))*5,"",TEXT(O11,"# ##0")))</f>
        <v xml:space="preserve"> 88</v>
      </c>
      <c r="P45" t="str">
        <f>IF(ISBLANK(P11),"",IF(P11/500*492.8&lt;(LEN(TEXT(P11,"# ##0")))*5,"",TEXT(P11,"# ##0")))</f>
        <v xml:space="preserve"> 96</v>
      </c>
      <c r="Q45" t="str">
        <f>IF(ISBLANK(Q11),"",IF(Q11/500*492.8&lt;(LEN(TEXT(Q11,"# ##0")))*5,"",TEXT(Q11,"# ##0")))</f>
        <v xml:space="preserve"> 36</v>
      </c>
      <c r="R45" t="str">
        <f>IF(ISBLANK(R11),"",IF(R11/500*492.8&lt;(LEN(TEXT(R11,"# ##0")))*5,"",TEXT(R11,"# ##0")))</f>
        <v xml:space="preserve"> 16</v>
      </c>
      <c r="S45" t="str">
        <f>IF(ISBLANK(S11),"",IF(S11/500*492.8&lt;(LEN(TEXT(S11,"# ##0")))*5,"",TEXT(S11,"# ##0")))</f>
        <v/>
      </c>
      <c r="T45" t="str">
        <f>IF(ISBLANK(T11),"",IF(T11/500*492.8&lt;(LEN(TEXT(T11,"# ##0")))*5,"",TEXT(T11,"# ##0")))</f>
        <v xml:space="preserve"> 48</v>
      </c>
    </row>
    <row r="46" spans="2:20" hidden="1" x14ac:dyDescent="0.35">
      <c r="B46" t="str">
        <f>IF(ISBLANK(B12),"",IF(B12/500*492.8&lt;(LEN(TEXT(B12,"# ##0"))+LEN(TEXT(B13,"# ##0")))*5,"",TEXT(B12,"# ##0")))</f>
        <v xml:space="preserve"> 188</v>
      </c>
      <c r="C46" t="str">
        <f>IF(ISBLANK(C12),"",IF(C12/500*492.8&lt;(LEN(TEXT(C12,"# ##0"))+LEN(TEXT(C13,"# ##0")))*5,"",TEXT(C12,"# ##0")))</f>
        <v xml:space="preserve"> 142</v>
      </c>
      <c r="D46" t="str">
        <f>IF(ISBLANK(D12),"",IF(D12/500*492.8&lt;(LEN(TEXT(D12,"# ##0"))+LEN(TEXT(D13,"# ##0")))*5,"",TEXT(D12,"# ##0")))</f>
        <v xml:space="preserve"> 125</v>
      </c>
      <c r="E46" t="str">
        <f>IF(ISBLANK(E12),"",IF(E12/500*492.8&lt;(LEN(TEXT(E12,"# ##0"))+LEN(TEXT(E13,"# ##0")))*5,"",TEXT(E12,"# ##0")))</f>
        <v xml:space="preserve"> 78</v>
      </c>
      <c r="F46" t="str">
        <f>IF(ISBLANK(F12),"",IF(F12/500*492.8&lt;(LEN(TEXT(F12,"# ##0"))+LEN(TEXT(F13,"# ##0")))*5,"",TEXT(F12,"# ##0")))</f>
        <v xml:space="preserve"> 84</v>
      </c>
      <c r="G46" t="str">
        <f>IF(ISBLANK(G12),"",IF(G12/500*492.8&lt;(LEN(TEXT(G12,"# ##0"))+LEN(TEXT(G13,"# ##0")))*5,"",TEXT(G12,"# ##0")))</f>
        <v xml:space="preserve"> 66</v>
      </c>
      <c r="H46" t="str">
        <f>IF(ISBLANK(H12),"",IF(H12/500*492.8&lt;(LEN(TEXT(H12,"# ##0"))+LEN(TEXT(H13,"# ##0")))*5,"",TEXT(H12,"# ##0")))</f>
        <v xml:space="preserve"> 58</v>
      </c>
      <c r="I46" t="str">
        <f>IF(ISBLANK(I12),"",IF(I12/500*492.8&lt;(LEN(TEXT(I12,"# ##0"))+LEN(TEXT(I13,"# ##0")))*5,"",TEXT(I12,"# ##0")))</f>
        <v/>
      </c>
      <c r="J46" t="str">
        <f>IF(ISBLANK(J12),"",IF(J12/500*492.8&lt;(LEN(TEXT(J12,"# ##0"))+LEN(TEXT(J13,"# ##0")))*5,"",TEXT(J12,"# ##0")))</f>
        <v/>
      </c>
      <c r="K46" t="str">
        <f>IF(ISBLANK(K12),"",IF(K12/500*492.8&lt;(LEN(TEXT(K12,"# ##0"))+LEN(TEXT(K13,"# ##0")))*5,"",TEXT(K12,"# ##0")))</f>
        <v/>
      </c>
      <c r="L46" t="str">
        <f>IF(ISBLANK(L12),"",IF(L12/500*492.8&lt;(LEN(TEXT(L12,"# ##0"))+LEN(TEXT(L13,"# ##0")))*5,"",TEXT(L12,"# ##0")))</f>
        <v/>
      </c>
      <c r="M46" t="str">
        <f>IF(ISBLANK(M12),"",IF(M12/500*492.8&lt;(LEN(TEXT(M12,"# ##0"))+LEN(TEXT(M13,"# ##0")))*5,"",TEXT(M12,"# ##0")))</f>
        <v/>
      </c>
      <c r="N46" t="str">
        <f>IF(ISBLANK(N12),"",IF(N12/500*492.8&lt;(LEN(TEXT(N12,"# ##0"))+LEN(TEXT(N13,"# ##0")))*5,"",TEXT(N12,"# ##0")))</f>
        <v/>
      </c>
      <c r="O46" t="str">
        <f>IF(ISBLANK(O12),"",IF(O12/500*492.8&lt;(LEN(TEXT(O12,"# ##0"))+LEN(TEXT(O13,"# ##0")))*5,"",TEXT(O12,"# ##0")))</f>
        <v xml:space="preserve"> 47</v>
      </c>
      <c r="P46" t="str">
        <f>IF(ISBLANK(P12),"",IF(P12/500*492.8&lt;(LEN(TEXT(P12,"# ##0"))+LEN(TEXT(P13,"# ##0")))*5,"",TEXT(P12,"# ##0")))</f>
        <v xml:space="preserve"> 109</v>
      </c>
      <c r="Q46" t="str">
        <f>IF(ISBLANK(Q12),"",IF(Q12/500*492.8&lt;(LEN(TEXT(Q12,"# ##0"))+LEN(TEXT(Q13,"# ##0")))*5,"",TEXT(Q12,"# ##0")))</f>
        <v/>
      </c>
      <c r="R46" t="str">
        <f>IF(ISBLANK(R12),"",IF(R12/500*492.8&lt;(LEN(TEXT(R12,"# ##0"))+LEN(TEXT(R13,"# ##0")))*5,"",TEXT(R12,"# ##0")))</f>
        <v/>
      </c>
      <c r="S46" t="str">
        <f>IF(ISBLANK(S12),"",IF(S12/500*492.8&lt;(LEN(TEXT(S12,"# ##0"))+LEN(TEXT(S13,"# ##0")))*5,"",TEXT(S12,"# ##0")))</f>
        <v/>
      </c>
      <c r="T46" t="str">
        <f>IF(ISBLANK(T12),"",IF(T12/500*492.8&lt;(LEN(TEXT(T12,"# ##0"))+LEN(TEXT(T13,"# ##0")))*5,"",TEXT(T12,"# ##0")))</f>
        <v/>
      </c>
    </row>
    <row r="47" spans="2:20" hidden="1" x14ac:dyDescent="0.35">
      <c r="B47" t="str">
        <f>IF(ISBLANK(B13),"",IF(B13/500*492.8&lt;(LEN(TEXT(B13,"# ##0")))*5,"",TEXT(B13,"# ##0")))</f>
        <v xml:space="preserve"> 496</v>
      </c>
      <c r="C47" t="str">
        <f>IF(ISBLANK(C13),"",IF(C13/500*492.8&lt;(LEN(TEXT(C13,"# ##0")))*5,"",TEXT(C13,"# ##0")))</f>
        <v xml:space="preserve"> 437</v>
      </c>
      <c r="D47" t="str">
        <f>IF(ISBLANK(D13),"",IF(D13/500*492.8&lt;(LEN(TEXT(D13,"# ##0")))*5,"",TEXT(D13,"# ##0")))</f>
        <v xml:space="preserve"> 415</v>
      </c>
      <c r="E47" t="str">
        <f>IF(ISBLANK(E13),"",IF(E13/500*492.8&lt;(LEN(TEXT(E13,"# ##0")))*5,"",TEXT(E13,"# ##0")))</f>
        <v xml:space="preserve"> 344</v>
      </c>
      <c r="F47" t="str">
        <f>IF(ISBLANK(F13),"",IF(F13/500*492.8&lt;(LEN(TEXT(F13,"# ##0")))*5,"",TEXT(F13,"# ##0")))</f>
        <v xml:space="preserve"> 268</v>
      </c>
      <c r="G47" t="str">
        <f>IF(ISBLANK(G13),"",IF(G13/500*492.8&lt;(LEN(TEXT(G13,"# ##0")))*5,"",TEXT(G13,"# ##0")))</f>
        <v xml:space="preserve"> 253</v>
      </c>
      <c r="H47" t="str">
        <f>IF(ISBLANK(H13),"",IF(H13/500*492.8&lt;(LEN(TEXT(H13,"# ##0")))*5,"",TEXT(H13,"# ##0")))</f>
        <v xml:space="preserve"> 224</v>
      </c>
      <c r="I47" t="str">
        <f>IF(ISBLANK(I13),"",IF(I13/500*492.8&lt;(LEN(TEXT(I13,"# ##0")))*5,"",TEXT(I13,"# ##0")))</f>
        <v xml:space="preserve"> 117</v>
      </c>
      <c r="J47" t="str">
        <f>IF(ISBLANK(J13),"",IF(J13/500*492.8&lt;(LEN(TEXT(J13,"# ##0")))*5,"",TEXT(J13,"# ##0")))</f>
        <v xml:space="preserve"> 101</v>
      </c>
      <c r="K47" t="str">
        <f>IF(ISBLANK(K13),"",IF(K13/500*492.8&lt;(LEN(TEXT(K13,"# ##0")))*5,"",TEXT(K13,"# ##0")))</f>
        <v xml:space="preserve"> 97</v>
      </c>
      <c r="L47" t="str">
        <f>IF(ISBLANK(L13),"",IF(L13/500*492.8&lt;(LEN(TEXT(L13,"# ##0")))*5,"",TEXT(L13,"# ##0")))</f>
        <v xml:space="preserve"> 96</v>
      </c>
      <c r="M47" t="str">
        <f>IF(ISBLANK(M13),"",IF(M13/500*492.8&lt;(LEN(TEXT(M13,"# ##0")))*5,"",TEXT(M13,"# ##0")))</f>
        <v xml:space="preserve"> 52</v>
      </c>
      <c r="N47" t="str">
        <f>IF(ISBLANK(N13),"",IF(N13/500*492.8&lt;(LEN(TEXT(N13,"# ##0")))*5,"",TEXT(N13,"# ##0")))</f>
        <v xml:space="preserve"> 22</v>
      </c>
      <c r="O47" t="str">
        <f>IF(ISBLANK(O13),"",IF(O13/500*492.8&lt;(LEN(TEXT(O13,"# ##0")))*5,"",TEXT(O13,"# ##0")))</f>
        <v xml:space="preserve"> 176</v>
      </c>
      <c r="P47" t="str">
        <f>IF(ISBLANK(P13),"",IF(P13/500*492.8&lt;(LEN(TEXT(P13,"# ##0")))*5,"",TEXT(P13,"# ##0")))</f>
        <v xml:space="preserve"> 287</v>
      </c>
      <c r="Q47" t="str">
        <f>IF(ISBLANK(Q13),"",IF(Q13/500*492.8&lt;(LEN(TEXT(Q13,"# ##0")))*5,"",TEXT(Q13,"# ##0")))</f>
        <v xml:space="preserve"> 115</v>
      </c>
      <c r="R47" t="str">
        <f>IF(ISBLANK(R13),"",IF(R13/500*492.8&lt;(LEN(TEXT(R13,"# ##0")))*5,"",TEXT(R13,"# ##0")))</f>
        <v xml:space="preserve"> 64</v>
      </c>
      <c r="S47" t="str">
        <f>IF(ISBLANK(S13),"",IF(S13/500*492.8&lt;(LEN(TEXT(S13,"# ##0")))*5,"",TEXT(S13,"# ##0")))</f>
        <v xml:space="preserve"> 32</v>
      </c>
      <c r="T47" t="str">
        <f>IF(ISBLANK(T13),"",IF(T13/500*492.8&lt;(LEN(TEXT(T13,"# ##0")))*5,"",TEXT(T13,"# ##0")))</f>
        <v xml:space="preserve"> 137</v>
      </c>
    </row>
    <row r="48" spans="2:20" hidden="1" x14ac:dyDescent="0.35"/>
  </sheetData>
  <mergeCells count="7">
    <mergeCell ref="B7:F7"/>
    <mergeCell ref="B6:V6"/>
    <mergeCell ref="B1:F1"/>
    <mergeCell ref="B2:F2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98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E549B-6B5A-429E-811B-C2AC70EB759E}">
  <sheetPr>
    <pageSetUpPr fitToPage="1"/>
  </sheetPr>
  <dimension ref="A1:AC23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19" t="s">
        <v>11</v>
      </c>
      <c r="B1" s="9" t="s">
        <v>63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15" customHeight="1" x14ac:dyDescent="0.35">
      <c r="A2" s="19" t="s">
        <v>13</v>
      </c>
      <c r="B2" s="9" t="s">
        <v>64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15" customHeight="1" x14ac:dyDescent="0.35">
      <c r="A3" s="19" t="s">
        <v>15</v>
      </c>
      <c r="B3" s="9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 ht="15" customHeight="1" x14ac:dyDescent="0.35">
      <c r="A4" s="19" t="s">
        <v>17</v>
      </c>
      <c r="B4" s="9" t="s"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15" customHeight="1" x14ac:dyDescent="0.35">
      <c r="A5" s="19" t="s">
        <v>19</v>
      </c>
      <c r="B5" s="9" t="s">
        <v>65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 ht="29.5" customHeight="1" x14ac:dyDescent="0.35">
      <c r="A6" s="19" t="s">
        <v>21</v>
      </c>
      <c r="B6" s="21" t="s">
        <v>66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</row>
    <row r="7" spans="1:29" ht="15" customHeight="1" x14ac:dyDescent="0.35">
      <c r="A7" s="19" t="s">
        <v>23</v>
      </c>
      <c r="B7" s="20" t="str">
        <f>B2&amp;" in "&amp;B3</f>
        <v>Contribution in kEUR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5" customHeight="1" x14ac:dyDescent="0.35"/>
    <row r="9" spans="1:29" ht="15" customHeight="1" x14ac:dyDescent="0.35"/>
    <row r="10" spans="1:29" ht="28" customHeight="1" x14ac:dyDescent="0.35">
      <c r="A10" s="6" t="s">
        <v>17</v>
      </c>
      <c r="B10" s="6" t="s">
        <v>67</v>
      </c>
      <c r="C10" s="6" t="s">
        <v>65</v>
      </c>
      <c r="D10" s="6" t="s">
        <v>13</v>
      </c>
      <c r="E10" s="6" t="s">
        <v>68</v>
      </c>
      <c r="F10" s="6" t="s">
        <v>69</v>
      </c>
      <c r="G10" s="6" t="s">
        <v>70</v>
      </c>
      <c r="H10" s="6" t="s">
        <v>71</v>
      </c>
      <c r="I10" s="6" t="s">
        <v>72</v>
      </c>
      <c r="J10" s="6" t="s">
        <v>73</v>
      </c>
      <c r="K10" s="6" t="s">
        <v>74</v>
      </c>
      <c r="L10" s="6" t="s">
        <v>75</v>
      </c>
      <c r="M10" s="6" t="s">
        <v>76</v>
      </c>
      <c r="N10" s="6" t="s">
        <v>77</v>
      </c>
      <c r="O10" s="6" t="s">
        <v>78</v>
      </c>
      <c r="P10" s="6" t="s">
        <v>79</v>
      </c>
      <c r="Q10" s="6" t="s">
        <v>80</v>
      </c>
      <c r="R10" s="6" t="s">
        <v>81</v>
      </c>
      <c r="S10" s="6" t="s">
        <v>82</v>
      </c>
      <c r="T10" s="6" t="s">
        <v>83</v>
      </c>
      <c r="U10" s="6" t="s">
        <v>84</v>
      </c>
      <c r="V10" s="6" t="s">
        <v>85</v>
      </c>
      <c r="W10" s="6" t="s">
        <v>86</v>
      </c>
      <c r="X10" s="6" t="s">
        <v>87</v>
      </c>
      <c r="Y10" s="6" t="s">
        <v>88</v>
      </c>
      <c r="Z10" s="6" t="s">
        <v>89</v>
      </c>
      <c r="AA10" s="6" t="s">
        <v>90</v>
      </c>
      <c r="AB10" s="6" t="s">
        <v>91</v>
      </c>
      <c r="AC10" s="6" t="s">
        <v>92</v>
      </c>
    </row>
    <row r="11" spans="1:29" x14ac:dyDescent="0.35">
      <c r="A11" s="11" t="s">
        <v>93</v>
      </c>
      <c r="B11" t="s">
        <v>94</v>
      </c>
      <c r="C11" s="13">
        <v>114.6953405017921</v>
      </c>
      <c r="D11" s="13">
        <v>128</v>
      </c>
      <c r="E11" s="23">
        <f>D11-C11</f>
        <v>13.304659498207897</v>
      </c>
      <c r="F11" s="24">
        <f>IF(C11&lt;=0,NA(),(D11-C11)/C11*100)</f>
        <v>11.600000000000012</v>
      </c>
      <c r="G11" s="24">
        <f>IF($B11="AC",$D11,NA())</f>
        <v>128</v>
      </c>
      <c r="H11" s="24" t="e">
        <f>IF($B11="AC",NA(),$D11)</f>
        <v>#N/A</v>
      </c>
      <c r="I11" s="24">
        <f>IF($E11&gt;0,$E11,NA())</f>
        <v>13.304659498207897</v>
      </c>
      <c r="J11" s="24" t="e">
        <f>IF($E11&lt;0,$E11,NA())</f>
        <v>#N/A</v>
      </c>
      <c r="K11" s="24">
        <f>IF($F11&gt;0,$F11,NA())</f>
        <v>11.600000000000012</v>
      </c>
      <c r="L11" s="24" t="e">
        <f>IF($F11&lt;0,$F11,NA())</f>
        <v>#N/A</v>
      </c>
      <c r="M11" s="24">
        <f>IF($F11&gt;0,$F11,0)</f>
        <v>11.600000000000012</v>
      </c>
      <c r="N11" s="24">
        <f>IF($F11&lt;0,-$F11,0)</f>
        <v>0</v>
      </c>
      <c r="O11" s="25">
        <f>MAX(_xlfn.AGGREGATE(4,6,C11:C22,D11:D22,E11:E22,I11:I22,J11:J22),-_xlfn.AGGREGATE(5,6,C11:C22,D11:D22,E11:E22,I11:I22,J11:J22),0.000000001)</f>
        <v>211</v>
      </c>
      <c r="P11" s="25">
        <f>MAX(_xlfn.AGGREGATE(4,6,K11:K22,L11:L22,M11:M22,N11:N22),-_xlfn.AGGREGATE(5,6,K11:K22,L11:L22,M11:M22,N11:N22),0.000000001)</f>
        <v>17.300000000000004</v>
      </c>
      <c r="Q11" s="25">
        <f>C11/$O$11</f>
        <v>0.54357981280470191</v>
      </c>
      <c r="R11" s="25">
        <f>D11/$O$11</f>
        <v>0.60663507109004744</v>
      </c>
      <c r="S11" s="7" t="str">
        <f>IF(ISNA(D11),"",TEXT(D11,"0"))</f>
        <v>128</v>
      </c>
      <c r="T11" s="25">
        <f>E11/$O$11</f>
        <v>6.3055258285345486E-2</v>
      </c>
      <c r="U11" s="7" t="str">
        <f>IF(ISNA(E11),"",TEXT(E11,"+0;-0"))</f>
        <v>+13</v>
      </c>
      <c r="V11" s="25">
        <f>I11/$O$11</f>
        <v>6.3055258285345486E-2</v>
      </c>
      <c r="W11" s="25" t="e">
        <f>J11/$O$11</f>
        <v>#N/A</v>
      </c>
      <c r="X11" s="25">
        <f>K11/$P$11</f>
        <v>0.67052023121387339</v>
      </c>
      <c r="Y11" s="7" t="str">
        <f>IF(ISNA(K11),"",TEXT(K11,"+0.0;-0.0"))</f>
        <v>+11.6</v>
      </c>
      <c r="Z11" s="25" t="e">
        <f>L11/$P$11</f>
        <v>#N/A</v>
      </c>
      <c r="AA11" s="7" t="str">
        <f>IF(ISNA(L11),"",TEXT(L11,"+0.0;-0.0"))</f>
        <v/>
      </c>
      <c r="AB11" s="25">
        <f>M11/$P$11</f>
        <v>0.67052023121387339</v>
      </c>
      <c r="AC11" s="25">
        <f>N11/$P$11</f>
        <v>0</v>
      </c>
    </row>
    <row r="12" spans="1:29" x14ac:dyDescent="0.35">
      <c r="A12" s="11" t="s">
        <v>95</v>
      </c>
      <c r="B12" t="s">
        <v>94</v>
      </c>
      <c r="C12" s="13">
        <v>133.63636363636363</v>
      </c>
      <c r="D12" s="13">
        <v>147</v>
      </c>
      <c r="E12" s="23">
        <f>D12-C12</f>
        <v>13.363636363636374</v>
      </c>
      <c r="F12" s="24">
        <f>IF(C12&lt;=0,NA(),(D12-C12)/C12*100)</f>
        <v>10.000000000000009</v>
      </c>
      <c r="G12" s="24">
        <f>IF($B12="AC",$D12,NA())</f>
        <v>147</v>
      </c>
      <c r="H12" s="24" t="e">
        <f>IF($B12="AC",NA(),$D12)</f>
        <v>#N/A</v>
      </c>
      <c r="I12" s="24">
        <f>IF($E12&gt;0,$E12,NA())</f>
        <v>13.363636363636374</v>
      </c>
      <c r="J12" s="24" t="e">
        <f>IF($E12&lt;0,$E12,NA())</f>
        <v>#N/A</v>
      </c>
      <c r="K12" s="24">
        <f>IF($F12&gt;0,$F12,NA())</f>
        <v>10.000000000000009</v>
      </c>
      <c r="L12" s="24" t="e">
        <f>IF($F12&lt;0,$F12,NA())</f>
        <v>#N/A</v>
      </c>
      <c r="M12" s="24">
        <f>IF($F12&gt;0,$F12,0)</f>
        <v>10.000000000000009</v>
      </c>
      <c r="N12" s="24">
        <f>IF($F12&lt;0,-$F12,0)</f>
        <v>0</v>
      </c>
      <c r="O12" s="25"/>
      <c r="P12" s="25"/>
      <c r="Q12" s="25">
        <f>C12/$O$11</f>
        <v>0.63334769495906929</v>
      </c>
      <c r="R12" s="25">
        <f>D12/$O$11</f>
        <v>0.69668246445497628</v>
      </c>
      <c r="S12" s="7" t="str">
        <f>IF(ISNA(D12),"",TEXT(D12,"0"))</f>
        <v>147</v>
      </c>
      <c r="T12" s="25">
        <f>E12/$O$11</f>
        <v>6.3334769495906981E-2</v>
      </c>
      <c r="U12" s="7" t="str">
        <f>IF(ISNA(E12),"",TEXT(E12,"+0;-0"))</f>
        <v>+13</v>
      </c>
      <c r="V12" s="25">
        <f>I12/$O$11</f>
        <v>6.3334769495906981E-2</v>
      </c>
      <c r="W12" s="25" t="e">
        <f>J12/$O$11</f>
        <v>#N/A</v>
      </c>
      <c r="X12" s="25">
        <f>K12/$P$11</f>
        <v>0.57803468208092523</v>
      </c>
      <c r="Y12" s="7" t="str">
        <f>IF(ISNA(K12),"",TEXT(K12,"+0.0;-0.0"))</f>
        <v>+10.0</v>
      </c>
      <c r="Z12" s="25" t="e">
        <f>L12/$P$11</f>
        <v>#N/A</v>
      </c>
      <c r="AA12" s="7" t="str">
        <f>IF(ISNA(L12),"",TEXT(L12,"+0.0;-0.0"))</f>
        <v/>
      </c>
      <c r="AB12" s="25">
        <f>M12/$P$11</f>
        <v>0.57803468208092523</v>
      </c>
      <c r="AC12" s="25">
        <f>N12/$P$11</f>
        <v>0</v>
      </c>
    </row>
    <row r="13" spans="1:29" x14ac:dyDescent="0.35">
      <c r="A13" s="11" t="s">
        <v>96</v>
      </c>
      <c r="B13" t="s">
        <v>94</v>
      </c>
      <c r="C13" s="13">
        <v>140.78674948240166</v>
      </c>
      <c r="D13" s="13">
        <v>136</v>
      </c>
      <c r="E13" s="23">
        <f>D13-C13</f>
        <v>-4.7867494824016603</v>
      </c>
      <c r="F13" s="24">
        <f>IF(C13&lt;=0,NA(),(D13-C13)/C13*100)</f>
        <v>-3.400000000000003</v>
      </c>
      <c r="G13" s="24">
        <f>IF($B13="AC",$D13,NA())</f>
        <v>136</v>
      </c>
      <c r="H13" s="24" t="e">
        <f>IF($B13="AC",NA(),$D13)</f>
        <v>#N/A</v>
      </c>
      <c r="I13" s="24" t="e">
        <f>IF($E13&gt;0,$E13,NA())</f>
        <v>#N/A</v>
      </c>
      <c r="J13" s="24">
        <f>IF($E13&lt;0,$E13,NA())</f>
        <v>-4.7867494824016603</v>
      </c>
      <c r="K13" s="24" t="e">
        <f>IF($F13&gt;0,$F13,NA())</f>
        <v>#N/A</v>
      </c>
      <c r="L13" s="24">
        <f>IF($F13&lt;0,$F13,NA())</f>
        <v>-3.400000000000003</v>
      </c>
      <c r="M13" s="24">
        <f>IF($F13&gt;0,$F13,0)</f>
        <v>0</v>
      </c>
      <c r="N13" s="24">
        <f>IF($F13&lt;0,-$F13,0)</f>
        <v>3.400000000000003</v>
      </c>
      <c r="O13" s="25"/>
      <c r="P13" s="25"/>
      <c r="Q13" s="25">
        <f>C13/$O$11</f>
        <v>0.66723577953744861</v>
      </c>
      <c r="R13" s="25">
        <f>D13/$O$11</f>
        <v>0.64454976303317535</v>
      </c>
      <c r="S13" s="7" t="str">
        <f>IF(ISNA(D13),"",TEXT(D13,"0"))</f>
        <v>136</v>
      </c>
      <c r="T13" s="25">
        <f>E13/$O$11</f>
        <v>-2.2686016504273272E-2</v>
      </c>
      <c r="U13" s="7" t="str">
        <f>IF(ISNA(E13),"",TEXT(E13,"+0;-0"))</f>
        <v>-5</v>
      </c>
      <c r="V13" s="25" t="e">
        <f>I13/$O$11</f>
        <v>#N/A</v>
      </c>
      <c r="W13" s="25">
        <f>J13/$O$11</f>
        <v>-2.2686016504273272E-2</v>
      </c>
      <c r="X13" s="25" t="e">
        <f>K13/$P$11</f>
        <v>#N/A</v>
      </c>
      <c r="Y13" s="7" t="str">
        <f>IF(ISNA(K13),"",TEXT(K13,"+0.0;-0.0"))</f>
        <v/>
      </c>
      <c r="Z13" s="25">
        <f>L13/$P$11</f>
        <v>-0.19653179190751457</v>
      </c>
      <c r="AA13" s="7" t="str">
        <f>IF(ISNA(L13),"",TEXT(L13,"+0.0;-0.0"))</f>
        <v>-3.4</v>
      </c>
      <c r="AB13" s="25">
        <f>M13/$P$11</f>
        <v>0</v>
      </c>
      <c r="AC13" s="25">
        <f>N13/$P$11</f>
        <v>0.19653179190751457</v>
      </c>
    </row>
    <row r="14" spans="1:29" x14ac:dyDescent="0.35">
      <c r="A14" s="11" t="s">
        <v>97</v>
      </c>
      <c r="B14" t="s">
        <v>94</v>
      </c>
      <c r="C14" s="13">
        <v>151.91256830601091</v>
      </c>
      <c r="D14" s="13">
        <v>139</v>
      </c>
      <c r="E14" s="23">
        <f>D14-C14</f>
        <v>-12.912568306010911</v>
      </c>
      <c r="F14" s="24">
        <f>IF(C14&lt;=0,NA(),(D14-C14)/C14*100)</f>
        <v>-8.4999999999999893</v>
      </c>
      <c r="G14" s="24">
        <f>IF($B14="AC",$D14,NA())</f>
        <v>139</v>
      </c>
      <c r="H14" s="24" t="e">
        <f>IF($B14="AC",NA(),$D14)</f>
        <v>#N/A</v>
      </c>
      <c r="I14" s="24" t="e">
        <f>IF($E14&gt;0,$E14,NA())</f>
        <v>#N/A</v>
      </c>
      <c r="J14" s="24">
        <f>IF($E14&lt;0,$E14,NA())</f>
        <v>-12.912568306010911</v>
      </c>
      <c r="K14" s="24" t="e">
        <f>IF($F14&gt;0,$F14,NA())</f>
        <v>#N/A</v>
      </c>
      <c r="L14" s="24">
        <f>IF($F14&lt;0,$F14,NA())</f>
        <v>-8.4999999999999893</v>
      </c>
      <c r="M14" s="24">
        <f>IF($F14&gt;0,$F14,0)</f>
        <v>0</v>
      </c>
      <c r="N14" s="24">
        <f>IF($F14&lt;0,-$F14,0)</f>
        <v>8.4999999999999893</v>
      </c>
      <c r="O14" s="25"/>
      <c r="P14" s="25"/>
      <c r="Q14" s="25">
        <f>C14/$O$11</f>
        <v>0.71996477870147346</v>
      </c>
      <c r="R14" s="25">
        <f>D14/$O$11</f>
        <v>0.65876777251184837</v>
      </c>
      <c r="S14" s="7" t="str">
        <f>IF(ISNA(D14),"",TEXT(D14,"0"))</f>
        <v>139</v>
      </c>
      <c r="T14" s="25">
        <f>E14/$O$11</f>
        <v>-6.1197006189625168E-2</v>
      </c>
      <c r="U14" s="7" t="str">
        <f>IF(ISNA(E14),"",TEXT(E14,"+0;-0"))</f>
        <v>-13</v>
      </c>
      <c r="V14" s="25" t="e">
        <f>I14/$O$11</f>
        <v>#N/A</v>
      </c>
      <c r="W14" s="25">
        <f>J14/$O$11</f>
        <v>-6.1197006189625168E-2</v>
      </c>
      <c r="X14" s="25" t="e">
        <f>K14/$P$11</f>
        <v>#N/A</v>
      </c>
      <c r="Y14" s="7" t="str">
        <f>IF(ISNA(K14),"",TEXT(K14,"+0.0;-0.0"))</f>
        <v/>
      </c>
      <c r="Z14" s="25">
        <f>L14/$P$11</f>
        <v>-0.49132947976878538</v>
      </c>
      <c r="AA14" s="7" t="str">
        <f>IF(ISNA(L14),"",TEXT(L14,"+0.0;-0.0"))</f>
        <v>-8.5</v>
      </c>
      <c r="AB14" s="25">
        <f>M14/$P$11</f>
        <v>0</v>
      </c>
      <c r="AC14" s="25">
        <f>N14/$P$11</f>
        <v>0.49132947976878538</v>
      </c>
    </row>
    <row r="15" spans="1:29" x14ac:dyDescent="0.35">
      <c r="A15" s="11" t="s">
        <v>98</v>
      </c>
      <c r="B15" t="s">
        <v>94</v>
      </c>
      <c r="C15" s="13">
        <v>174.89711934156378</v>
      </c>
      <c r="D15" s="13">
        <v>170</v>
      </c>
      <c r="E15" s="23">
        <f>D15-C15</f>
        <v>-4.8971193415637799</v>
      </c>
      <c r="F15" s="24">
        <f>IF(C15&lt;=0,NA(),(D15-C15)/C15*100)</f>
        <v>-2.7999999999999967</v>
      </c>
      <c r="G15" s="24">
        <f>IF($B15="AC",$D15,NA())</f>
        <v>170</v>
      </c>
      <c r="H15" s="24" t="e">
        <f>IF($B15="AC",NA(),$D15)</f>
        <v>#N/A</v>
      </c>
      <c r="I15" s="24" t="e">
        <f>IF($E15&gt;0,$E15,NA())</f>
        <v>#N/A</v>
      </c>
      <c r="J15" s="24">
        <f>IF($E15&lt;0,$E15,NA())</f>
        <v>-4.8971193415637799</v>
      </c>
      <c r="K15" s="24" t="e">
        <f>IF($F15&gt;0,$F15,NA())</f>
        <v>#N/A</v>
      </c>
      <c r="L15" s="24">
        <f>IF($F15&lt;0,$F15,NA())</f>
        <v>-2.7999999999999967</v>
      </c>
      <c r="M15" s="24">
        <f>IF($F15&gt;0,$F15,0)</f>
        <v>0</v>
      </c>
      <c r="N15" s="24">
        <f>IF($F15&lt;0,-$F15,0)</f>
        <v>2.7999999999999967</v>
      </c>
      <c r="O15" s="25"/>
      <c r="P15" s="25"/>
      <c r="Q15" s="25">
        <f>C15/$O$11</f>
        <v>0.82889630019698479</v>
      </c>
      <c r="R15" s="25">
        <f>D15/$O$11</f>
        <v>0.80568720379146919</v>
      </c>
      <c r="S15" s="7" t="str">
        <f>IF(ISNA(D15),"",TEXT(D15,"0"))</f>
        <v>170</v>
      </c>
      <c r="T15" s="25">
        <f>E15/$O$11</f>
        <v>-2.3209096405515543E-2</v>
      </c>
      <c r="U15" s="7" t="str">
        <f>IF(ISNA(E15),"",TEXT(E15,"+0;-0"))</f>
        <v>-5</v>
      </c>
      <c r="V15" s="25" t="e">
        <f>I15/$O$11</f>
        <v>#N/A</v>
      </c>
      <c r="W15" s="25">
        <f>J15/$O$11</f>
        <v>-2.3209096405515543E-2</v>
      </c>
      <c r="X15" s="25" t="e">
        <f>K15/$P$11</f>
        <v>#N/A</v>
      </c>
      <c r="Y15" s="7" t="str">
        <f>IF(ISNA(K15),"",TEXT(K15,"+0.0;-0.0"))</f>
        <v/>
      </c>
      <c r="Z15" s="25">
        <f>L15/$P$11</f>
        <v>-0.16184971098265874</v>
      </c>
      <c r="AA15" s="7" t="str">
        <f>IF(ISNA(L15),"",TEXT(L15,"+0.0;-0.0"))</f>
        <v>-2.8</v>
      </c>
      <c r="AB15" s="25">
        <f>M15/$P$11</f>
        <v>0</v>
      </c>
      <c r="AC15" s="25">
        <f>N15/$P$11</f>
        <v>0.16184971098265874</v>
      </c>
    </row>
    <row r="16" spans="1:29" x14ac:dyDescent="0.35">
      <c r="A16" s="11" t="s">
        <v>99</v>
      </c>
      <c r="B16" t="s">
        <v>94</v>
      </c>
      <c r="C16" s="13">
        <v>182.93838862559244</v>
      </c>
      <c r="D16" s="13">
        <v>193</v>
      </c>
      <c r="E16" s="23">
        <f>D16-C16</f>
        <v>10.061611374407562</v>
      </c>
      <c r="F16" s="24">
        <f>IF(C16&lt;=0,NA(),(D16-C16)/C16*100)</f>
        <v>5.4999999999999876</v>
      </c>
      <c r="G16" s="24">
        <f>IF($B16="AC",$D16,NA())</f>
        <v>193</v>
      </c>
      <c r="H16" s="24" t="e">
        <f>IF($B16="AC",NA(),$D16)</f>
        <v>#N/A</v>
      </c>
      <c r="I16" s="24">
        <f>IF($E16&gt;0,$E16,NA())</f>
        <v>10.061611374407562</v>
      </c>
      <c r="J16" s="24" t="e">
        <f>IF($E16&lt;0,$E16,NA())</f>
        <v>#N/A</v>
      </c>
      <c r="K16" s="24">
        <f>IF($F16&gt;0,$F16,NA())</f>
        <v>5.4999999999999876</v>
      </c>
      <c r="L16" s="24" t="e">
        <f>IF($F16&lt;0,$F16,NA())</f>
        <v>#N/A</v>
      </c>
      <c r="M16" s="24">
        <f>IF($F16&gt;0,$F16,0)</f>
        <v>5.4999999999999876</v>
      </c>
      <c r="N16" s="24">
        <f>IF($F16&lt;0,-$F16,0)</f>
        <v>0</v>
      </c>
      <c r="O16" s="25"/>
      <c r="P16" s="25"/>
      <c r="Q16" s="25">
        <f>C16/$O$11</f>
        <v>0.86700658116394524</v>
      </c>
      <c r="R16" s="25">
        <f>D16/$O$11</f>
        <v>0.91469194312796209</v>
      </c>
      <c r="S16" s="7" t="str">
        <f>IF(ISNA(D16),"",TEXT(D16,"0"))</f>
        <v>193</v>
      </c>
      <c r="T16" s="25">
        <f>E16/$O$11</f>
        <v>4.7685361964016883E-2</v>
      </c>
      <c r="U16" s="7" t="str">
        <f>IF(ISNA(E16),"",TEXT(E16,"+0;-0"))</f>
        <v>+10</v>
      </c>
      <c r="V16" s="25">
        <f>I16/$O$11</f>
        <v>4.7685361964016883E-2</v>
      </c>
      <c r="W16" s="25" t="e">
        <f>J16/$O$11</f>
        <v>#N/A</v>
      </c>
      <c r="X16" s="25">
        <f>K16/$P$11</f>
        <v>0.3179190751445079</v>
      </c>
      <c r="Y16" s="7" t="str">
        <f>IF(ISNA(K16),"",TEXT(K16,"+0.0;-0.0"))</f>
        <v>+5.5</v>
      </c>
      <c r="Z16" s="25" t="e">
        <f>L16/$P$11</f>
        <v>#N/A</v>
      </c>
      <c r="AA16" s="7" t="str">
        <f>IF(ISNA(L16),"",TEXT(L16,"+0.0;-0.0"))</f>
        <v/>
      </c>
      <c r="AB16" s="25">
        <f>M16/$P$11</f>
        <v>0.3179190751445079</v>
      </c>
      <c r="AC16" s="25">
        <f>N16/$P$11</f>
        <v>0</v>
      </c>
    </row>
    <row r="17" spans="1:29" x14ac:dyDescent="0.35">
      <c r="A17" s="11" t="s">
        <v>100</v>
      </c>
      <c r="B17" t="s">
        <v>94</v>
      </c>
      <c r="C17" s="13">
        <v>151.74765558397272</v>
      </c>
      <c r="D17" s="13">
        <v>178</v>
      </c>
      <c r="E17" s="23">
        <f>D17-C17</f>
        <v>26.252344416027285</v>
      </c>
      <c r="F17" s="24">
        <f>IF(C17&lt;=0,NA(),(D17-C17)/C17*100)</f>
        <v>17.300000000000004</v>
      </c>
      <c r="G17" s="24">
        <f>IF($B17="AC",$D17,NA())</f>
        <v>178</v>
      </c>
      <c r="H17" s="24" t="e">
        <f>IF($B17="AC",NA(),$D17)</f>
        <v>#N/A</v>
      </c>
      <c r="I17" s="24">
        <f>IF($E17&gt;0,$E17,NA())</f>
        <v>26.252344416027285</v>
      </c>
      <c r="J17" s="24" t="e">
        <f>IF($E17&lt;0,$E17,NA())</f>
        <v>#N/A</v>
      </c>
      <c r="K17" s="24">
        <f>IF($F17&gt;0,$F17,NA())</f>
        <v>17.300000000000004</v>
      </c>
      <c r="L17" s="24" t="e">
        <f>IF($F17&lt;0,$F17,NA())</f>
        <v>#N/A</v>
      </c>
      <c r="M17" s="24">
        <f>IF($F17&gt;0,$F17,0)</f>
        <v>17.300000000000004</v>
      </c>
      <c r="N17" s="24">
        <f>IF($F17&lt;0,-$F17,0)</f>
        <v>0</v>
      </c>
      <c r="O17" s="25"/>
      <c r="P17" s="25"/>
      <c r="Q17" s="25">
        <f>C17/$O$11</f>
        <v>0.71918320181977591</v>
      </c>
      <c r="R17" s="25">
        <f>D17/$O$11</f>
        <v>0.84360189573459721</v>
      </c>
      <c r="S17" s="7" t="str">
        <f>IF(ISNA(D17),"",TEXT(D17,"0"))</f>
        <v>178</v>
      </c>
      <c r="T17" s="25">
        <f>E17/$O$11</f>
        <v>0.12441869391482126</v>
      </c>
      <c r="U17" s="7" t="str">
        <f>IF(ISNA(E17),"",TEXT(E17,"+0;-0"))</f>
        <v>+26</v>
      </c>
      <c r="V17" s="25">
        <f>I17/$O$11</f>
        <v>0.12441869391482126</v>
      </c>
      <c r="W17" s="25" t="e">
        <f>J17/$O$11</f>
        <v>#N/A</v>
      </c>
      <c r="X17" s="25">
        <f>K17/$P$11</f>
        <v>1</v>
      </c>
      <c r="Y17" s="7" t="str">
        <f>IF(ISNA(K17),"",TEXT(K17,"+0.0;-0.0"))</f>
        <v>+17.3</v>
      </c>
      <c r="Z17" s="25" t="e">
        <f>L17/$P$11</f>
        <v>#N/A</v>
      </c>
      <c r="AA17" s="7" t="str">
        <f>IF(ISNA(L17),"",TEXT(L17,"+0.0;-0.0"))</f>
        <v/>
      </c>
      <c r="AB17" s="25">
        <f>M17/$P$11</f>
        <v>1</v>
      </c>
      <c r="AC17" s="25">
        <f>N17/$P$11</f>
        <v>0</v>
      </c>
    </row>
    <row r="18" spans="1:29" x14ac:dyDescent="0.35">
      <c r="A18" s="11" t="s">
        <v>101</v>
      </c>
      <c r="B18" t="s">
        <v>94</v>
      </c>
      <c r="C18" s="13">
        <v>164.0625</v>
      </c>
      <c r="D18" s="13">
        <v>189</v>
      </c>
      <c r="E18" s="23">
        <f>D18-C18</f>
        <v>24.9375</v>
      </c>
      <c r="F18" s="24">
        <f>IF(C18&lt;=0,NA(),(D18-C18)/C18*100)</f>
        <v>15.2</v>
      </c>
      <c r="G18" s="24">
        <f>IF($B18="AC",$D18,NA())</f>
        <v>189</v>
      </c>
      <c r="H18" s="24" t="e">
        <f>IF($B18="AC",NA(),$D18)</f>
        <v>#N/A</v>
      </c>
      <c r="I18" s="24">
        <f>IF($E18&gt;0,$E18,NA())</f>
        <v>24.9375</v>
      </c>
      <c r="J18" s="24" t="e">
        <f>IF($E18&lt;0,$E18,NA())</f>
        <v>#N/A</v>
      </c>
      <c r="K18" s="24">
        <f>IF($F18&gt;0,$F18,NA())</f>
        <v>15.2</v>
      </c>
      <c r="L18" s="24" t="e">
        <f>IF($F18&lt;0,$F18,NA())</f>
        <v>#N/A</v>
      </c>
      <c r="M18" s="24">
        <f>IF($F18&gt;0,$F18,0)</f>
        <v>15.2</v>
      </c>
      <c r="N18" s="24">
        <f>IF($F18&lt;0,-$F18,0)</f>
        <v>0</v>
      </c>
      <c r="O18" s="25"/>
      <c r="P18" s="25"/>
      <c r="Q18" s="25">
        <f>C18/$O$11</f>
        <v>0.77754739336492895</v>
      </c>
      <c r="R18" s="25">
        <f>D18/$O$11</f>
        <v>0.89573459715639814</v>
      </c>
      <c r="S18" s="7" t="str">
        <f>IF(ISNA(D18),"",TEXT(D18,"0"))</f>
        <v>189</v>
      </c>
      <c r="T18" s="25">
        <f>E18/$O$11</f>
        <v>0.1181872037914692</v>
      </c>
      <c r="U18" s="7" t="str">
        <f>IF(ISNA(E18),"",TEXT(E18,"+0;-0"))</f>
        <v>+25</v>
      </c>
      <c r="V18" s="25">
        <f>I18/$O$11</f>
        <v>0.1181872037914692</v>
      </c>
      <c r="W18" s="25" t="e">
        <f>J18/$O$11</f>
        <v>#N/A</v>
      </c>
      <c r="X18" s="25">
        <f>K18/$P$11</f>
        <v>0.87861271676300556</v>
      </c>
      <c r="Y18" s="7" t="str">
        <f>IF(ISNA(K18),"",TEXT(K18,"+0.0;-0.0"))</f>
        <v>+15.2</v>
      </c>
      <c r="Z18" s="25" t="e">
        <f>L18/$P$11</f>
        <v>#N/A</v>
      </c>
      <c r="AA18" s="7" t="str">
        <f>IF(ISNA(L18),"",TEXT(L18,"+0.0;-0.0"))</f>
        <v/>
      </c>
      <c r="AB18" s="25">
        <f>M18/$P$11</f>
        <v>0.87861271676300556</v>
      </c>
      <c r="AC18" s="25">
        <f>N18/$P$11</f>
        <v>0</v>
      </c>
    </row>
    <row r="19" spans="1:29" x14ac:dyDescent="0.35">
      <c r="A19" s="11" t="s">
        <v>102</v>
      </c>
      <c r="B19" t="s">
        <v>94</v>
      </c>
      <c r="C19" s="13">
        <v>172.53077444993698</v>
      </c>
      <c r="D19" s="13">
        <v>178</v>
      </c>
      <c r="E19" s="23">
        <f>D19-C19</f>
        <v>5.4692255500630154</v>
      </c>
      <c r="F19" s="24">
        <f>IF(C19&lt;=0,NA(),(D19-C19)/C19*100)</f>
        <v>3.1700000000000075</v>
      </c>
      <c r="G19" s="24">
        <f>IF($B19="AC",$D19,NA())</f>
        <v>178</v>
      </c>
      <c r="H19" s="24" t="e">
        <f>IF($B19="AC",NA(),$D19)</f>
        <v>#N/A</v>
      </c>
      <c r="I19" s="24">
        <f>IF($E19&gt;0,$E19,NA())</f>
        <v>5.4692255500630154</v>
      </c>
      <c r="J19" s="24" t="e">
        <f>IF($E19&lt;0,$E19,NA())</f>
        <v>#N/A</v>
      </c>
      <c r="K19" s="24">
        <f>IF($F19&gt;0,$F19,NA())</f>
        <v>3.1700000000000075</v>
      </c>
      <c r="L19" s="24" t="e">
        <f>IF($F19&lt;0,$F19,NA())</f>
        <v>#N/A</v>
      </c>
      <c r="M19" s="24">
        <f>IF($F19&gt;0,$F19,0)</f>
        <v>3.1700000000000075</v>
      </c>
      <c r="N19" s="24">
        <f>IF($F19&lt;0,-$F19,0)</f>
        <v>0</v>
      </c>
      <c r="O19" s="25"/>
      <c r="P19" s="25"/>
      <c r="Q19" s="25">
        <f>C19/$O$11</f>
        <v>0.81768139549733165</v>
      </c>
      <c r="R19" s="25">
        <f>D19/$O$11</f>
        <v>0.84360189573459721</v>
      </c>
      <c r="S19" s="7" t="str">
        <f>IF(ISNA(D19),"",TEXT(D19,"0"))</f>
        <v>178</v>
      </c>
      <c r="T19" s="25">
        <f>E19/$O$11</f>
        <v>2.5920500237265477E-2</v>
      </c>
      <c r="U19" s="7" t="str">
        <f>IF(ISNA(E19),"",TEXT(E19,"+0;-0"))</f>
        <v>+5</v>
      </c>
      <c r="V19" s="25">
        <f>I19/$O$11</f>
        <v>2.5920500237265477E-2</v>
      </c>
      <c r="W19" s="25" t="e">
        <f>J19/$O$11</f>
        <v>#N/A</v>
      </c>
      <c r="X19" s="25">
        <f>K19/$P$11</f>
        <v>0.18323699421965356</v>
      </c>
      <c r="Y19" s="7" t="str">
        <f>IF(ISNA(K19),"",TEXT(K19,"+0.0;-0.0"))</f>
        <v>+3.2</v>
      </c>
      <c r="Z19" s="25" t="e">
        <f>L19/$P$11</f>
        <v>#N/A</v>
      </c>
      <c r="AA19" s="7" t="str">
        <f>IF(ISNA(L19),"",TEXT(L19,"+0.0;-0.0"))</f>
        <v/>
      </c>
      <c r="AB19" s="25">
        <f>M19/$P$11</f>
        <v>0.18323699421965356</v>
      </c>
      <c r="AC19" s="25">
        <f>N19/$P$11</f>
        <v>0</v>
      </c>
    </row>
    <row r="20" spans="1:29" x14ac:dyDescent="0.35">
      <c r="A20" s="11" t="s">
        <v>103</v>
      </c>
      <c r="B20" t="s">
        <v>104</v>
      </c>
      <c r="C20" s="13">
        <v>184.346035015448</v>
      </c>
      <c r="D20" s="13">
        <v>179</v>
      </c>
      <c r="E20" s="23">
        <f>D20-C20</f>
        <v>-5.3460350154479954</v>
      </c>
      <c r="F20" s="24">
        <f>IF(C20&lt;=0,NA(),(D20-C20)/C20*100)</f>
        <v>-2.9000000000000017</v>
      </c>
      <c r="G20" s="24" t="e">
        <f>IF($B20="AC",$D20,NA())</f>
        <v>#N/A</v>
      </c>
      <c r="H20" s="24">
        <f>IF($B20="AC",NA(),$D20)</f>
        <v>179</v>
      </c>
      <c r="I20" s="24" t="e">
        <f>IF($E20&gt;0,$E20,NA())</f>
        <v>#N/A</v>
      </c>
      <c r="J20" s="24">
        <f>IF($E20&lt;0,$E20,NA())</f>
        <v>-5.3460350154479954</v>
      </c>
      <c r="K20" s="24" t="e">
        <f>IF($F20&gt;0,$F20,NA())</f>
        <v>#N/A</v>
      </c>
      <c r="L20" s="24">
        <f>IF($F20&lt;0,$F20,NA())</f>
        <v>-2.9000000000000017</v>
      </c>
      <c r="M20" s="24">
        <f>IF($F20&gt;0,$F20,0)</f>
        <v>0</v>
      </c>
      <c r="N20" s="24">
        <f>IF($F20&lt;0,-$F20,0)</f>
        <v>2.9000000000000017</v>
      </c>
      <c r="O20" s="25"/>
      <c r="P20" s="25"/>
      <c r="Q20" s="25">
        <f>C20/$O$11</f>
        <v>0.87367789106847393</v>
      </c>
      <c r="R20" s="25">
        <f>D20/$O$11</f>
        <v>0.84834123222748814</v>
      </c>
      <c r="S20" s="7" t="str">
        <f>IF(ISNA(D20),"",TEXT(D20,"0"))</f>
        <v>179</v>
      </c>
      <c r="T20" s="25">
        <f>E20/$O$11</f>
        <v>-2.5336658840985762E-2</v>
      </c>
      <c r="U20" s="7" t="str">
        <f>IF(ISNA(E20),"",TEXT(E20,"+0;-0"))</f>
        <v>-5</v>
      </c>
      <c r="V20" s="25" t="e">
        <f>I20/$O$11</f>
        <v>#N/A</v>
      </c>
      <c r="W20" s="25">
        <f>J20/$O$11</f>
        <v>-2.5336658840985762E-2</v>
      </c>
      <c r="X20" s="25" t="e">
        <f>K20/$P$11</f>
        <v>#N/A</v>
      </c>
      <c r="Y20" s="7" t="str">
        <f>IF(ISNA(K20),"",TEXT(K20,"+0.0;-0.0"))</f>
        <v/>
      </c>
      <c r="Z20" s="25">
        <f>L20/$P$11</f>
        <v>-0.16763005780346826</v>
      </c>
      <c r="AA20" s="7" t="str">
        <f>IF(ISNA(L20),"",TEXT(L20,"+0.0;-0.0"))</f>
        <v>-2.9</v>
      </c>
      <c r="AB20" s="25">
        <f>M20/$P$11</f>
        <v>0</v>
      </c>
      <c r="AC20" s="25">
        <f>N20/$P$11</f>
        <v>0.16763005780346826</v>
      </c>
    </row>
    <row r="21" spans="1:29" x14ac:dyDescent="0.35">
      <c r="A21" s="11" t="s">
        <v>105</v>
      </c>
      <c r="B21" t="s">
        <v>104</v>
      </c>
      <c r="C21" s="13">
        <v>201.49253731343285</v>
      </c>
      <c r="D21" s="13">
        <v>189</v>
      </c>
      <c r="E21" s="23">
        <f>D21-C21</f>
        <v>-12.492537313432848</v>
      </c>
      <c r="F21" s="24">
        <f>IF(C21&lt;=0,NA(),(D21-C21)/C21*100)</f>
        <v>-6.2000000000000055</v>
      </c>
      <c r="G21" s="24" t="e">
        <f>IF($B21="AC",$D21,NA())</f>
        <v>#N/A</v>
      </c>
      <c r="H21" s="24">
        <f>IF($B21="AC",NA(),$D21)</f>
        <v>189</v>
      </c>
      <c r="I21" s="24" t="e">
        <f>IF($E21&gt;0,$E21,NA())</f>
        <v>#N/A</v>
      </c>
      <c r="J21" s="24">
        <f>IF($E21&lt;0,$E21,NA())</f>
        <v>-12.492537313432848</v>
      </c>
      <c r="K21" s="24" t="e">
        <f>IF($F21&gt;0,$F21,NA())</f>
        <v>#N/A</v>
      </c>
      <c r="L21" s="24">
        <f>IF($F21&lt;0,$F21,NA())</f>
        <v>-6.2000000000000055</v>
      </c>
      <c r="M21" s="24">
        <f>IF($F21&gt;0,$F21,0)</f>
        <v>0</v>
      </c>
      <c r="N21" s="24">
        <f>IF($F21&lt;0,-$F21,0)</f>
        <v>6.2000000000000055</v>
      </c>
      <c r="O21" s="25"/>
      <c r="P21" s="25"/>
      <c r="Q21" s="25">
        <f>C21/$O$11</f>
        <v>0.95494093513475287</v>
      </c>
      <c r="R21" s="25">
        <f>D21/$O$11</f>
        <v>0.89573459715639814</v>
      </c>
      <c r="S21" s="7" t="str">
        <f>IF(ISNA(D21),"",TEXT(D21,"0"))</f>
        <v>189</v>
      </c>
      <c r="T21" s="25">
        <f>E21/$O$11</f>
        <v>-5.9206337978354728E-2</v>
      </c>
      <c r="U21" s="7" t="str">
        <f>IF(ISNA(E21),"",TEXT(E21,"+0;-0"))</f>
        <v>-12</v>
      </c>
      <c r="V21" s="25" t="e">
        <f>I21/$O$11</f>
        <v>#N/A</v>
      </c>
      <c r="W21" s="25">
        <f>J21/$O$11</f>
        <v>-5.9206337978354728E-2</v>
      </c>
      <c r="X21" s="25" t="e">
        <f>K21/$P$11</f>
        <v>#N/A</v>
      </c>
      <c r="Y21" s="7" t="str">
        <f>IF(ISNA(K21),"",TEXT(K21,"+0.0;-0.0"))</f>
        <v/>
      </c>
      <c r="Z21" s="25">
        <f>L21/$P$11</f>
        <v>-0.35838150289017362</v>
      </c>
      <c r="AA21" s="7" t="str">
        <f>IF(ISNA(L21),"",TEXT(L21,"+0.0;-0.0"))</f>
        <v>-6.2</v>
      </c>
      <c r="AB21" s="25">
        <f>M21/$P$11</f>
        <v>0</v>
      </c>
      <c r="AC21" s="25">
        <f>N21/$P$11</f>
        <v>0.35838150289017362</v>
      </c>
    </row>
    <row r="22" spans="1:29" x14ac:dyDescent="0.35">
      <c r="A22" s="11" t="s">
        <v>106</v>
      </c>
      <c r="B22" t="s">
        <v>104</v>
      </c>
      <c r="C22" s="13">
        <v>182.68398268398269</v>
      </c>
      <c r="D22" s="13">
        <v>211</v>
      </c>
      <c r="E22" s="23">
        <f>D22-C22</f>
        <v>28.316017316017309</v>
      </c>
      <c r="F22" s="24">
        <f>IF(C22&lt;=0,NA(),(D22-C22)/C22*100)</f>
        <v>15.499999999999995</v>
      </c>
      <c r="G22" s="24" t="e">
        <f>IF($B22="AC",$D22,NA())</f>
        <v>#N/A</v>
      </c>
      <c r="H22" s="24">
        <f>IF($B22="AC",NA(),$D22)</f>
        <v>211</v>
      </c>
      <c r="I22" s="24">
        <f>IF($E22&gt;0,$E22,NA())</f>
        <v>28.316017316017309</v>
      </c>
      <c r="J22" s="24" t="e">
        <f>IF($E22&lt;0,$E22,NA())</f>
        <v>#N/A</v>
      </c>
      <c r="K22" s="24">
        <f>IF($F22&gt;0,$F22,NA())</f>
        <v>15.499999999999995</v>
      </c>
      <c r="L22" s="24" t="e">
        <f>IF($F22&lt;0,$F22,NA())</f>
        <v>#N/A</v>
      </c>
      <c r="M22" s="24">
        <f>IF($F22&gt;0,$F22,0)</f>
        <v>15.499999999999995</v>
      </c>
      <c r="N22" s="24">
        <f>IF($F22&lt;0,-$F22,0)</f>
        <v>0</v>
      </c>
      <c r="O22" s="25"/>
      <c r="P22" s="25"/>
      <c r="Q22" s="25">
        <f>C22/$O$11</f>
        <v>0.86580086580086579</v>
      </c>
      <c r="R22" s="25">
        <f>D22/$O$11</f>
        <v>1</v>
      </c>
      <c r="S22" s="7" t="str">
        <f>IF(ISNA(D22),"",TEXT(D22,"0"))</f>
        <v>211</v>
      </c>
      <c r="T22" s="25">
        <f>E22/$O$11</f>
        <v>0.13419913419913415</v>
      </c>
      <c r="U22" s="7" t="str">
        <f>IF(ISNA(E22),"",TEXT(E22,"+0;-0"))</f>
        <v>+28</v>
      </c>
      <c r="V22" s="25">
        <f>I22/$O$11</f>
        <v>0.13419913419913415</v>
      </c>
      <c r="W22" s="25" t="e">
        <f>J22/$O$11</f>
        <v>#N/A</v>
      </c>
      <c r="X22" s="25">
        <f>K22/$P$11</f>
        <v>0.89595375722543302</v>
      </c>
      <c r="Y22" s="7" t="str">
        <f>IF(ISNA(K22),"",TEXT(K22,"+0.0;-0.0"))</f>
        <v>+15.5</v>
      </c>
      <c r="Z22" s="25" t="e">
        <f>L22/$P$11</f>
        <v>#N/A</v>
      </c>
      <c r="AA22" s="7" t="str">
        <f>IF(ISNA(L22),"",TEXT(L22,"+0.0;-0.0"))</f>
        <v/>
      </c>
      <c r="AB22" s="25">
        <f>M22/$P$11</f>
        <v>0.89595375722543302</v>
      </c>
      <c r="AC22" s="25">
        <f>N22/$P$11</f>
        <v>0</v>
      </c>
    </row>
    <row r="23" spans="1:29" x14ac:dyDescent="0.35">
      <c r="D23" s="22"/>
    </row>
  </sheetData>
  <mergeCells count="7">
    <mergeCell ref="B7:AC7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5338-4F43-4323-9471-41916537F0B6}">
  <sheetPr>
    <pageSetUpPr fitToPage="1"/>
  </sheetPr>
  <dimension ref="A1:Y30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19" t="s">
        <v>11</v>
      </c>
      <c r="B1" s="9" t="s">
        <v>107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ht="15" customHeight="1" x14ac:dyDescent="0.35">
      <c r="A2" s="19" t="s">
        <v>13</v>
      </c>
      <c r="B2" s="9" t="s">
        <v>14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spans="1:25" ht="15" customHeight="1" x14ac:dyDescent="0.35">
      <c r="A3" s="19" t="s">
        <v>15</v>
      </c>
      <c r="B3" s="9" t="s">
        <v>108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spans="1:25" ht="15" customHeight="1" x14ac:dyDescent="0.35">
      <c r="A4" s="19" t="s">
        <v>17</v>
      </c>
      <c r="B4" s="9" t="s"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ht="15" customHeight="1" x14ac:dyDescent="0.35">
      <c r="A5" s="19" t="s">
        <v>19</v>
      </c>
      <c r="B5" s="9" t="s">
        <v>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spans="1:25" ht="29.5" customHeight="1" x14ac:dyDescent="0.35">
      <c r="A6" s="19" t="s">
        <v>21</v>
      </c>
      <c r="B6" s="21" t="s">
        <v>109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</row>
    <row r="7" spans="1:25" ht="15" customHeight="1" x14ac:dyDescent="0.35">
      <c r="A7" s="19" t="s">
        <v>23</v>
      </c>
      <c r="B7" s="20" t="str">
        <f>B2&amp;" in "&amp;B3</f>
        <v>Net sales in kUSD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spans="1:25" ht="15" customHeight="1" x14ac:dyDescent="0.35"/>
    <row r="9" spans="1:25" ht="15" customHeight="1" x14ac:dyDescent="0.35"/>
    <row r="10" spans="1:25" ht="28" customHeight="1" x14ac:dyDescent="0.35">
      <c r="A10" s="6" t="s">
        <v>110</v>
      </c>
      <c r="B10" s="6" t="s">
        <v>67</v>
      </c>
      <c r="C10" s="6" t="s">
        <v>13</v>
      </c>
      <c r="D10" s="6" t="s">
        <v>111</v>
      </c>
      <c r="E10" s="6" t="s">
        <v>20</v>
      </c>
      <c r="F10" s="6" t="s">
        <v>112</v>
      </c>
      <c r="G10" s="6" t="s">
        <v>113</v>
      </c>
      <c r="H10" s="6" t="s">
        <v>114</v>
      </c>
      <c r="I10" s="6" t="s">
        <v>115</v>
      </c>
      <c r="J10" s="6" t="s">
        <v>116</v>
      </c>
      <c r="K10" s="6" t="s">
        <v>76</v>
      </c>
      <c r="L10" s="6" t="s">
        <v>77</v>
      </c>
      <c r="M10" s="6" t="s">
        <v>78</v>
      </c>
      <c r="N10" s="6" t="s">
        <v>79</v>
      </c>
      <c r="O10" s="6" t="s">
        <v>80</v>
      </c>
      <c r="P10" s="6" t="s">
        <v>81</v>
      </c>
      <c r="Q10" s="6" t="s">
        <v>82</v>
      </c>
      <c r="R10" s="6" t="s">
        <v>83</v>
      </c>
      <c r="S10" s="6" t="s">
        <v>84</v>
      </c>
      <c r="T10" s="6" t="s">
        <v>85</v>
      </c>
      <c r="U10" s="6" t="s">
        <v>86</v>
      </c>
      <c r="V10" s="6" t="s">
        <v>117</v>
      </c>
      <c r="W10" s="6" t="s">
        <v>118</v>
      </c>
      <c r="X10" s="6" t="s">
        <v>87</v>
      </c>
      <c r="Y10" s="6" t="s">
        <v>89</v>
      </c>
    </row>
    <row r="11" spans="1:25" x14ac:dyDescent="0.35">
      <c r="A11" s="11" t="s">
        <v>119</v>
      </c>
      <c r="B11" t="s">
        <v>94</v>
      </c>
      <c r="C11" s="27">
        <v>188</v>
      </c>
      <c r="D11" s="28">
        <v>34</v>
      </c>
      <c r="E11" s="29">
        <f>C11-D11</f>
        <v>154</v>
      </c>
      <c r="F11" s="24">
        <f>IF(E11&lt;=0,NA(),D11/E11*100)</f>
        <v>22.077922077922079</v>
      </c>
      <c r="G11" s="30">
        <f>IF($D11&gt;0,$D11,NA())</f>
        <v>34</v>
      </c>
      <c r="H11" s="30" t="e">
        <f>IF($D11&lt;0,$D11,NA())</f>
        <v>#N/A</v>
      </c>
      <c r="I11" s="24">
        <f>IF($F11&gt;0,$F11,NA())</f>
        <v>22.077922077922079</v>
      </c>
      <c r="J11" s="24" t="e">
        <f>IF($F11&lt;0,$F11,NA())</f>
        <v>#N/A</v>
      </c>
      <c r="K11" s="24">
        <f>IF($F11&gt;0,$F11,0)</f>
        <v>22.077922077922079</v>
      </c>
      <c r="L11" s="24">
        <f>IF($F11&lt;0,-$F11,0)</f>
        <v>0</v>
      </c>
      <c r="M11" s="25">
        <f>MAX(_xlfn.AGGREGATE(4,6,E11:E29,C11:C29,D11:D29,G11:G29,H11:H29),-_xlfn.AGGREGATE(5,6,E11:E29,C11:C29,D11:D29,G11:G29,H11:H29),0.000000001)</f>
        <v>219</v>
      </c>
      <c r="N11" s="25">
        <f>MAX(_xlfn.AGGREGATE(4,6,F11:F29,I11:I29,J11:J29),-_xlfn.AGGREGATE(5,6,F11:F29,I11:I29,J11:J29),0.000000001)</f>
        <v>58.433734939759042</v>
      </c>
      <c r="O11" s="25">
        <f>E11/$M$11</f>
        <v>0.70319634703196343</v>
      </c>
      <c r="P11" s="25">
        <f>C11/$M$11</f>
        <v>0.85844748858447484</v>
      </c>
      <c r="Q11" s="7" t="str">
        <f>IF(ISNA(C11),"",TEXT(C11,"0"))</f>
        <v>188</v>
      </c>
      <c r="R11" s="25">
        <f>D11/$M$11</f>
        <v>0.15525114155251141</v>
      </c>
      <c r="S11" s="7" t="str">
        <f>IF(ISNA(D11),"",TEXT(D11,"+0;-0"))</f>
        <v>+34</v>
      </c>
      <c r="T11" s="25">
        <f>G11/$M$11</f>
        <v>0.15525114155251141</v>
      </c>
      <c r="U11" s="25" t="e">
        <f>H11/$M$11</f>
        <v>#N/A</v>
      </c>
      <c r="V11" s="25">
        <f>F11/$N$11</f>
        <v>0.37782835720980046</v>
      </c>
      <c r="W11" s="7" t="str">
        <f>IF(ISNA(F11),"",TEXT(F11,"+0;-0"))</f>
        <v>+22</v>
      </c>
      <c r="X11" s="25">
        <f>I11/$N$11</f>
        <v>0.37782835720980046</v>
      </c>
      <c r="Y11" s="25" t="e">
        <f>J11/$N$11</f>
        <v>#N/A</v>
      </c>
    </row>
    <row r="12" spans="1:25" x14ac:dyDescent="0.35">
      <c r="A12" s="11" t="s">
        <v>120</v>
      </c>
      <c r="B12" t="s">
        <v>94</v>
      </c>
      <c r="C12" s="27">
        <v>131</v>
      </c>
      <c r="D12" s="28">
        <v>31</v>
      </c>
      <c r="E12" s="29">
        <f>C12-D12</f>
        <v>100</v>
      </c>
      <c r="F12" s="24">
        <f>IF(E12&lt;=0,NA(),D12/E12*100)</f>
        <v>31</v>
      </c>
      <c r="G12" s="30">
        <f>IF($D12&gt;0,$D12,NA())</f>
        <v>31</v>
      </c>
      <c r="H12" s="30" t="e">
        <f>IF($D12&lt;0,$D12,NA())</f>
        <v>#N/A</v>
      </c>
      <c r="I12" s="24">
        <f>IF($F12&gt;0,$F12,NA())</f>
        <v>31</v>
      </c>
      <c r="J12" s="24" t="e">
        <f>IF($F12&lt;0,$F12,NA())</f>
        <v>#N/A</v>
      </c>
      <c r="K12" s="24">
        <f>IF($F12&gt;0,$F12,0)</f>
        <v>31</v>
      </c>
      <c r="L12" s="24">
        <f>IF($F12&lt;0,-$F12,0)</f>
        <v>0</v>
      </c>
      <c r="M12" s="25"/>
      <c r="N12" s="25"/>
      <c r="O12" s="25">
        <f>E12/$M$11</f>
        <v>0.45662100456621002</v>
      </c>
      <c r="P12" s="25">
        <f>C12/$M$11</f>
        <v>0.59817351598173518</v>
      </c>
      <c r="Q12" s="7" t="str">
        <f>IF(ISNA(C12),"",TEXT(C12,"0"))</f>
        <v>131</v>
      </c>
      <c r="R12" s="25">
        <f>D12/$M$11</f>
        <v>0.14155251141552511</v>
      </c>
      <c r="S12" s="7" t="str">
        <f>IF(ISNA(D12),"",TEXT(D12,"+0;-0"))</f>
        <v>+31</v>
      </c>
      <c r="T12" s="25">
        <f>G12/$M$11</f>
        <v>0.14155251141552511</v>
      </c>
      <c r="U12" s="25" t="e">
        <f>H12/$M$11</f>
        <v>#N/A</v>
      </c>
      <c r="V12" s="25">
        <f>F12/$N$11</f>
        <v>0.53051546391752569</v>
      </c>
      <c r="W12" s="7" t="str">
        <f>IF(ISNA(F12),"",TEXT(F12,"+0;-0"))</f>
        <v>+31</v>
      </c>
      <c r="X12" s="25">
        <f>I12/$N$11</f>
        <v>0.53051546391752569</v>
      </c>
      <c r="Y12" s="25" t="e">
        <f>J12/$N$11</f>
        <v>#N/A</v>
      </c>
    </row>
    <row r="13" spans="1:25" x14ac:dyDescent="0.35">
      <c r="A13" s="11" t="s">
        <v>121</v>
      </c>
      <c r="B13" t="s">
        <v>94</v>
      </c>
      <c r="C13" s="27">
        <v>211</v>
      </c>
      <c r="D13" s="28">
        <v>10</v>
      </c>
      <c r="E13" s="29">
        <f>C13-D13</f>
        <v>201</v>
      </c>
      <c r="F13" s="24">
        <f>IF(E13&lt;=0,NA(),D13/E13*100)</f>
        <v>4.9751243781094532</v>
      </c>
      <c r="G13" s="30">
        <f>IF($D13&gt;0,$D13,NA())</f>
        <v>10</v>
      </c>
      <c r="H13" s="30" t="e">
        <f>IF($D13&lt;0,$D13,NA())</f>
        <v>#N/A</v>
      </c>
      <c r="I13" s="24">
        <f>IF($F13&gt;0,$F13,NA())</f>
        <v>4.9751243781094532</v>
      </c>
      <c r="J13" s="24" t="e">
        <f>IF($F13&lt;0,$F13,NA())</f>
        <v>#N/A</v>
      </c>
      <c r="K13" s="24">
        <f>IF($F13&gt;0,$F13,0)</f>
        <v>4.9751243781094532</v>
      </c>
      <c r="L13" s="24">
        <f>IF($F13&lt;0,-$F13,0)</f>
        <v>0</v>
      </c>
      <c r="M13" s="25"/>
      <c r="N13" s="25"/>
      <c r="O13" s="25">
        <f>E13/$M$11</f>
        <v>0.9178082191780822</v>
      </c>
      <c r="P13" s="25">
        <f>C13/$M$11</f>
        <v>0.9634703196347032</v>
      </c>
      <c r="Q13" s="7" t="str">
        <f>IF(ISNA(C13),"",TEXT(C13,"0"))</f>
        <v>211</v>
      </c>
      <c r="R13" s="25">
        <f>D13/$M$11</f>
        <v>4.5662100456621002E-2</v>
      </c>
      <c r="S13" s="7" t="str">
        <f>IF(ISNA(D13),"",TEXT(D13,"+0;-0"))</f>
        <v>+10</v>
      </c>
      <c r="T13" s="25">
        <f>G13/$M$11</f>
        <v>4.5662100456621002E-2</v>
      </c>
      <c r="U13" s="25" t="e">
        <f>H13/$M$11</f>
        <v>#N/A</v>
      </c>
      <c r="V13" s="25">
        <f>F13/$N$11</f>
        <v>8.5141303790326722E-2</v>
      </c>
      <c r="W13" s="7" t="str">
        <f>IF(ISNA(F13),"",TEXT(F13,"+0;-0"))</f>
        <v>+5</v>
      </c>
      <c r="X13" s="25">
        <f>I13/$N$11</f>
        <v>8.5141303790326722E-2</v>
      </c>
      <c r="Y13" s="25" t="e">
        <f>J13/$N$11</f>
        <v>#N/A</v>
      </c>
    </row>
    <row r="14" spans="1:25" x14ac:dyDescent="0.35">
      <c r="A14" s="11" t="s">
        <v>122</v>
      </c>
      <c r="B14" t="s">
        <v>94</v>
      </c>
      <c r="C14" s="27">
        <v>79</v>
      </c>
      <c r="D14" s="28">
        <v>9</v>
      </c>
      <c r="E14" s="29">
        <f>C14-D14</f>
        <v>70</v>
      </c>
      <c r="F14" s="24">
        <f>IF(E14&lt;=0,NA(),D14/E14*100)</f>
        <v>12.857142857142856</v>
      </c>
      <c r="G14" s="30">
        <f>IF($D14&gt;0,$D14,NA())</f>
        <v>9</v>
      </c>
      <c r="H14" s="30" t="e">
        <f>IF($D14&lt;0,$D14,NA())</f>
        <v>#N/A</v>
      </c>
      <c r="I14" s="24">
        <f>IF($F14&gt;0,$F14,NA())</f>
        <v>12.857142857142856</v>
      </c>
      <c r="J14" s="24" t="e">
        <f>IF($F14&lt;0,$F14,NA())</f>
        <v>#N/A</v>
      </c>
      <c r="K14" s="24">
        <f>IF($F14&gt;0,$F14,0)</f>
        <v>12.857142857142856</v>
      </c>
      <c r="L14" s="24">
        <f>IF($F14&lt;0,-$F14,0)</f>
        <v>0</v>
      </c>
      <c r="M14" s="25"/>
      <c r="N14" s="25"/>
      <c r="O14" s="25">
        <f>E14/$M$11</f>
        <v>0.31963470319634701</v>
      </c>
      <c r="P14" s="25">
        <f>C14/$M$11</f>
        <v>0.36073059360730592</v>
      </c>
      <c r="Q14" s="7" t="str">
        <f>IF(ISNA(C14),"",TEXT(C14,"0"))</f>
        <v>79</v>
      </c>
      <c r="R14" s="25">
        <f>D14/$M$11</f>
        <v>4.1095890410958902E-2</v>
      </c>
      <c r="S14" s="7" t="str">
        <f>IF(ISNA(D14),"",TEXT(D14,"+0;-0"))</f>
        <v>+9</v>
      </c>
      <c r="T14" s="25">
        <f>G14/$M$11</f>
        <v>4.1095890410958902E-2</v>
      </c>
      <c r="U14" s="25" t="e">
        <f>H14/$M$11</f>
        <v>#N/A</v>
      </c>
      <c r="V14" s="25">
        <f>F14/$N$11</f>
        <v>0.22002945508100144</v>
      </c>
      <c r="W14" s="7" t="str">
        <f>IF(ISNA(F14),"",TEXT(F14,"+0;-0"))</f>
        <v>+13</v>
      </c>
      <c r="X14" s="25">
        <f>I14/$N$11</f>
        <v>0.22002945508100144</v>
      </c>
      <c r="Y14" s="25" t="e">
        <f>J14/$N$11</f>
        <v>#N/A</v>
      </c>
    </row>
    <row r="15" spans="1:25" x14ac:dyDescent="0.35">
      <c r="A15" s="11" t="s">
        <v>123</v>
      </c>
      <c r="B15" t="s">
        <v>94</v>
      </c>
      <c r="C15" s="27">
        <v>46</v>
      </c>
      <c r="D15" s="28">
        <v>6</v>
      </c>
      <c r="E15" s="29">
        <f>C15-D15</f>
        <v>40</v>
      </c>
      <c r="F15" s="24">
        <f>IF(E15&lt;=0,NA(),D15/E15*100)</f>
        <v>15</v>
      </c>
      <c r="G15" s="30">
        <f>IF($D15&gt;0,$D15,NA())</f>
        <v>6</v>
      </c>
      <c r="H15" s="30" t="e">
        <f>IF($D15&lt;0,$D15,NA())</f>
        <v>#N/A</v>
      </c>
      <c r="I15" s="24">
        <f>IF($F15&gt;0,$F15,NA())</f>
        <v>15</v>
      </c>
      <c r="J15" s="24" t="e">
        <f>IF($F15&lt;0,$F15,NA())</f>
        <v>#N/A</v>
      </c>
      <c r="K15" s="24">
        <f>IF($F15&gt;0,$F15,0)</f>
        <v>15</v>
      </c>
      <c r="L15" s="24">
        <f>IF($F15&lt;0,-$F15,0)</f>
        <v>0</v>
      </c>
      <c r="M15" s="25"/>
      <c r="N15" s="25"/>
      <c r="O15" s="25">
        <f>E15/$M$11</f>
        <v>0.18264840182648401</v>
      </c>
      <c r="P15" s="25">
        <f>C15/$M$11</f>
        <v>0.21004566210045661</v>
      </c>
      <c r="Q15" s="7" t="str">
        <f>IF(ISNA(C15),"",TEXT(C15,"0"))</f>
        <v>46</v>
      </c>
      <c r="R15" s="25">
        <f>D15/$M$11</f>
        <v>2.7397260273972601E-2</v>
      </c>
      <c r="S15" s="7" t="str">
        <f>IF(ISNA(D15),"",TEXT(D15,"+0;-0"))</f>
        <v>+6</v>
      </c>
      <c r="T15" s="25">
        <f>G15/$M$11</f>
        <v>2.7397260273972601E-2</v>
      </c>
      <c r="U15" s="25" t="e">
        <f>H15/$M$11</f>
        <v>#N/A</v>
      </c>
      <c r="V15" s="25">
        <f>F15/$N$11</f>
        <v>0.25670103092783503</v>
      </c>
      <c r="W15" s="7" t="str">
        <f>IF(ISNA(F15),"",TEXT(F15,"+0;-0"))</f>
        <v>+15</v>
      </c>
      <c r="X15" s="25">
        <f>I15/$N$11</f>
        <v>0.25670103092783503</v>
      </c>
      <c r="Y15" s="25" t="e">
        <f>J15/$N$11</f>
        <v>#N/A</v>
      </c>
    </row>
    <row r="16" spans="1:25" x14ac:dyDescent="0.35">
      <c r="A16" s="11" t="s">
        <v>124</v>
      </c>
      <c r="B16" t="s">
        <v>94</v>
      </c>
      <c r="C16" s="27">
        <v>49</v>
      </c>
      <c r="D16" s="28">
        <v>6</v>
      </c>
      <c r="E16" s="29">
        <f>C16-D16</f>
        <v>43</v>
      </c>
      <c r="F16" s="24">
        <f>IF(E16&lt;=0,NA(),D16/E16*100)</f>
        <v>13.953488372093023</v>
      </c>
      <c r="G16" s="30">
        <f>IF($D16&gt;0,$D16,NA())</f>
        <v>6</v>
      </c>
      <c r="H16" s="30" t="e">
        <f>IF($D16&lt;0,$D16,NA())</f>
        <v>#N/A</v>
      </c>
      <c r="I16" s="24">
        <f>IF($F16&gt;0,$F16,NA())</f>
        <v>13.953488372093023</v>
      </c>
      <c r="J16" s="24" t="e">
        <f>IF($F16&lt;0,$F16,NA())</f>
        <v>#N/A</v>
      </c>
      <c r="K16" s="24">
        <f>IF($F16&gt;0,$F16,0)</f>
        <v>13.953488372093023</v>
      </c>
      <c r="L16" s="24">
        <f>IF($F16&lt;0,-$F16,0)</f>
        <v>0</v>
      </c>
      <c r="M16" s="25"/>
      <c r="N16" s="25"/>
      <c r="O16" s="25">
        <f>E16/$M$11</f>
        <v>0.19634703196347031</v>
      </c>
      <c r="P16" s="25">
        <f>C16/$M$11</f>
        <v>0.22374429223744291</v>
      </c>
      <c r="Q16" s="7" t="str">
        <f>IF(ISNA(C16),"",TEXT(C16,"0"))</f>
        <v>49</v>
      </c>
      <c r="R16" s="25">
        <f>D16/$M$11</f>
        <v>2.7397260273972601E-2</v>
      </c>
      <c r="S16" s="7" t="str">
        <f>IF(ISNA(D16),"",TEXT(D16,"+0;-0"))</f>
        <v>+6</v>
      </c>
      <c r="T16" s="25">
        <f>G16/$M$11</f>
        <v>2.7397260273972601E-2</v>
      </c>
      <c r="U16" s="25" t="e">
        <f>H16/$M$11</f>
        <v>#N/A</v>
      </c>
      <c r="V16" s="25">
        <f>F16/$N$11</f>
        <v>0.23879165667705585</v>
      </c>
      <c r="W16" s="7" t="str">
        <f>IF(ISNA(F16),"",TEXT(F16,"+0;-0"))</f>
        <v>+14</v>
      </c>
      <c r="X16" s="25">
        <f>I16/$N$11</f>
        <v>0.23879165667705585</v>
      </c>
      <c r="Y16" s="25" t="e">
        <f>J16/$N$11</f>
        <v>#N/A</v>
      </c>
    </row>
    <row r="17" spans="1:25" x14ac:dyDescent="0.35">
      <c r="A17" s="11" t="s">
        <v>125</v>
      </c>
      <c r="B17" t="s">
        <v>94</v>
      </c>
      <c r="C17" s="27">
        <v>23</v>
      </c>
      <c r="D17" s="28">
        <v>5</v>
      </c>
      <c r="E17" s="29">
        <f>C17-D17</f>
        <v>18</v>
      </c>
      <c r="F17" s="24">
        <f>IF(E17&lt;=0,NA(),D17/E17*100)</f>
        <v>27.777777777777779</v>
      </c>
      <c r="G17" s="30">
        <f>IF($D17&gt;0,$D17,NA())</f>
        <v>5</v>
      </c>
      <c r="H17" s="30" t="e">
        <f>IF($D17&lt;0,$D17,NA())</f>
        <v>#N/A</v>
      </c>
      <c r="I17" s="24">
        <f>IF($F17&gt;0,$F17,NA())</f>
        <v>27.777777777777779</v>
      </c>
      <c r="J17" s="24" t="e">
        <f>IF($F17&lt;0,$F17,NA())</f>
        <v>#N/A</v>
      </c>
      <c r="K17" s="24">
        <f>IF($F17&gt;0,$F17,0)</f>
        <v>27.777777777777779</v>
      </c>
      <c r="L17" s="24">
        <f>IF($F17&lt;0,-$F17,0)</f>
        <v>0</v>
      </c>
      <c r="M17" s="25"/>
      <c r="N17" s="25"/>
      <c r="O17" s="25">
        <f>E17/$M$11</f>
        <v>8.2191780821917804E-2</v>
      </c>
      <c r="P17" s="25">
        <f>C17/$M$11</f>
        <v>0.1050228310502283</v>
      </c>
      <c r="Q17" s="7" t="str">
        <f>IF(ISNA(C17),"",TEXT(C17,"0"))</f>
        <v>23</v>
      </c>
      <c r="R17" s="25">
        <f>D17/$M$11</f>
        <v>2.2831050228310501E-2</v>
      </c>
      <c r="S17" s="7" t="str">
        <f>IF(ISNA(D17),"",TEXT(D17,"+0;-0"))</f>
        <v>+5</v>
      </c>
      <c r="T17" s="25">
        <f>G17/$M$11</f>
        <v>2.2831050228310501E-2</v>
      </c>
      <c r="U17" s="25" t="e">
        <f>H17/$M$11</f>
        <v>#N/A</v>
      </c>
      <c r="V17" s="25">
        <f>F17/$N$11</f>
        <v>0.47537227949599081</v>
      </c>
      <c r="W17" s="7" t="str">
        <f>IF(ISNA(F17),"",TEXT(F17,"+0;-0"))</f>
        <v>+28</v>
      </c>
      <c r="X17" s="25">
        <f>I17/$N$11</f>
        <v>0.47537227949599081</v>
      </c>
      <c r="Y17" s="25" t="e">
        <f>J17/$N$11</f>
        <v>#N/A</v>
      </c>
    </row>
    <row r="18" spans="1:25" x14ac:dyDescent="0.35">
      <c r="A18" s="11" t="s">
        <v>126</v>
      </c>
      <c r="B18" t="s">
        <v>94</v>
      </c>
      <c r="C18" s="27">
        <v>73</v>
      </c>
      <c r="D18" s="28">
        <v>4</v>
      </c>
      <c r="E18" s="29">
        <f>C18-D18</f>
        <v>69</v>
      </c>
      <c r="F18" s="24">
        <f>IF(E18&lt;=0,NA(),D18/E18*100)</f>
        <v>5.7971014492753623</v>
      </c>
      <c r="G18" s="30">
        <f>IF($D18&gt;0,$D18,NA())</f>
        <v>4</v>
      </c>
      <c r="H18" s="30" t="e">
        <f>IF($D18&lt;0,$D18,NA())</f>
        <v>#N/A</v>
      </c>
      <c r="I18" s="24">
        <f>IF($F18&gt;0,$F18,NA())</f>
        <v>5.7971014492753623</v>
      </c>
      <c r="J18" s="24" t="e">
        <f>IF($F18&lt;0,$F18,NA())</f>
        <v>#N/A</v>
      </c>
      <c r="K18" s="24">
        <f>IF($F18&gt;0,$F18,0)</f>
        <v>5.7971014492753623</v>
      </c>
      <c r="L18" s="24">
        <f>IF($F18&lt;0,-$F18,0)</f>
        <v>0</v>
      </c>
      <c r="M18" s="25"/>
      <c r="N18" s="25"/>
      <c r="O18" s="25">
        <f>E18/$M$11</f>
        <v>0.31506849315068491</v>
      </c>
      <c r="P18" s="25">
        <f>C18/$M$11</f>
        <v>0.33333333333333331</v>
      </c>
      <c r="Q18" s="7" t="str">
        <f>IF(ISNA(C18),"",TEXT(C18,"0"))</f>
        <v>73</v>
      </c>
      <c r="R18" s="25">
        <f>D18/$M$11</f>
        <v>1.8264840182648401E-2</v>
      </c>
      <c r="S18" s="7" t="str">
        <f>IF(ISNA(D18),"",TEXT(D18,"+0;-0"))</f>
        <v>+4</v>
      </c>
      <c r="T18" s="25">
        <f>G18/$M$11</f>
        <v>1.8264840182648401E-2</v>
      </c>
      <c r="U18" s="25" t="e">
        <f>H18/$M$11</f>
        <v>#N/A</v>
      </c>
      <c r="V18" s="25">
        <f>F18/$N$11</f>
        <v>9.9208127894815465E-2</v>
      </c>
      <c r="W18" s="7" t="str">
        <f>IF(ISNA(F18),"",TEXT(F18,"+0;-0"))</f>
        <v>+6</v>
      </c>
      <c r="X18" s="25">
        <f>I18/$N$11</f>
        <v>9.9208127894815465E-2</v>
      </c>
      <c r="Y18" s="25" t="e">
        <f>J18/$N$11</f>
        <v>#N/A</v>
      </c>
    </row>
    <row r="19" spans="1:25" x14ac:dyDescent="0.35">
      <c r="A19" s="11" t="s">
        <v>127</v>
      </c>
      <c r="B19" t="s">
        <v>94</v>
      </c>
      <c r="C19" s="27">
        <v>125</v>
      </c>
      <c r="D19" s="28">
        <v>2</v>
      </c>
      <c r="E19" s="29">
        <f>C19-D19</f>
        <v>123</v>
      </c>
      <c r="F19" s="24">
        <f>IF(E19&lt;=0,NA(),D19/E19*100)</f>
        <v>1.6260162601626018</v>
      </c>
      <c r="G19" s="30">
        <f>IF($D19&gt;0,$D19,NA())</f>
        <v>2</v>
      </c>
      <c r="H19" s="30" t="e">
        <f>IF($D19&lt;0,$D19,NA())</f>
        <v>#N/A</v>
      </c>
      <c r="I19" s="24">
        <f>IF($F19&gt;0,$F19,NA())</f>
        <v>1.6260162601626018</v>
      </c>
      <c r="J19" s="24" t="e">
        <f>IF($F19&lt;0,$F19,NA())</f>
        <v>#N/A</v>
      </c>
      <c r="K19" s="24">
        <f>IF($F19&gt;0,$F19,0)</f>
        <v>1.6260162601626018</v>
      </c>
      <c r="L19" s="24">
        <f>IF($F19&lt;0,-$F19,0)</f>
        <v>0</v>
      </c>
      <c r="M19" s="25"/>
      <c r="N19" s="25"/>
      <c r="O19" s="25">
        <f>E19/$M$11</f>
        <v>0.56164383561643838</v>
      </c>
      <c r="P19" s="25">
        <f>C19/$M$11</f>
        <v>0.57077625570776258</v>
      </c>
      <c r="Q19" s="7" t="str">
        <f>IF(ISNA(C19),"",TEXT(C19,"0"))</f>
        <v>125</v>
      </c>
      <c r="R19" s="25">
        <f>D19/$M$11</f>
        <v>9.1324200913242004E-3</v>
      </c>
      <c r="S19" s="7" t="str">
        <f>IF(ISNA(D19),"",TEXT(D19,"+0;-0"))</f>
        <v>+2</v>
      </c>
      <c r="T19" s="25">
        <f>G19/$M$11</f>
        <v>9.1324200913242004E-3</v>
      </c>
      <c r="U19" s="25" t="e">
        <f>H19/$M$11</f>
        <v>#N/A</v>
      </c>
      <c r="V19" s="25">
        <f>F19/$N$11</f>
        <v>2.7826670019277511E-2</v>
      </c>
      <c r="W19" s="7" t="str">
        <f>IF(ISNA(F19),"",TEXT(F19,"+0;-0"))</f>
        <v>+2</v>
      </c>
      <c r="X19" s="25">
        <f>I19/$N$11</f>
        <v>2.7826670019277511E-2</v>
      </c>
      <c r="Y19" s="25" t="e">
        <f>J19/$N$11</f>
        <v>#N/A</v>
      </c>
    </row>
    <row r="20" spans="1:25" x14ac:dyDescent="0.35">
      <c r="A20" s="11" t="s">
        <v>128</v>
      </c>
      <c r="B20" t="s">
        <v>94</v>
      </c>
      <c r="C20" s="27">
        <v>111</v>
      </c>
      <c r="D20" s="28">
        <v>2</v>
      </c>
      <c r="E20" s="29">
        <f>C20-D20</f>
        <v>109</v>
      </c>
      <c r="F20" s="24">
        <f>IF(E20&lt;=0,NA(),D20/E20*100)</f>
        <v>1.834862385321101</v>
      </c>
      <c r="G20" s="30">
        <f>IF($D20&gt;0,$D20,NA())</f>
        <v>2</v>
      </c>
      <c r="H20" s="30" t="e">
        <f>IF($D20&lt;0,$D20,NA())</f>
        <v>#N/A</v>
      </c>
      <c r="I20" s="24">
        <f>IF($F20&gt;0,$F20,NA())</f>
        <v>1.834862385321101</v>
      </c>
      <c r="J20" s="24" t="e">
        <f>IF($F20&lt;0,$F20,NA())</f>
        <v>#N/A</v>
      </c>
      <c r="K20" s="24">
        <f>IF($F20&gt;0,$F20,0)</f>
        <v>1.834862385321101</v>
      </c>
      <c r="L20" s="24">
        <f>IF($F20&lt;0,-$F20,0)</f>
        <v>0</v>
      </c>
      <c r="M20" s="25"/>
      <c r="N20" s="25"/>
      <c r="O20" s="25">
        <f>E20/$M$11</f>
        <v>0.49771689497716892</v>
      </c>
      <c r="P20" s="25">
        <f>C20/$M$11</f>
        <v>0.50684931506849318</v>
      </c>
      <c r="Q20" s="7" t="str">
        <f>IF(ISNA(C20),"",TEXT(C20,"0"))</f>
        <v>111</v>
      </c>
      <c r="R20" s="25">
        <f>D20/$M$11</f>
        <v>9.1324200913242004E-3</v>
      </c>
      <c r="S20" s="7" t="str">
        <f>IF(ISNA(D20),"",TEXT(D20,"+0;-0"))</f>
        <v>+2</v>
      </c>
      <c r="T20" s="25">
        <f>G20/$M$11</f>
        <v>9.1324200913242004E-3</v>
      </c>
      <c r="U20" s="25" t="e">
        <f>H20/$M$11</f>
        <v>#N/A</v>
      </c>
      <c r="V20" s="25">
        <f>F20/$N$11</f>
        <v>3.1400737728175539E-2</v>
      </c>
      <c r="W20" s="7" t="str">
        <f>IF(ISNA(F20),"",TEXT(F20,"+0;-0"))</f>
        <v>+2</v>
      </c>
      <c r="X20" s="25">
        <f>I20/$N$11</f>
        <v>3.1400737728175539E-2</v>
      </c>
      <c r="Y20" s="25" t="e">
        <f>J20/$N$11</f>
        <v>#N/A</v>
      </c>
    </row>
    <row r="21" spans="1:25" x14ac:dyDescent="0.35">
      <c r="A21" s="11" t="s">
        <v>129</v>
      </c>
      <c r="B21" t="s">
        <v>94</v>
      </c>
      <c r="C21" s="27">
        <v>45</v>
      </c>
      <c r="D21" s="28">
        <v>2</v>
      </c>
      <c r="E21" s="29">
        <f>C21-D21</f>
        <v>43</v>
      </c>
      <c r="F21" s="24">
        <f>IF(E21&lt;=0,NA(),D21/E21*100)</f>
        <v>4.6511627906976747</v>
      </c>
      <c r="G21" s="30">
        <f>IF($D21&gt;0,$D21,NA())</f>
        <v>2</v>
      </c>
      <c r="H21" s="30" t="e">
        <f>IF($D21&lt;0,$D21,NA())</f>
        <v>#N/A</v>
      </c>
      <c r="I21" s="24">
        <f>IF($F21&gt;0,$F21,NA())</f>
        <v>4.6511627906976747</v>
      </c>
      <c r="J21" s="24" t="e">
        <f>IF($F21&lt;0,$F21,NA())</f>
        <v>#N/A</v>
      </c>
      <c r="K21" s="24">
        <f>IF($F21&gt;0,$F21,0)</f>
        <v>4.6511627906976747</v>
      </c>
      <c r="L21" s="24">
        <f>IF($F21&lt;0,-$F21,0)</f>
        <v>0</v>
      </c>
      <c r="M21" s="25"/>
      <c r="N21" s="25"/>
      <c r="O21" s="25">
        <f>E21/$M$11</f>
        <v>0.19634703196347031</v>
      </c>
      <c r="P21" s="25">
        <f>C21/$M$11</f>
        <v>0.20547945205479451</v>
      </c>
      <c r="Q21" s="7" t="str">
        <f>IF(ISNA(C21),"",TEXT(C21,"0"))</f>
        <v>45</v>
      </c>
      <c r="R21" s="25">
        <f>D21/$M$11</f>
        <v>9.1324200913242004E-3</v>
      </c>
      <c r="S21" s="7" t="str">
        <f>IF(ISNA(D21),"",TEXT(D21,"+0;-0"))</f>
        <v>+2</v>
      </c>
      <c r="T21" s="25">
        <f>G21/$M$11</f>
        <v>9.1324200913242004E-3</v>
      </c>
      <c r="U21" s="25" t="e">
        <f>H21/$M$11</f>
        <v>#N/A</v>
      </c>
      <c r="V21" s="25">
        <f>F21/$N$11</f>
        <v>7.9597218892351954E-2</v>
      </c>
      <c r="W21" s="7" t="str">
        <f>IF(ISNA(F21),"",TEXT(F21,"+0;-0"))</f>
        <v>+5</v>
      </c>
      <c r="X21" s="25">
        <f>I21/$N$11</f>
        <v>7.9597218892351954E-2</v>
      </c>
      <c r="Y21" s="25" t="e">
        <f>J21/$N$11</f>
        <v>#N/A</v>
      </c>
    </row>
    <row r="22" spans="1:25" x14ac:dyDescent="0.35">
      <c r="A22" s="11" t="s">
        <v>130</v>
      </c>
      <c r="B22" t="s">
        <v>94</v>
      </c>
      <c r="C22" s="27">
        <v>50</v>
      </c>
      <c r="D22" s="28">
        <v>-3</v>
      </c>
      <c r="E22" s="29">
        <f>C22-D22</f>
        <v>53</v>
      </c>
      <c r="F22" s="24">
        <f>IF(E22&lt;=0,NA(),D22/E22*100)</f>
        <v>-5.6603773584905666</v>
      </c>
      <c r="G22" s="30" t="e">
        <f>IF($D22&gt;0,$D22,NA())</f>
        <v>#N/A</v>
      </c>
      <c r="H22" s="30">
        <f>IF($D22&lt;0,$D22,NA())</f>
        <v>-3</v>
      </c>
      <c r="I22" s="24" t="e">
        <f>IF($F22&gt;0,$F22,NA())</f>
        <v>#N/A</v>
      </c>
      <c r="J22" s="24">
        <f>IF($F22&lt;0,$F22,NA())</f>
        <v>-5.6603773584905666</v>
      </c>
      <c r="K22" s="24">
        <f>IF($F22&gt;0,$F22,0)</f>
        <v>0</v>
      </c>
      <c r="L22" s="24">
        <f>IF($F22&lt;0,-$F22,0)</f>
        <v>5.6603773584905666</v>
      </c>
      <c r="M22" s="25"/>
      <c r="N22" s="25"/>
      <c r="O22" s="25">
        <f>E22/$M$11</f>
        <v>0.24200913242009131</v>
      </c>
      <c r="P22" s="25">
        <f>C22/$M$11</f>
        <v>0.22831050228310501</v>
      </c>
      <c r="Q22" s="7" t="str">
        <f>IF(ISNA(C22),"",TEXT(C22,"0"))</f>
        <v>50</v>
      </c>
      <c r="R22" s="25">
        <f>D22/$M$11</f>
        <v>-1.3698630136986301E-2</v>
      </c>
      <c r="S22" s="7" t="str">
        <f>IF(ISNA(D22),"",TEXT(D22,"+0;-0"))</f>
        <v>-3</v>
      </c>
      <c r="T22" s="25" t="e">
        <f>G22/$M$11</f>
        <v>#N/A</v>
      </c>
      <c r="U22" s="25">
        <f>H22/$M$11</f>
        <v>-1.3698630136986301E-2</v>
      </c>
      <c r="V22" s="25">
        <f>F22/$N$11</f>
        <v>-9.6868313557673599E-2</v>
      </c>
      <c r="W22" s="7" t="str">
        <f>IF(ISNA(F22),"",TEXT(F22,"+0;-0"))</f>
        <v>-6</v>
      </c>
      <c r="X22" s="25" t="e">
        <f>I22/$N$11</f>
        <v>#N/A</v>
      </c>
      <c r="Y22" s="25">
        <f>J22/$N$11</f>
        <v>-9.6868313557673599E-2</v>
      </c>
    </row>
    <row r="23" spans="1:25" x14ac:dyDescent="0.35">
      <c r="A23" s="11" t="s">
        <v>131</v>
      </c>
      <c r="B23" t="s">
        <v>94</v>
      </c>
      <c r="C23" s="27">
        <v>197</v>
      </c>
      <c r="D23" s="28">
        <v>-4</v>
      </c>
      <c r="E23" s="29">
        <f>C23-D23</f>
        <v>201</v>
      </c>
      <c r="F23" s="24">
        <f>IF(E23&lt;=0,NA(),D23/E23*100)</f>
        <v>-1.9900497512437811</v>
      </c>
      <c r="G23" s="30" t="e">
        <f>IF($D23&gt;0,$D23,NA())</f>
        <v>#N/A</v>
      </c>
      <c r="H23" s="30">
        <f>IF($D23&lt;0,$D23,NA())</f>
        <v>-4</v>
      </c>
      <c r="I23" s="24" t="e">
        <f>IF($F23&gt;0,$F23,NA())</f>
        <v>#N/A</v>
      </c>
      <c r="J23" s="24">
        <f>IF($F23&lt;0,$F23,NA())</f>
        <v>-1.9900497512437811</v>
      </c>
      <c r="K23" s="24">
        <f>IF($F23&gt;0,$F23,0)</f>
        <v>0</v>
      </c>
      <c r="L23" s="24">
        <f>IF($F23&lt;0,-$F23,0)</f>
        <v>1.9900497512437811</v>
      </c>
      <c r="M23" s="25"/>
      <c r="N23" s="25"/>
      <c r="O23" s="25">
        <f>E23/$M$11</f>
        <v>0.9178082191780822</v>
      </c>
      <c r="P23" s="25">
        <f>C23/$M$11</f>
        <v>0.8995433789954338</v>
      </c>
      <c r="Q23" s="7" t="str">
        <f>IF(ISNA(C23),"",TEXT(C23,"0"))</f>
        <v>197</v>
      </c>
      <c r="R23" s="25">
        <f>D23/$M$11</f>
        <v>-1.8264840182648401E-2</v>
      </c>
      <c r="S23" s="7" t="str">
        <f>IF(ISNA(D23),"",TEXT(D23,"+0;-0"))</f>
        <v>-4</v>
      </c>
      <c r="T23" s="25" t="e">
        <f>G23/$M$11</f>
        <v>#N/A</v>
      </c>
      <c r="U23" s="25">
        <f>H23/$M$11</f>
        <v>-1.8264840182648401E-2</v>
      </c>
      <c r="V23" s="25">
        <f>F23/$N$11</f>
        <v>-3.4056521516130686E-2</v>
      </c>
      <c r="W23" s="7" t="str">
        <f>IF(ISNA(F23),"",TEXT(F23,"+0;-0"))</f>
        <v>-2</v>
      </c>
      <c r="X23" s="25" t="e">
        <f>I23/$N$11</f>
        <v>#N/A</v>
      </c>
      <c r="Y23" s="25">
        <f>J23/$N$11</f>
        <v>-3.4056521516130686E-2</v>
      </c>
    </row>
    <row r="24" spans="1:25" x14ac:dyDescent="0.35">
      <c r="A24" s="11" t="s">
        <v>132</v>
      </c>
      <c r="B24" t="s">
        <v>94</v>
      </c>
      <c r="C24" s="27">
        <v>76</v>
      </c>
      <c r="D24" s="28">
        <v>-6</v>
      </c>
      <c r="E24" s="29">
        <f>C24-D24</f>
        <v>82</v>
      </c>
      <c r="F24" s="24">
        <f>IF(E24&lt;=0,NA(),D24/E24*100)</f>
        <v>-7.3170731707317067</v>
      </c>
      <c r="G24" s="30" t="e">
        <f>IF($D24&gt;0,$D24,NA())</f>
        <v>#N/A</v>
      </c>
      <c r="H24" s="30">
        <f>IF($D24&lt;0,$D24,NA())</f>
        <v>-6</v>
      </c>
      <c r="I24" s="24" t="e">
        <f>IF($F24&gt;0,$F24,NA())</f>
        <v>#N/A</v>
      </c>
      <c r="J24" s="24">
        <f>IF($F24&lt;0,$F24,NA())</f>
        <v>-7.3170731707317067</v>
      </c>
      <c r="K24" s="24">
        <f>IF($F24&gt;0,$F24,0)</f>
        <v>0</v>
      </c>
      <c r="L24" s="24">
        <f>IF($F24&lt;0,-$F24,0)</f>
        <v>7.3170731707317067</v>
      </c>
      <c r="M24" s="25"/>
      <c r="N24" s="25"/>
      <c r="O24" s="25">
        <f>E24/$M$11</f>
        <v>0.37442922374429222</v>
      </c>
      <c r="P24" s="25">
        <f>C24/$M$11</f>
        <v>0.34703196347031962</v>
      </c>
      <c r="Q24" s="7" t="str">
        <f>IF(ISNA(C24),"",TEXT(C24,"0"))</f>
        <v>76</v>
      </c>
      <c r="R24" s="25">
        <f>D24/$M$11</f>
        <v>-2.7397260273972601E-2</v>
      </c>
      <c r="S24" s="7" t="str">
        <f>IF(ISNA(D24),"",TEXT(D24,"+0;-0"))</f>
        <v>-6</v>
      </c>
      <c r="T24" s="25" t="e">
        <f>G24/$M$11</f>
        <v>#N/A</v>
      </c>
      <c r="U24" s="25">
        <f>H24/$M$11</f>
        <v>-2.7397260273972601E-2</v>
      </c>
      <c r="V24" s="25">
        <f>F24/$N$11</f>
        <v>-0.12522001508674879</v>
      </c>
      <c r="W24" s="7" t="str">
        <f>IF(ISNA(F24),"",TEXT(F24,"+0;-0"))</f>
        <v>-7</v>
      </c>
      <c r="X24" s="25" t="e">
        <f>I24/$N$11</f>
        <v>#N/A</v>
      </c>
      <c r="Y24" s="25">
        <f>J24/$N$11</f>
        <v>-0.12522001508674879</v>
      </c>
    </row>
    <row r="25" spans="1:25" x14ac:dyDescent="0.35">
      <c r="A25" s="11" t="s">
        <v>133</v>
      </c>
      <c r="B25" t="s">
        <v>94</v>
      </c>
      <c r="C25" s="27">
        <v>15</v>
      </c>
      <c r="D25" s="28">
        <v>-6</v>
      </c>
      <c r="E25" s="29">
        <f>C25-D25</f>
        <v>21</v>
      </c>
      <c r="F25" s="24">
        <f>IF(E25&lt;=0,NA(),D25/E25*100)</f>
        <v>-28.571428571428569</v>
      </c>
      <c r="G25" s="30" t="e">
        <f>IF($D25&gt;0,$D25,NA())</f>
        <v>#N/A</v>
      </c>
      <c r="H25" s="30">
        <f>IF($D25&lt;0,$D25,NA())</f>
        <v>-6</v>
      </c>
      <c r="I25" s="24" t="e">
        <f>IF($F25&gt;0,$F25,NA())</f>
        <v>#N/A</v>
      </c>
      <c r="J25" s="24">
        <f>IF($F25&lt;0,$F25,NA())</f>
        <v>-28.571428571428569</v>
      </c>
      <c r="K25" s="24">
        <f>IF($F25&gt;0,$F25,0)</f>
        <v>0</v>
      </c>
      <c r="L25" s="24">
        <f>IF($F25&lt;0,-$F25,0)</f>
        <v>28.571428571428569</v>
      </c>
      <c r="M25" s="25"/>
      <c r="N25" s="25"/>
      <c r="O25" s="25">
        <f>E25/$M$11</f>
        <v>9.5890410958904104E-2</v>
      </c>
      <c r="P25" s="25">
        <f>C25/$M$11</f>
        <v>6.8493150684931503E-2</v>
      </c>
      <c r="Q25" s="7" t="str">
        <f>IF(ISNA(C25),"",TEXT(C25,"0"))</f>
        <v>15</v>
      </c>
      <c r="R25" s="25">
        <f>D25/$M$11</f>
        <v>-2.7397260273972601E-2</v>
      </c>
      <c r="S25" s="7" t="str">
        <f>IF(ISNA(D25),"",TEXT(D25,"+0;-0"))</f>
        <v>-6</v>
      </c>
      <c r="T25" s="25" t="e">
        <f>G25/$M$11</f>
        <v>#N/A</v>
      </c>
      <c r="U25" s="25">
        <f>H25/$M$11</f>
        <v>-2.7397260273972601E-2</v>
      </c>
      <c r="V25" s="25">
        <f>F25/$N$11</f>
        <v>-0.48895434462444765</v>
      </c>
      <c r="W25" s="7" t="str">
        <f>IF(ISNA(F25),"",TEXT(F25,"+0;-0"))</f>
        <v>-29</v>
      </c>
      <c r="X25" s="25" t="e">
        <f>I25/$N$11</f>
        <v>#N/A</v>
      </c>
      <c r="Y25" s="25">
        <f>J25/$N$11</f>
        <v>-0.48895434462444765</v>
      </c>
    </row>
    <row r="26" spans="1:25" x14ac:dyDescent="0.35">
      <c r="A26" s="11" t="s">
        <v>134</v>
      </c>
      <c r="B26" t="s">
        <v>94</v>
      </c>
      <c r="C26" s="27">
        <v>59</v>
      </c>
      <c r="D26" s="28">
        <v>-29</v>
      </c>
      <c r="E26" s="29">
        <f>C26-D26</f>
        <v>88</v>
      </c>
      <c r="F26" s="24">
        <f>IF(E26&lt;=0,NA(),D26/E26*100)</f>
        <v>-32.954545454545453</v>
      </c>
      <c r="G26" s="30" t="e">
        <f>IF($D26&gt;0,$D26,NA())</f>
        <v>#N/A</v>
      </c>
      <c r="H26" s="30">
        <f>IF($D26&lt;0,$D26,NA())</f>
        <v>-29</v>
      </c>
      <c r="I26" s="24" t="e">
        <f>IF($F26&gt;0,$F26,NA())</f>
        <v>#N/A</v>
      </c>
      <c r="J26" s="24">
        <f>IF($F26&lt;0,$F26,NA())</f>
        <v>-32.954545454545453</v>
      </c>
      <c r="K26" s="24">
        <f>IF($F26&gt;0,$F26,0)</f>
        <v>0</v>
      </c>
      <c r="L26" s="24">
        <f>IF($F26&lt;0,-$F26,0)</f>
        <v>32.954545454545453</v>
      </c>
      <c r="M26" s="25"/>
      <c r="N26" s="25"/>
      <c r="O26" s="25">
        <f>E26/$M$11</f>
        <v>0.40182648401826482</v>
      </c>
      <c r="P26" s="25">
        <f>C26/$M$11</f>
        <v>0.26940639269406391</v>
      </c>
      <c r="Q26" s="7" t="str">
        <f>IF(ISNA(C26),"",TEXT(C26,"0"))</f>
        <v>59</v>
      </c>
      <c r="R26" s="25">
        <f>D26/$M$11</f>
        <v>-0.13242009132420091</v>
      </c>
      <c r="S26" s="7" t="str">
        <f>IF(ISNA(D26),"",TEXT(D26,"+0;-0"))</f>
        <v>-29</v>
      </c>
      <c r="T26" s="25" t="e">
        <f>G26/$M$11</f>
        <v>#N/A</v>
      </c>
      <c r="U26" s="25">
        <f>H26/$M$11</f>
        <v>-0.13242009132420091</v>
      </c>
      <c r="V26" s="25">
        <f>F26/$N$11</f>
        <v>-0.56396438612933453</v>
      </c>
      <c r="W26" s="7" t="str">
        <f>IF(ISNA(F26),"",TEXT(F26,"+0;-0"))</f>
        <v>-33</v>
      </c>
      <c r="X26" s="25" t="e">
        <f>I26/$N$11</f>
        <v>#N/A</v>
      </c>
      <c r="Y26" s="25">
        <f>J26/$N$11</f>
        <v>-0.56396438612933453</v>
      </c>
    </row>
    <row r="27" spans="1:25" x14ac:dyDescent="0.35">
      <c r="A27" s="11" t="s">
        <v>135</v>
      </c>
      <c r="B27" t="s">
        <v>94</v>
      </c>
      <c r="C27" s="27">
        <v>78</v>
      </c>
      <c r="D27" s="28">
        <v>-31</v>
      </c>
      <c r="E27" s="29">
        <f>C27-D27</f>
        <v>109</v>
      </c>
      <c r="F27" s="24">
        <f>IF(E27&lt;=0,NA(),D27/E27*100)</f>
        <v>-28.440366972477065</v>
      </c>
      <c r="G27" s="30" t="e">
        <f>IF($D27&gt;0,$D27,NA())</f>
        <v>#N/A</v>
      </c>
      <c r="H27" s="30">
        <f>IF($D27&lt;0,$D27,NA())</f>
        <v>-31</v>
      </c>
      <c r="I27" s="24" t="e">
        <f>IF($F27&gt;0,$F27,NA())</f>
        <v>#N/A</v>
      </c>
      <c r="J27" s="24">
        <f>IF($F27&lt;0,$F27,NA())</f>
        <v>-28.440366972477065</v>
      </c>
      <c r="K27" s="24">
        <f>IF($F27&gt;0,$F27,0)</f>
        <v>0</v>
      </c>
      <c r="L27" s="24">
        <f>IF($F27&lt;0,-$F27,0)</f>
        <v>28.440366972477065</v>
      </c>
      <c r="M27" s="25"/>
      <c r="N27" s="25"/>
      <c r="O27" s="25">
        <f>E27/$M$11</f>
        <v>0.49771689497716892</v>
      </c>
      <c r="P27" s="25">
        <f>C27/$M$11</f>
        <v>0.35616438356164382</v>
      </c>
      <c r="Q27" s="7" t="str">
        <f>IF(ISNA(C27),"",TEXT(C27,"0"))</f>
        <v>78</v>
      </c>
      <c r="R27" s="25">
        <f>D27/$M$11</f>
        <v>-0.14155251141552511</v>
      </c>
      <c r="S27" s="7" t="str">
        <f>IF(ISNA(D27),"",TEXT(D27,"+0;-0"))</f>
        <v>-31</v>
      </c>
      <c r="T27" s="25" t="e">
        <f>G27/$M$11</f>
        <v>#N/A</v>
      </c>
      <c r="U27" s="25">
        <f>H27/$M$11</f>
        <v>-0.14155251141552511</v>
      </c>
      <c r="V27" s="25">
        <f>F27/$N$11</f>
        <v>-0.48671143478672085</v>
      </c>
      <c r="W27" s="7" t="str">
        <f>IF(ISNA(F27),"",TEXT(F27,"+0;-0"))</f>
        <v>-28</v>
      </c>
      <c r="X27" s="25" t="e">
        <f>I27/$N$11</f>
        <v>#N/A</v>
      </c>
      <c r="Y27" s="25">
        <f>J27/$N$11</f>
        <v>-0.48671143478672085</v>
      </c>
    </row>
    <row r="28" spans="1:25" x14ac:dyDescent="0.35">
      <c r="A28" s="11" t="s">
        <v>136</v>
      </c>
      <c r="B28" t="s">
        <v>94</v>
      </c>
      <c r="C28" s="27">
        <v>69</v>
      </c>
      <c r="D28" s="28">
        <v>-97</v>
      </c>
      <c r="E28" s="29">
        <f>C28-D28</f>
        <v>166</v>
      </c>
      <c r="F28" s="24">
        <f>IF(E28&lt;=0,NA(),D28/E28*100)</f>
        <v>-58.433734939759042</v>
      </c>
      <c r="G28" s="30" t="e">
        <f>IF($D28&gt;0,$D28,NA())</f>
        <v>#N/A</v>
      </c>
      <c r="H28" s="30">
        <f>IF($D28&lt;0,$D28,NA())</f>
        <v>-97</v>
      </c>
      <c r="I28" s="24" t="e">
        <f>IF($F28&gt;0,$F28,NA())</f>
        <v>#N/A</v>
      </c>
      <c r="J28" s="24">
        <f>IF($F28&lt;0,$F28,NA())</f>
        <v>-58.433734939759042</v>
      </c>
      <c r="K28" s="24">
        <f>IF($F28&gt;0,$F28,0)</f>
        <v>0</v>
      </c>
      <c r="L28" s="24">
        <f>IF($F28&lt;0,-$F28,0)</f>
        <v>58.433734939759042</v>
      </c>
      <c r="M28" s="25"/>
      <c r="N28" s="25"/>
      <c r="O28" s="25">
        <f>E28/$M$11</f>
        <v>0.75799086757990863</v>
      </c>
      <c r="P28" s="25">
        <f>C28/$M$11</f>
        <v>0.31506849315068491</v>
      </c>
      <c r="Q28" s="7" t="str">
        <f>IF(ISNA(C28),"",TEXT(C28,"0"))</f>
        <v>69</v>
      </c>
      <c r="R28" s="25">
        <f>D28/$M$11</f>
        <v>-0.44292237442922372</v>
      </c>
      <c r="S28" s="7" t="str">
        <f>IF(ISNA(D28),"",TEXT(D28,"+0;-0"))</f>
        <v>-97</v>
      </c>
      <c r="T28" s="25" t="e">
        <f>G28/$M$11</f>
        <v>#N/A</v>
      </c>
      <c r="U28" s="25">
        <f>H28/$M$11</f>
        <v>-0.44292237442922372</v>
      </c>
      <c r="V28" s="25">
        <f>F28/$N$11</f>
        <v>-1</v>
      </c>
      <c r="W28" s="7" t="str">
        <f>IF(ISNA(F28),"",TEXT(F28,"+0;-0"))</f>
        <v>-58</v>
      </c>
      <c r="X28" s="25" t="e">
        <f>I28/$N$11</f>
        <v>#N/A</v>
      </c>
      <c r="Y28" s="25">
        <f>J28/$N$11</f>
        <v>-1</v>
      </c>
    </row>
    <row r="29" spans="1:25" x14ac:dyDescent="0.35">
      <c r="A29" s="11" t="s">
        <v>137</v>
      </c>
      <c r="B29" t="s">
        <v>94</v>
      </c>
      <c r="C29" s="27">
        <v>219</v>
      </c>
      <c r="D29" s="28">
        <v>20</v>
      </c>
      <c r="E29" s="29">
        <f>C29-D29</f>
        <v>199</v>
      </c>
      <c r="F29" s="24">
        <f>IF(E29&lt;=0,NA(),D29/E29*100)</f>
        <v>10.050251256281408</v>
      </c>
      <c r="G29" s="30">
        <f>IF($D29&gt;0,$D29,NA())</f>
        <v>20</v>
      </c>
      <c r="H29" s="30" t="e">
        <f>IF($D29&lt;0,$D29,NA())</f>
        <v>#N/A</v>
      </c>
      <c r="I29" s="24">
        <f>IF($F29&gt;0,$F29,NA())</f>
        <v>10.050251256281408</v>
      </c>
      <c r="J29" s="24" t="e">
        <f>IF($F29&lt;0,$F29,NA())</f>
        <v>#N/A</v>
      </c>
      <c r="K29" s="24">
        <f>IF($F29&gt;0,$F29,0)</f>
        <v>10.050251256281408</v>
      </c>
      <c r="L29" s="24">
        <f>IF($F29&lt;0,-$F29,0)</f>
        <v>0</v>
      </c>
      <c r="M29" s="25"/>
      <c r="N29" s="25"/>
      <c r="O29" s="25">
        <f>E29/$M$11</f>
        <v>0.908675799086758</v>
      </c>
      <c r="P29" s="25">
        <f>C29/$M$11</f>
        <v>1</v>
      </c>
      <c r="Q29" s="7" t="str">
        <f>IF(ISNA(C29),"",TEXT(C29,"0"))</f>
        <v>219</v>
      </c>
      <c r="R29" s="25">
        <f>D29/$M$11</f>
        <v>9.1324200913242004E-2</v>
      </c>
      <c r="S29" s="7" t="str">
        <f>IF(ISNA(D29),"",TEXT(D29,"+0;-0"))</f>
        <v>+20</v>
      </c>
      <c r="T29" s="25">
        <f>G29/$M$11</f>
        <v>9.1324200913242004E-2</v>
      </c>
      <c r="U29" s="25" t="e">
        <f>H29/$M$11</f>
        <v>#N/A</v>
      </c>
      <c r="V29" s="25">
        <f>F29/$N$11</f>
        <v>0.17199399057141376</v>
      </c>
      <c r="W29" s="7" t="str">
        <f>IF(ISNA(F29),"",TEXT(F29,"+0;-0"))</f>
        <v>+10</v>
      </c>
      <c r="X29" s="25">
        <f>I29/$N$11</f>
        <v>0.17199399057141376</v>
      </c>
      <c r="Y29" s="25" t="e">
        <f>J29/$N$11</f>
        <v>#N/A</v>
      </c>
    </row>
    <row r="30" spans="1:25" x14ac:dyDescent="0.35">
      <c r="C30" s="22"/>
    </row>
  </sheetData>
  <mergeCells count="7">
    <mergeCell ref="B7:Y7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3F1E4-B40C-4FBA-8B3E-82D22116F47D}">
  <sheetPr>
    <pageSetUpPr fitToPage="1"/>
  </sheetPr>
  <dimension ref="A1:AU27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19" t="s">
        <v>11</v>
      </c>
      <c r="B1" s="9" t="s">
        <v>63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</row>
    <row r="2" spans="1:47" ht="15" customHeight="1" x14ac:dyDescent="0.35">
      <c r="A2" s="19" t="s">
        <v>13</v>
      </c>
      <c r="B2" s="9" t="s">
        <v>14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</row>
    <row r="3" spans="1:47" ht="15" customHeight="1" x14ac:dyDescent="0.35">
      <c r="A3" s="19" t="s">
        <v>15</v>
      </c>
      <c r="B3" s="9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</row>
    <row r="4" spans="1:47" ht="15" customHeight="1" x14ac:dyDescent="0.35">
      <c r="A4" s="19" t="s">
        <v>17</v>
      </c>
      <c r="B4" s="9" t="s">
        <v>38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</row>
    <row r="5" spans="1:47" ht="15" customHeight="1" x14ac:dyDescent="0.35">
      <c r="A5" s="19" t="s">
        <v>19</v>
      </c>
      <c r="B5" s="9" t="s">
        <v>20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</row>
    <row r="6" spans="1:47" ht="16.75" customHeight="1" x14ac:dyDescent="0.35">
      <c r="A6" s="19" t="s">
        <v>21</v>
      </c>
      <c r="B6" s="21" t="s">
        <v>138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</row>
    <row r="7" spans="1:47" ht="15" customHeight="1" x14ac:dyDescent="0.35">
      <c r="A7" s="19" t="s">
        <v>23</v>
      </c>
      <c r="B7" s="20" t="str">
        <f>B2&amp;" in "&amp;B3</f>
        <v>Net sales in kEUR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</row>
    <row r="8" spans="1:47" ht="15" customHeight="1" x14ac:dyDescent="0.35"/>
    <row r="9" spans="1:47" ht="15" customHeight="1" x14ac:dyDescent="0.35"/>
    <row r="10" spans="1:47" ht="28" customHeight="1" x14ac:dyDescent="0.35">
      <c r="A10" s="6" t="s">
        <v>17</v>
      </c>
      <c r="B10" s="6" t="s">
        <v>67</v>
      </c>
      <c r="C10" s="6" t="s">
        <v>139</v>
      </c>
      <c r="D10" s="6" t="s">
        <v>140</v>
      </c>
      <c r="E10" s="6" t="s">
        <v>111</v>
      </c>
      <c r="F10" s="6" t="s">
        <v>20</v>
      </c>
      <c r="G10" s="6" t="s">
        <v>112</v>
      </c>
      <c r="H10" s="6" t="s">
        <v>141</v>
      </c>
      <c r="I10" s="6" t="s">
        <v>142</v>
      </c>
      <c r="J10" s="6" t="s">
        <v>143</v>
      </c>
      <c r="K10" s="6" t="s">
        <v>144</v>
      </c>
      <c r="L10" s="6" t="s">
        <v>145</v>
      </c>
      <c r="M10" s="6" t="s">
        <v>146</v>
      </c>
      <c r="N10" s="6" t="s">
        <v>147</v>
      </c>
      <c r="O10" s="6" t="s">
        <v>148</v>
      </c>
      <c r="P10" s="6" t="s">
        <v>149</v>
      </c>
      <c r="Q10" s="6" t="s">
        <v>150</v>
      </c>
      <c r="R10" s="6" t="s">
        <v>151</v>
      </c>
      <c r="S10" s="6" t="s">
        <v>115</v>
      </c>
      <c r="T10" s="6" t="s">
        <v>116</v>
      </c>
      <c r="U10" s="6" t="s">
        <v>76</v>
      </c>
      <c r="V10" s="6" t="s">
        <v>77</v>
      </c>
      <c r="W10" s="6" t="s">
        <v>78</v>
      </c>
      <c r="X10" s="6" t="s">
        <v>79</v>
      </c>
      <c r="Y10" s="6" t="s">
        <v>152</v>
      </c>
      <c r="Z10" s="6" t="s">
        <v>153</v>
      </c>
      <c r="AA10" s="6" t="s">
        <v>154</v>
      </c>
      <c r="AB10" s="6" t="s">
        <v>155</v>
      </c>
      <c r="AC10" s="6" t="s">
        <v>156</v>
      </c>
      <c r="AD10" s="6" t="s">
        <v>157</v>
      </c>
      <c r="AE10" s="6" t="s">
        <v>158</v>
      </c>
      <c r="AF10" s="6" t="s">
        <v>159</v>
      </c>
      <c r="AG10" s="6" t="s">
        <v>160</v>
      </c>
      <c r="AH10" s="6" t="s">
        <v>161</v>
      </c>
      <c r="AI10" s="6" t="s">
        <v>162</v>
      </c>
      <c r="AJ10" s="6" t="s">
        <v>163</v>
      </c>
      <c r="AK10" s="6" t="s">
        <v>164</v>
      </c>
      <c r="AL10" s="6" t="s">
        <v>165</v>
      </c>
      <c r="AM10" s="6" t="s">
        <v>166</v>
      </c>
      <c r="AN10" s="6" t="s">
        <v>167</v>
      </c>
      <c r="AO10" s="6" t="s">
        <v>168</v>
      </c>
      <c r="AP10" s="6" t="s">
        <v>87</v>
      </c>
      <c r="AQ10" s="6" t="s">
        <v>88</v>
      </c>
      <c r="AR10" s="6" t="s">
        <v>89</v>
      </c>
      <c r="AS10" s="6" t="s">
        <v>90</v>
      </c>
      <c r="AT10" s="6" t="s">
        <v>91</v>
      </c>
      <c r="AU10" s="6" t="s">
        <v>92</v>
      </c>
    </row>
    <row r="11" spans="1:47" x14ac:dyDescent="0.35">
      <c r="A11" s="11" t="s">
        <v>27</v>
      </c>
      <c r="B11" t="s">
        <v>65</v>
      </c>
      <c r="C11" s="7" t="s">
        <v>169</v>
      </c>
      <c r="D11" s="31">
        <v>174</v>
      </c>
      <c r="E11" s="33"/>
      <c r="F11" s="34">
        <f>0</f>
        <v>0</v>
      </c>
      <c r="G11" s="24" t="e">
        <f>NA()</f>
        <v>#N/A</v>
      </c>
      <c r="H11" s="34">
        <f>D11</f>
        <v>174</v>
      </c>
      <c r="I11" s="34" t="e">
        <f>NA()</f>
        <v>#N/A</v>
      </c>
      <c r="J11" s="34" t="e">
        <f>NA()</f>
        <v>#N/A</v>
      </c>
      <c r="K11" s="34" t="e">
        <f>NA()</f>
        <v>#N/A</v>
      </c>
      <c r="L11" s="34">
        <f>0</f>
        <v>0</v>
      </c>
      <c r="M11" s="34">
        <f>L11</f>
        <v>0</v>
      </c>
      <c r="N11" s="34">
        <f>0</f>
        <v>0</v>
      </c>
      <c r="O11" s="34">
        <f>0</f>
        <v>0</v>
      </c>
      <c r="P11" s="34">
        <f>0</f>
        <v>0</v>
      </c>
      <c r="Q11" s="34">
        <f>0</f>
        <v>0</v>
      </c>
      <c r="R11" s="34">
        <f>0</f>
        <v>0</v>
      </c>
      <c r="S11" s="24" t="e">
        <f>NA()</f>
        <v>#N/A</v>
      </c>
      <c r="T11" s="24" t="e">
        <f>NA()</f>
        <v>#N/A</v>
      </c>
      <c r="U11" s="23">
        <f>0</f>
        <v>0</v>
      </c>
      <c r="V11" s="23">
        <f>0</f>
        <v>0</v>
      </c>
      <c r="W11" s="25">
        <f>MAX(_xlfn.AGGREGATE(4,6,H11:H27,I11:I27,J11:J27,K11:K27,N11:N27,O11:O27,P11:P27,Q11:Q27,R11:R27),-_xlfn.AGGREGATE(5,6,H11:H27,I11:I27,J11:J27,K11:K27,N11:N27,O11:O27,P11:P27,Q11:Q27,R11:R27),0.000000001)</f>
        <v>174</v>
      </c>
      <c r="X11" s="25">
        <f>MAX(_xlfn.AGGREGATE(4,6,S11:S27,T11:T27,U11:U27,V11:V27),-_xlfn.AGGREGATE(5,6,S11:S27,T11:T27,U11:U27,V11:V27),0.000000001)</f>
        <v>73.333333333333329</v>
      </c>
      <c r="Y11" s="25">
        <f>H11/$W$11</f>
        <v>1</v>
      </c>
      <c r="Z11" s="7" t="str">
        <f>IF(ISNA(H11),"",TEXT(H11,"#,##0"))</f>
        <v>174</v>
      </c>
      <c r="AA11" s="25" t="e">
        <f>I11/$W$11</f>
        <v>#N/A</v>
      </c>
      <c r="AB11" s="7" t="str">
        <f>IF(ISNA(I11),"",TEXT(I11,"#,##0"))</f>
        <v/>
      </c>
      <c r="AC11" s="25" t="e">
        <f>J11/$W$11</f>
        <v>#N/A</v>
      </c>
      <c r="AD11" s="7" t="str">
        <f>IF(ISNA(J11),"",TEXT(J11,"#,##0"))</f>
        <v/>
      </c>
      <c r="AE11" s="25" t="e">
        <f>K11/$W$11</f>
        <v>#N/A</v>
      </c>
      <c r="AF11" s="7" t="str">
        <f>IF(ISNA(K11),"",TEXT(K11,"#,##0"))</f>
        <v/>
      </c>
      <c r="AG11" s="25">
        <f>N11/$W$11</f>
        <v>0</v>
      </c>
      <c r="AH11" s="25">
        <f>O11/$W$11</f>
        <v>0</v>
      </c>
      <c r="AI11" s="7" t="str">
        <f>IF(ISNA(O11),"",TEXT(O11,"+#,##0"))</f>
        <v>+0</v>
      </c>
      <c r="AJ11" s="25">
        <f>P11/$W$11</f>
        <v>0</v>
      </c>
      <c r="AK11" s="7" t="str">
        <f>IF(ISNA(P11),"",TEXT(P11,"""-""#,##0"))</f>
        <v>-0</v>
      </c>
      <c r="AL11" s="25">
        <f>Q11/$W$11</f>
        <v>0</v>
      </c>
      <c r="AM11" s="7" t="str">
        <f>IF(ISNA(Q11),"",TEXT(Q11,"+#,##0"))</f>
        <v>+0</v>
      </c>
      <c r="AN11" s="25">
        <f>R11/$W$11</f>
        <v>0</v>
      </c>
      <c r="AO11" s="7" t="str">
        <f>IF(ISNA(R11),"",TEXT(R11,"""-""#,##0"))</f>
        <v>-0</v>
      </c>
      <c r="AP11" s="25" t="e">
        <f>S11/$X$11</f>
        <v>#N/A</v>
      </c>
      <c r="AQ11" s="7" t="str">
        <f>IF(ISNA(S11),"",TEXT(S11,"+0.0;-0.0"))</f>
        <v/>
      </c>
      <c r="AR11" s="25" t="e">
        <f>T11/$X$11</f>
        <v>#N/A</v>
      </c>
      <c r="AS11" s="7" t="str">
        <f>IF(ISNA(T11),"",TEXT(T11,"+0.0;-0.0"))</f>
        <v/>
      </c>
      <c r="AT11" s="25">
        <f>U11/$X$11</f>
        <v>0</v>
      </c>
      <c r="AU11" s="25">
        <f>V11/$X$11</f>
        <v>0</v>
      </c>
    </row>
    <row r="12" spans="1:47" x14ac:dyDescent="0.35">
      <c r="A12" s="11" t="s">
        <v>170</v>
      </c>
      <c r="B12" t="s">
        <v>20</v>
      </c>
      <c r="C12" s="7" t="s">
        <v>169</v>
      </c>
      <c r="D12" s="32">
        <f>SUM(F13:F24)</f>
        <v>154</v>
      </c>
      <c r="E12" s="33"/>
      <c r="F12" s="34">
        <f>0</f>
        <v>0</v>
      </c>
      <c r="G12" s="24" t="e">
        <f>NA()</f>
        <v>#N/A</v>
      </c>
      <c r="H12" s="34" t="e">
        <f>NA()</f>
        <v>#N/A</v>
      </c>
      <c r="I12" s="34">
        <f>D12</f>
        <v>154</v>
      </c>
      <c r="J12" s="34" t="e">
        <f>NA()</f>
        <v>#N/A</v>
      </c>
      <c r="K12" s="34" t="e">
        <f>NA()</f>
        <v>#N/A</v>
      </c>
      <c r="L12" s="34">
        <f>D12</f>
        <v>154</v>
      </c>
      <c r="M12" s="34">
        <f>L12</f>
        <v>154</v>
      </c>
      <c r="N12" s="34">
        <f>0</f>
        <v>0</v>
      </c>
      <c r="O12" s="34">
        <f>0</f>
        <v>0</v>
      </c>
      <c r="P12" s="34">
        <f>0</f>
        <v>0</v>
      </c>
      <c r="Q12" s="34">
        <f>0</f>
        <v>0</v>
      </c>
      <c r="R12" s="34">
        <f>0</f>
        <v>0</v>
      </c>
      <c r="S12" s="24" t="e">
        <f>NA()</f>
        <v>#N/A</v>
      </c>
      <c r="T12" s="24" t="e">
        <f>NA()</f>
        <v>#N/A</v>
      </c>
      <c r="U12" s="23">
        <f>0</f>
        <v>0</v>
      </c>
      <c r="V12" s="23">
        <f>0</f>
        <v>0</v>
      </c>
      <c r="W12" s="25"/>
      <c r="X12" s="25"/>
      <c r="Y12" s="25" t="e">
        <f>H12/$W$11</f>
        <v>#N/A</v>
      </c>
      <c r="Z12" s="7" t="str">
        <f>IF(ISNA(H12),"",TEXT(H12,"#,##0"))</f>
        <v/>
      </c>
      <c r="AA12" s="25">
        <f>I12/$W$11</f>
        <v>0.88505747126436785</v>
      </c>
      <c r="AB12" s="7" t="str">
        <f>IF(ISNA(I12),"",TEXT(I12,"#,##0"))</f>
        <v>154</v>
      </c>
      <c r="AC12" s="25" t="e">
        <f>J12/$W$11</f>
        <v>#N/A</v>
      </c>
      <c r="AD12" s="7" t="str">
        <f>IF(ISNA(J12),"",TEXT(J12,"#,##0"))</f>
        <v/>
      </c>
      <c r="AE12" s="25" t="e">
        <f>K12/$W$11</f>
        <v>#N/A</v>
      </c>
      <c r="AF12" s="7" t="str">
        <f>IF(ISNA(K12),"",TEXT(K12,"#,##0"))</f>
        <v/>
      </c>
      <c r="AG12" s="25">
        <f>N12/$W$11</f>
        <v>0</v>
      </c>
      <c r="AH12" s="25">
        <f>O12/$W$11</f>
        <v>0</v>
      </c>
      <c r="AI12" s="7" t="str">
        <f>IF(ISNA(O12),"",TEXT(O12,"+#,##0"))</f>
        <v>+0</v>
      </c>
      <c r="AJ12" s="25">
        <f>P12/$W$11</f>
        <v>0</v>
      </c>
      <c r="AK12" s="7" t="str">
        <f>IF(ISNA(P12),"",TEXT(P12,"""-""#,##0"))</f>
        <v>-0</v>
      </c>
      <c r="AL12" s="25">
        <f>Q12/$W$11</f>
        <v>0</v>
      </c>
      <c r="AM12" s="7" t="str">
        <f>IF(ISNA(Q12),"",TEXT(Q12,"+#,##0"))</f>
        <v>+0</v>
      </c>
      <c r="AN12" s="25">
        <f>R12/$W$11</f>
        <v>0</v>
      </c>
      <c r="AO12" s="7" t="str">
        <f>IF(ISNA(R12),"",TEXT(R12,"""-""#,##0"))</f>
        <v>-0</v>
      </c>
      <c r="AP12" s="25" t="e">
        <f>S12/$X$11</f>
        <v>#N/A</v>
      </c>
      <c r="AQ12" s="7" t="str">
        <f>IF(ISNA(S12),"",TEXT(S12,"+0.0;-0.0"))</f>
        <v/>
      </c>
      <c r="AR12" s="25" t="e">
        <f>T12/$X$11</f>
        <v>#N/A</v>
      </c>
      <c r="AS12" s="7" t="str">
        <f>IF(ISNA(T12),"",TEXT(T12,"+0.0;-0.0"))</f>
        <v/>
      </c>
      <c r="AT12" s="25">
        <f>U12/$X$11</f>
        <v>0</v>
      </c>
      <c r="AU12" s="25">
        <f>V12/$X$11</f>
        <v>0</v>
      </c>
    </row>
    <row r="13" spans="1:47" x14ac:dyDescent="0.35">
      <c r="A13" s="11" t="s">
        <v>93</v>
      </c>
      <c r="B13" t="s">
        <v>94</v>
      </c>
      <c r="C13" s="7" t="s">
        <v>171</v>
      </c>
      <c r="D13" s="31">
        <v>15</v>
      </c>
      <c r="E13" s="33">
        <v>4</v>
      </c>
      <c r="F13" s="34">
        <f>D13-E13</f>
        <v>11</v>
      </c>
      <c r="G13" s="24">
        <f>IF(F13=0,NA(),E13/F13*100)</f>
        <v>36.363636363636367</v>
      </c>
      <c r="H13" s="34" t="e">
        <f>NA()</f>
        <v>#N/A</v>
      </c>
      <c r="I13" s="34">
        <f>F13</f>
        <v>11</v>
      </c>
      <c r="J13" s="34">
        <f>IF($B13="AC",D13,NA())</f>
        <v>15</v>
      </c>
      <c r="K13" s="34" t="e">
        <f>IF($B13="FC",D13,NA())</f>
        <v>#N/A</v>
      </c>
      <c r="L13" s="34">
        <f>M13+E13</f>
        <v>158</v>
      </c>
      <c r="M13" s="34">
        <f>L12</f>
        <v>154</v>
      </c>
      <c r="N13" s="34">
        <f>MIN(M13,L13)</f>
        <v>154</v>
      </c>
      <c r="O13" s="34">
        <f>IF(AND($B13="AC",E13&gt;0),E13,0)</f>
        <v>4</v>
      </c>
      <c r="P13" s="34">
        <f>IF(AND($B13="AC",E13&lt;0),-E13,0)</f>
        <v>0</v>
      </c>
      <c r="Q13" s="34">
        <f>IF(AND($B13="FC",E13&gt;0),E13,0)</f>
        <v>0</v>
      </c>
      <c r="R13" s="34">
        <f>IF(AND($B13="FC",E13&lt;0),-E13,0)</f>
        <v>0</v>
      </c>
      <c r="S13" s="24">
        <f>IF(G13&gt;0,G13,NA())</f>
        <v>36.363636363636367</v>
      </c>
      <c r="T13" s="24" t="e">
        <f>IF(G13&lt;0,G13,NA())</f>
        <v>#N/A</v>
      </c>
      <c r="U13" s="23">
        <f>IF(G13&gt;0,G13,0)</f>
        <v>36.363636363636367</v>
      </c>
      <c r="V13" s="23">
        <f>IF(G13&lt;0,-G13,0)</f>
        <v>0</v>
      </c>
      <c r="W13" s="25"/>
      <c r="X13" s="25"/>
      <c r="Y13" s="25" t="e">
        <f>H13/$W$11</f>
        <v>#N/A</v>
      </c>
      <c r="Z13" s="7" t="str">
        <f>IF(ISNA(H13),"",TEXT(H13,"#,##0"))</f>
        <v/>
      </c>
      <c r="AA13" s="25">
        <f>I13/$W$11</f>
        <v>6.3218390804597707E-2</v>
      </c>
      <c r="AB13" s="7" t="str">
        <f>IF(ISNA(I13),"",TEXT(I13,"#,##0"))</f>
        <v>11</v>
      </c>
      <c r="AC13" s="25">
        <f>J13/$W$11</f>
        <v>8.6206896551724144E-2</v>
      </c>
      <c r="AD13" s="7" t="str">
        <f>IF(ISNA(J13),"",TEXT(J13,"#,##0"))</f>
        <v>15</v>
      </c>
      <c r="AE13" s="25" t="e">
        <f>K13/$W$11</f>
        <v>#N/A</v>
      </c>
      <c r="AF13" s="7" t="str">
        <f>IF(ISNA(K13),"",TEXT(K13,"#,##0"))</f>
        <v/>
      </c>
      <c r="AG13" s="25">
        <f>N13/$W$11</f>
        <v>0.88505747126436785</v>
      </c>
      <c r="AH13" s="25">
        <f>O13/$W$11</f>
        <v>2.2988505747126436E-2</v>
      </c>
      <c r="AI13" s="7" t="str">
        <f>IF(ISNA(O13),"",TEXT(O13,"+#,##0"))</f>
        <v>+4</v>
      </c>
      <c r="AJ13" s="25">
        <f>P13/$W$11</f>
        <v>0</v>
      </c>
      <c r="AK13" s="7" t="str">
        <f>IF(ISNA(P13),"",TEXT(P13,"""-""#,##0"))</f>
        <v>-0</v>
      </c>
      <c r="AL13" s="25">
        <f>Q13/$W$11</f>
        <v>0</v>
      </c>
      <c r="AM13" s="7" t="str">
        <f>IF(ISNA(Q13),"",TEXT(Q13,"+#,##0"))</f>
        <v>+0</v>
      </c>
      <c r="AN13" s="25">
        <f>R13/$W$11</f>
        <v>0</v>
      </c>
      <c r="AO13" s="7" t="str">
        <f>IF(ISNA(R13),"",TEXT(R13,"""-""#,##0"))</f>
        <v>-0</v>
      </c>
      <c r="AP13" s="25">
        <f>S13/$X$11</f>
        <v>0.49586776859504139</v>
      </c>
      <c r="AQ13" s="7" t="str">
        <f>IF(ISNA(S13),"",TEXT(S13,"+0.0;-0.0"))</f>
        <v>+36.4</v>
      </c>
      <c r="AR13" s="25" t="e">
        <f>T13/$X$11</f>
        <v>#N/A</v>
      </c>
      <c r="AS13" s="7" t="str">
        <f>IF(ISNA(T13),"",TEXT(T13,"+0.0;-0.0"))</f>
        <v/>
      </c>
      <c r="AT13" s="25">
        <f>U13/$X$11</f>
        <v>0.49586776859504139</v>
      </c>
      <c r="AU13" s="25">
        <f>V13/$X$11</f>
        <v>0</v>
      </c>
    </row>
    <row r="14" spans="1:47" x14ac:dyDescent="0.35">
      <c r="A14" s="11" t="s">
        <v>95</v>
      </c>
      <c r="B14" t="s">
        <v>94</v>
      </c>
      <c r="C14" s="7" t="s">
        <v>171</v>
      </c>
      <c r="D14" s="31">
        <v>13</v>
      </c>
      <c r="E14" s="33">
        <v>3</v>
      </c>
      <c r="F14" s="34">
        <f>D14-E14</f>
        <v>10</v>
      </c>
      <c r="G14" s="24">
        <f>IF(F14=0,NA(),E14/F14*100)</f>
        <v>30</v>
      </c>
      <c r="H14" s="34" t="e">
        <f>NA()</f>
        <v>#N/A</v>
      </c>
      <c r="I14" s="34">
        <f>F14</f>
        <v>10</v>
      </c>
      <c r="J14" s="34">
        <f>IF($B14="AC",D14,NA())</f>
        <v>13</v>
      </c>
      <c r="K14" s="34" t="e">
        <f>IF($B14="FC",D14,NA())</f>
        <v>#N/A</v>
      </c>
      <c r="L14" s="34">
        <f>M14+E14</f>
        <v>161</v>
      </c>
      <c r="M14" s="34">
        <f>L13</f>
        <v>158</v>
      </c>
      <c r="N14" s="34">
        <f>MIN(M14,L14)</f>
        <v>158</v>
      </c>
      <c r="O14" s="34">
        <f>IF(AND($B14="AC",E14&gt;0),E14,0)</f>
        <v>3</v>
      </c>
      <c r="P14" s="34">
        <f>IF(AND($B14="AC",E14&lt;0),-E14,0)</f>
        <v>0</v>
      </c>
      <c r="Q14" s="34">
        <f>IF(AND($B14="FC",E14&gt;0),E14,0)</f>
        <v>0</v>
      </c>
      <c r="R14" s="34">
        <f>IF(AND($B14="FC",E14&lt;0),-E14,0)</f>
        <v>0</v>
      </c>
      <c r="S14" s="24">
        <f>IF(G14&gt;0,G14,NA())</f>
        <v>30</v>
      </c>
      <c r="T14" s="24" t="e">
        <f>IF(G14&lt;0,G14,NA())</f>
        <v>#N/A</v>
      </c>
      <c r="U14" s="23">
        <f>IF(G14&gt;0,G14,0)</f>
        <v>30</v>
      </c>
      <c r="V14" s="23">
        <f>IF(G14&lt;0,-G14,0)</f>
        <v>0</v>
      </c>
      <c r="W14" s="25"/>
      <c r="X14" s="25"/>
      <c r="Y14" s="25" t="e">
        <f>H14/$W$11</f>
        <v>#N/A</v>
      </c>
      <c r="Z14" s="7" t="str">
        <f>IF(ISNA(H14),"",TEXT(H14,"#,##0"))</f>
        <v/>
      </c>
      <c r="AA14" s="25">
        <f>I14/$W$11</f>
        <v>5.7471264367816091E-2</v>
      </c>
      <c r="AB14" s="7" t="str">
        <f>IF(ISNA(I14),"",TEXT(I14,"#,##0"))</f>
        <v>10</v>
      </c>
      <c r="AC14" s="25">
        <f>J14/$W$11</f>
        <v>7.4712643678160925E-2</v>
      </c>
      <c r="AD14" s="7" t="str">
        <f>IF(ISNA(J14),"",TEXT(J14,"#,##0"))</f>
        <v>13</v>
      </c>
      <c r="AE14" s="25" t="e">
        <f>K14/$W$11</f>
        <v>#N/A</v>
      </c>
      <c r="AF14" s="7" t="str">
        <f>IF(ISNA(K14),"",TEXT(K14,"#,##0"))</f>
        <v/>
      </c>
      <c r="AG14" s="25">
        <f>N14/$W$11</f>
        <v>0.90804597701149425</v>
      </c>
      <c r="AH14" s="25">
        <f>O14/$W$11</f>
        <v>1.7241379310344827E-2</v>
      </c>
      <c r="AI14" s="7" t="str">
        <f>IF(ISNA(O14),"",TEXT(O14,"+#,##0"))</f>
        <v>+3</v>
      </c>
      <c r="AJ14" s="25">
        <f>P14/$W$11</f>
        <v>0</v>
      </c>
      <c r="AK14" s="7" t="str">
        <f>IF(ISNA(P14),"",TEXT(P14,"""-""#,##0"))</f>
        <v>-0</v>
      </c>
      <c r="AL14" s="25">
        <f>Q14/$W$11</f>
        <v>0</v>
      </c>
      <c r="AM14" s="7" t="str">
        <f>IF(ISNA(Q14),"",TEXT(Q14,"+#,##0"))</f>
        <v>+0</v>
      </c>
      <c r="AN14" s="25">
        <f>R14/$W$11</f>
        <v>0</v>
      </c>
      <c r="AO14" s="7" t="str">
        <f>IF(ISNA(R14),"",TEXT(R14,"""-""#,##0"))</f>
        <v>-0</v>
      </c>
      <c r="AP14" s="25">
        <f>S14/$X$11</f>
        <v>0.40909090909090912</v>
      </c>
      <c r="AQ14" s="7" t="str">
        <f>IF(ISNA(S14),"",TEXT(S14,"+0.0;-0.0"))</f>
        <v>+30.0</v>
      </c>
      <c r="AR14" s="25" t="e">
        <f>T14/$X$11</f>
        <v>#N/A</v>
      </c>
      <c r="AS14" s="7" t="str">
        <f>IF(ISNA(T14),"",TEXT(T14,"+0.0;-0.0"))</f>
        <v/>
      </c>
      <c r="AT14" s="25">
        <f>U14/$X$11</f>
        <v>0.40909090909090912</v>
      </c>
      <c r="AU14" s="25">
        <f>V14/$X$11</f>
        <v>0</v>
      </c>
    </row>
    <row r="15" spans="1:47" x14ac:dyDescent="0.35">
      <c r="A15" s="11" t="s">
        <v>96</v>
      </c>
      <c r="B15" t="s">
        <v>94</v>
      </c>
      <c r="C15" s="7" t="s">
        <v>171</v>
      </c>
      <c r="D15" s="31">
        <v>17</v>
      </c>
      <c r="E15" s="33">
        <v>7</v>
      </c>
      <c r="F15" s="34">
        <f>D15-E15</f>
        <v>10</v>
      </c>
      <c r="G15" s="24">
        <f>IF(F15=0,NA(),E15/F15*100)</f>
        <v>70</v>
      </c>
      <c r="H15" s="34" t="e">
        <f>NA()</f>
        <v>#N/A</v>
      </c>
      <c r="I15" s="34">
        <f>F15</f>
        <v>10</v>
      </c>
      <c r="J15" s="34">
        <f>IF($B15="AC",D15,NA())</f>
        <v>17</v>
      </c>
      <c r="K15" s="34" t="e">
        <f>IF($B15="FC",D15,NA())</f>
        <v>#N/A</v>
      </c>
      <c r="L15" s="34">
        <f>M15+E15</f>
        <v>168</v>
      </c>
      <c r="M15" s="34">
        <f>L14</f>
        <v>161</v>
      </c>
      <c r="N15" s="34">
        <f>MIN(M15,L15)</f>
        <v>161</v>
      </c>
      <c r="O15" s="34">
        <f>IF(AND($B15="AC",E15&gt;0),E15,0)</f>
        <v>7</v>
      </c>
      <c r="P15" s="34">
        <f>IF(AND($B15="AC",E15&lt;0),-E15,0)</f>
        <v>0</v>
      </c>
      <c r="Q15" s="34">
        <f>IF(AND($B15="FC",E15&gt;0),E15,0)</f>
        <v>0</v>
      </c>
      <c r="R15" s="34">
        <f>IF(AND($B15="FC",E15&lt;0),-E15,0)</f>
        <v>0</v>
      </c>
      <c r="S15" s="24">
        <f>IF(G15&gt;0,G15,NA())</f>
        <v>70</v>
      </c>
      <c r="T15" s="24" t="e">
        <f>IF(G15&lt;0,G15,NA())</f>
        <v>#N/A</v>
      </c>
      <c r="U15" s="23">
        <f>IF(G15&gt;0,G15,0)</f>
        <v>70</v>
      </c>
      <c r="V15" s="23">
        <f>IF(G15&lt;0,-G15,0)</f>
        <v>0</v>
      </c>
      <c r="W15" s="25"/>
      <c r="X15" s="25"/>
      <c r="Y15" s="25" t="e">
        <f>H15/$W$11</f>
        <v>#N/A</v>
      </c>
      <c r="Z15" s="7" t="str">
        <f>IF(ISNA(H15),"",TEXT(H15,"#,##0"))</f>
        <v/>
      </c>
      <c r="AA15" s="25">
        <f>I15/$W$11</f>
        <v>5.7471264367816091E-2</v>
      </c>
      <c r="AB15" s="7" t="str">
        <f>IF(ISNA(I15),"",TEXT(I15,"#,##0"))</f>
        <v>10</v>
      </c>
      <c r="AC15" s="25">
        <f>J15/$W$11</f>
        <v>9.7701149425287362E-2</v>
      </c>
      <c r="AD15" s="7" t="str">
        <f>IF(ISNA(J15),"",TEXT(J15,"#,##0"))</f>
        <v>17</v>
      </c>
      <c r="AE15" s="25" t="e">
        <f>K15/$W$11</f>
        <v>#N/A</v>
      </c>
      <c r="AF15" s="7" t="str">
        <f>IF(ISNA(K15),"",TEXT(K15,"#,##0"))</f>
        <v/>
      </c>
      <c r="AG15" s="25">
        <f>N15/$W$11</f>
        <v>0.92528735632183912</v>
      </c>
      <c r="AH15" s="25">
        <f>O15/$W$11</f>
        <v>4.0229885057471264E-2</v>
      </c>
      <c r="AI15" s="7" t="str">
        <f>IF(ISNA(O15),"",TEXT(O15,"+#,##0"))</f>
        <v>+7</v>
      </c>
      <c r="AJ15" s="25">
        <f>P15/$W$11</f>
        <v>0</v>
      </c>
      <c r="AK15" s="7" t="str">
        <f>IF(ISNA(P15),"",TEXT(P15,"""-""#,##0"))</f>
        <v>-0</v>
      </c>
      <c r="AL15" s="25">
        <f>Q15/$W$11</f>
        <v>0</v>
      </c>
      <c r="AM15" s="7" t="str">
        <f>IF(ISNA(Q15),"",TEXT(Q15,"+#,##0"))</f>
        <v>+0</v>
      </c>
      <c r="AN15" s="25">
        <f>R15/$W$11</f>
        <v>0</v>
      </c>
      <c r="AO15" s="7" t="str">
        <f>IF(ISNA(R15),"",TEXT(R15,"""-""#,##0"))</f>
        <v>-0</v>
      </c>
      <c r="AP15" s="25">
        <f>S15/$X$11</f>
        <v>0.95454545454545459</v>
      </c>
      <c r="AQ15" s="7" t="str">
        <f>IF(ISNA(S15),"",TEXT(S15,"+0.0;-0.0"))</f>
        <v>+70.0</v>
      </c>
      <c r="AR15" s="25" t="e">
        <f>T15/$X$11</f>
        <v>#N/A</v>
      </c>
      <c r="AS15" s="7" t="str">
        <f>IF(ISNA(T15),"",TEXT(T15,"+0.0;-0.0"))</f>
        <v/>
      </c>
      <c r="AT15" s="25">
        <f>U15/$X$11</f>
        <v>0.95454545454545459</v>
      </c>
      <c r="AU15" s="25">
        <f>V15/$X$11</f>
        <v>0</v>
      </c>
    </row>
    <row r="16" spans="1:47" x14ac:dyDescent="0.35">
      <c r="A16" s="11" t="s">
        <v>97</v>
      </c>
      <c r="B16" t="s">
        <v>94</v>
      </c>
      <c r="C16" s="7" t="s">
        <v>171</v>
      </c>
      <c r="D16" s="31">
        <v>7</v>
      </c>
      <c r="E16" s="33">
        <v>-3</v>
      </c>
      <c r="F16" s="34">
        <f>D16-E16</f>
        <v>10</v>
      </c>
      <c r="G16" s="24">
        <f>IF(F16=0,NA(),E16/F16*100)</f>
        <v>-30</v>
      </c>
      <c r="H16" s="34" t="e">
        <f>NA()</f>
        <v>#N/A</v>
      </c>
      <c r="I16" s="34">
        <f>F16</f>
        <v>10</v>
      </c>
      <c r="J16" s="34">
        <f>IF($B16="AC",D16,NA())</f>
        <v>7</v>
      </c>
      <c r="K16" s="34" t="e">
        <f>IF($B16="FC",D16,NA())</f>
        <v>#N/A</v>
      </c>
      <c r="L16" s="34">
        <f>M16+E16</f>
        <v>165</v>
      </c>
      <c r="M16" s="34">
        <f>L15</f>
        <v>168</v>
      </c>
      <c r="N16" s="34">
        <f>MIN(M16,L16)</f>
        <v>165</v>
      </c>
      <c r="O16" s="34">
        <f>IF(AND($B16="AC",E16&gt;0),E16,0)</f>
        <v>0</v>
      </c>
      <c r="P16" s="34">
        <f>IF(AND($B16="AC",E16&lt;0),-E16,0)</f>
        <v>3</v>
      </c>
      <c r="Q16" s="34">
        <f>IF(AND($B16="FC",E16&gt;0),E16,0)</f>
        <v>0</v>
      </c>
      <c r="R16" s="34">
        <f>IF(AND($B16="FC",E16&lt;0),-E16,0)</f>
        <v>0</v>
      </c>
      <c r="S16" s="24" t="e">
        <f>IF(G16&gt;0,G16,NA())</f>
        <v>#N/A</v>
      </c>
      <c r="T16" s="24">
        <f>IF(G16&lt;0,G16,NA())</f>
        <v>-30</v>
      </c>
      <c r="U16" s="23">
        <f>IF(G16&gt;0,G16,0)</f>
        <v>0</v>
      </c>
      <c r="V16" s="23">
        <f>IF(G16&lt;0,-G16,0)</f>
        <v>30</v>
      </c>
      <c r="W16" s="25"/>
      <c r="X16" s="25"/>
      <c r="Y16" s="25" t="e">
        <f>H16/$W$11</f>
        <v>#N/A</v>
      </c>
      <c r="Z16" s="7" t="str">
        <f>IF(ISNA(H16),"",TEXT(H16,"#,##0"))</f>
        <v/>
      </c>
      <c r="AA16" s="25">
        <f>I16/$W$11</f>
        <v>5.7471264367816091E-2</v>
      </c>
      <c r="AB16" s="7" t="str">
        <f>IF(ISNA(I16),"",TEXT(I16,"#,##0"))</f>
        <v>10</v>
      </c>
      <c r="AC16" s="25">
        <f>J16/$W$11</f>
        <v>4.0229885057471264E-2</v>
      </c>
      <c r="AD16" s="7" t="str">
        <f>IF(ISNA(J16),"",TEXT(J16,"#,##0"))</f>
        <v>7</v>
      </c>
      <c r="AE16" s="25" t="e">
        <f>K16/$W$11</f>
        <v>#N/A</v>
      </c>
      <c r="AF16" s="7" t="str">
        <f>IF(ISNA(K16),"",TEXT(K16,"#,##0"))</f>
        <v/>
      </c>
      <c r="AG16" s="25">
        <f>N16/$W$11</f>
        <v>0.94827586206896552</v>
      </c>
      <c r="AH16" s="25">
        <f>O16/$W$11</f>
        <v>0</v>
      </c>
      <c r="AI16" s="7" t="str">
        <f>IF(ISNA(O16),"",TEXT(O16,"+#,##0"))</f>
        <v>+0</v>
      </c>
      <c r="AJ16" s="25">
        <f>P16/$W$11</f>
        <v>1.7241379310344827E-2</v>
      </c>
      <c r="AK16" s="7" t="str">
        <f>IF(ISNA(P16),"",TEXT(P16,"""-""#,##0"))</f>
        <v>-3</v>
      </c>
      <c r="AL16" s="25">
        <f>Q16/$W$11</f>
        <v>0</v>
      </c>
      <c r="AM16" s="7" t="str">
        <f>IF(ISNA(Q16),"",TEXT(Q16,"+#,##0"))</f>
        <v>+0</v>
      </c>
      <c r="AN16" s="25">
        <f>R16/$W$11</f>
        <v>0</v>
      </c>
      <c r="AO16" s="7" t="str">
        <f>IF(ISNA(R16),"",TEXT(R16,"""-""#,##0"))</f>
        <v>-0</v>
      </c>
      <c r="AP16" s="25" t="e">
        <f>S16/$X$11</f>
        <v>#N/A</v>
      </c>
      <c r="AQ16" s="7" t="str">
        <f>IF(ISNA(S16),"",TEXT(S16,"+0.0;-0.0"))</f>
        <v/>
      </c>
      <c r="AR16" s="25">
        <f>T16/$X$11</f>
        <v>-0.40909090909090912</v>
      </c>
      <c r="AS16" s="7" t="str">
        <f>IF(ISNA(T16),"",TEXT(T16,"+0.0;-0.0"))</f>
        <v>-30.0</v>
      </c>
      <c r="AT16" s="25">
        <f>U16/$X$11</f>
        <v>0</v>
      </c>
      <c r="AU16" s="25">
        <f>V16/$X$11</f>
        <v>0.40909090909090912</v>
      </c>
    </row>
    <row r="17" spans="1:47" x14ac:dyDescent="0.35">
      <c r="A17" s="11" t="s">
        <v>98</v>
      </c>
      <c r="B17" t="s">
        <v>94</v>
      </c>
      <c r="C17" s="7" t="s">
        <v>171</v>
      </c>
      <c r="D17" s="31">
        <v>5</v>
      </c>
      <c r="E17" s="33">
        <v>-5</v>
      </c>
      <c r="F17" s="34">
        <f>D17-E17</f>
        <v>10</v>
      </c>
      <c r="G17" s="24">
        <f>IF(F17=0,NA(),E17/F17*100)</f>
        <v>-50</v>
      </c>
      <c r="H17" s="34" t="e">
        <f>NA()</f>
        <v>#N/A</v>
      </c>
      <c r="I17" s="34">
        <f>F17</f>
        <v>10</v>
      </c>
      <c r="J17" s="34">
        <f>IF($B17="AC",D17,NA())</f>
        <v>5</v>
      </c>
      <c r="K17" s="34" t="e">
        <f>IF($B17="FC",D17,NA())</f>
        <v>#N/A</v>
      </c>
      <c r="L17" s="34">
        <f>M17+E17</f>
        <v>160</v>
      </c>
      <c r="M17" s="34">
        <f>L16</f>
        <v>165</v>
      </c>
      <c r="N17" s="34">
        <f>MIN(M17,L17)</f>
        <v>160</v>
      </c>
      <c r="O17" s="34">
        <f>IF(AND($B17="AC",E17&gt;0),E17,0)</f>
        <v>0</v>
      </c>
      <c r="P17" s="34">
        <f>IF(AND($B17="AC",E17&lt;0),-E17,0)</f>
        <v>5</v>
      </c>
      <c r="Q17" s="34">
        <f>IF(AND($B17="FC",E17&gt;0),E17,0)</f>
        <v>0</v>
      </c>
      <c r="R17" s="34">
        <f>IF(AND($B17="FC",E17&lt;0),-E17,0)</f>
        <v>0</v>
      </c>
      <c r="S17" s="24" t="e">
        <f>IF(G17&gt;0,G17,NA())</f>
        <v>#N/A</v>
      </c>
      <c r="T17" s="24">
        <f>IF(G17&lt;0,G17,NA())</f>
        <v>-50</v>
      </c>
      <c r="U17" s="23">
        <f>IF(G17&gt;0,G17,0)</f>
        <v>0</v>
      </c>
      <c r="V17" s="23">
        <f>IF(G17&lt;0,-G17,0)</f>
        <v>50</v>
      </c>
      <c r="W17" s="25"/>
      <c r="X17" s="25"/>
      <c r="Y17" s="25" t="e">
        <f>H17/$W$11</f>
        <v>#N/A</v>
      </c>
      <c r="Z17" s="7" t="str">
        <f>IF(ISNA(H17),"",TEXT(H17,"#,##0"))</f>
        <v/>
      </c>
      <c r="AA17" s="25">
        <f>I17/$W$11</f>
        <v>5.7471264367816091E-2</v>
      </c>
      <c r="AB17" s="7" t="str">
        <f>IF(ISNA(I17),"",TEXT(I17,"#,##0"))</f>
        <v>10</v>
      </c>
      <c r="AC17" s="25">
        <f>J17/$W$11</f>
        <v>2.8735632183908046E-2</v>
      </c>
      <c r="AD17" s="7" t="str">
        <f>IF(ISNA(J17),"",TEXT(J17,"#,##0"))</f>
        <v>5</v>
      </c>
      <c r="AE17" s="25" t="e">
        <f>K17/$W$11</f>
        <v>#N/A</v>
      </c>
      <c r="AF17" s="7" t="str">
        <f>IF(ISNA(K17),"",TEXT(K17,"#,##0"))</f>
        <v/>
      </c>
      <c r="AG17" s="25">
        <f>N17/$W$11</f>
        <v>0.91954022988505746</v>
      </c>
      <c r="AH17" s="25">
        <f>O17/$W$11</f>
        <v>0</v>
      </c>
      <c r="AI17" s="7" t="str">
        <f>IF(ISNA(O17),"",TEXT(O17,"+#,##0"))</f>
        <v>+0</v>
      </c>
      <c r="AJ17" s="25">
        <f>P17/$W$11</f>
        <v>2.8735632183908046E-2</v>
      </c>
      <c r="AK17" s="7" t="str">
        <f>IF(ISNA(P17),"",TEXT(P17,"""-""#,##0"))</f>
        <v>-5</v>
      </c>
      <c r="AL17" s="25">
        <f>Q17/$W$11</f>
        <v>0</v>
      </c>
      <c r="AM17" s="7" t="str">
        <f>IF(ISNA(Q17),"",TEXT(Q17,"+#,##0"))</f>
        <v>+0</v>
      </c>
      <c r="AN17" s="25">
        <f>R17/$W$11</f>
        <v>0</v>
      </c>
      <c r="AO17" s="7" t="str">
        <f>IF(ISNA(R17),"",TEXT(R17,"""-""#,##0"))</f>
        <v>-0</v>
      </c>
      <c r="AP17" s="25" t="e">
        <f>S17/$X$11</f>
        <v>#N/A</v>
      </c>
      <c r="AQ17" s="7" t="str">
        <f>IF(ISNA(S17),"",TEXT(S17,"+0.0;-0.0"))</f>
        <v/>
      </c>
      <c r="AR17" s="25">
        <f>T17/$X$11</f>
        <v>-0.68181818181818188</v>
      </c>
      <c r="AS17" s="7" t="str">
        <f>IF(ISNA(T17),"",TEXT(T17,"+0.0;-0.0"))</f>
        <v>-50.0</v>
      </c>
      <c r="AT17" s="25">
        <f>U17/$X$11</f>
        <v>0</v>
      </c>
      <c r="AU17" s="25">
        <f>V17/$X$11</f>
        <v>0.68181818181818188</v>
      </c>
    </row>
    <row r="18" spans="1:47" x14ac:dyDescent="0.35">
      <c r="A18" s="11" t="s">
        <v>99</v>
      </c>
      <c r="B18" t="s">
        <v>94</v>
      </c>
      <c r="C18" s="7" t="s">
        <v>171</v>
      </c>
      <c r="D18" s="31">
        <v>6</v>
      </c>
      <c r="E18" s="33">
        <v>-4</v>
      </c>
      <c r="F18" s="34">
        <f>D18-E18</f>
        <v>10</v>
      </c>
      <c r="G18" s="24">
        <f>IF(F18=0,NA(),E18/F18*100)</f>
        <v>-40</v>
      </c>
      <c r="H18" s="34" t="e">
        <f>NA()</f>
        <v>#N/A</v>
      </c>
      <c r="I18" s="34">
        <f>F18</f>
        <v>10</v>
      </c>
      <c r="J18" s="34">
        <f>IF($B18="AC",D18,NA())</f>
        <v>6</v>
      </c>
      <c r="K18" s="34" t="e">
        <f>IF($B18="FC",D18,NA())</f>
        <v>#N/A</v>
      </c>
      <c r="L18" s="34">
        <f>M18+E18</f>
        <v>156</v>
      </c>
      <c r="M18" s="34">
        <f>L17</f>
        <v>160</v>
      </c>
      <c r="N18" s="34">
        <f>MIN(M18,L18)</f>
        <v>156</v>
      </c>
      <c r="O18" s="34">
        <f>IF(AND($B18="AC",E18&gt;0),E18,0)</f>
        <v>0</v>
      </c>
      <c r="P18" s="34">
        <f>IF(AND($B18="AC",E18&lt;0),-E18,0)</f>
        <v>4</v>
      </c>
      <c r="Q18" s="34">
        <f>IF(AND($B18="FC",E18&gt;0),E18,0)</f>
        <v>0</v>
      </c>
      <c r="R18" s="34">
        <f>IF(AND($B18="FC",E18&lt;0),-E18,0)</f>
        <v>0</v>
      </c>
      <c r="S18" s="24" t="e">
        <f>IF(G18&gt;0,G18,NA())</f>
        <v>#N/A</v>
      </c>
      <c r="T18" s="24">
        <f>IF(G18&lt;0,G18,NA())</f>
        <v>-40</v>
      </c>
      <c r="U18" s="23">
        <f>IF(G18&gt;0,G18,0)</f>
        <v>0</v>
      </c>
      <c r="V18" s="23">
        <f>IF(G18&lt;0,-G18,0)</f>
        <v>40</v>
      </c>
      <c r="W18" s="25"/>
      <c r="X18" s="25"/>
      <c r="Y18" s="25" t="e">
        <f>H18/$W$11</f>
        <v>#N/A</v>
      </c>
      <c r="Z18" s="7" t="str">
        <f>IF(ISNA(H18),"",TEXT(H18,"#,##0"))</f>
        <v/>
      </c>
      <c r="AA18" s="25">
        <f>I18/$W$11</f>
        <v>5.7471264367816091E-2</v>
      </c>
      <c r="AB18" s="7" t="str">
        <f>IF(ISNA(I18),"",TEXT(I18,"#,##0"))</f>
        <v>10</v>
      </c>
      <c r="AC18" s="25">
        <f>J18/$W$11</f>
        <v>3.4482758620689655E-2</v>
      </c>
      <c r="AD18" s="7" t="str">
        <f>IF(ISNA(J18),"",TEXT(J18,"#,##0"))</f>
        <v>6</v>
      </c>
      <c r="AE18" s="25" t="e">
        <f>K18/$W$11</f>
        <v>#N/A</v>
      </c>
      <c r="AF18" s="7" t="str">
        <f>IF(ISNA(K18),"",TEXT(K18,"#,##0"))</f>
        <v/>
      </c>
      <c r="AG18" s="25">
        <f>N18/$W$11</f>
        <v>0.89655172413793105</v>
      </c>
      <c r="AH18" s="25">
        <f>O18/$W$11</f>
        <v>0</v>
      </c>
      <c r="AI18" s="7" t="str">
        <f>IF(ISNA(O18),"",TEXT(O18,"+#,##0"))</f>
        <v>+0</v>
      </c>
      <c r="AJ18" s="25">
        <f>P18/$W$11</f>
        <v>2.2988505747126436E-2</v>
      </c>
      <c r="AK18" s="7" t="str">
        <f>IF(ISNA(P18),"",TEXT(P18,"""-""#,##0"))</f>
        <v>-4</v>
      </c>
      <c r="AL18" s="25">
        <f>Q18/$W$11</f>
        <v>0</v>
      </c>
      <c r="AM18" s="7" t="str">
        <f>IF(ISNA(Q18),"",TEXT(Q18,"+#,##0"))</f>
        <v>+0</v>
      </c>
      <c r="AN18" s="25">
        <f>R18/$W$11</f>
        <v>0</v>
      </c>
      <c r="AO18" s="7" t="str">
        <f>IF(ISNA(R18),"",TEXT(R18,"""-""#,##0"))</f>
        <v>-0</v>
      </c>
      <c r="AP18" s="25" t="e">
        <f>S18/$X$11</f>
        <v>#N/A</v>
      </c>
      <c r="AQ18" s="7" t="str">
        <f>IF(ISNA(S18),"",TEXT(S18,"+0.0;-0.0"))</f>
        <v/>
      </c>
      <c r="AR18" s="25">
        <f>T18/$X$11</f>
        <v>-0.54545454545454553</v>
      </c>
      <c r="AS18" s="7" t="str">
        <f>IF(ISNA(T18),"",TEXT(T18,"+0.0;-0.0"))</f>
        <v>-40.0</v>
      </c>
      <c r="AT18" s="25">
        <f>U18/$X$11</f>
        <v>0</v>
      </c>
      <c r="AU18" s="25">
        <f>V18/$X$11</f>
        <v>0.54545454545454553</v>
      </c>
    </row>
    <row r="19" spans="1:47" x14ac:dyDescent="0.35">
      <c r="A19" s="11" t="s">
        <v>100</v>
      </c>
      <c r="B19" t="s">
        <v>94</v>
      </c>
      <c r="C19" s="7" t="s">
        <v>171</v>
      </c>
      <c r="D19" s="31">
        <v>11</v>
      </c>
      <c r="E19" s="33">
        <v>-4</v>
      </c>
      <c r="F19" s="34">
        <f>D19-E19</f>
        <v>15</v>
      </c>
      <c r="G19" s="24">
        <f>IF(F19=0,NA(),E19/F19*100)</f>
        <v>-26.666666666666668</v>
      </c>
      <c r="H19" s="34" t="e">
        <f>NA()</f>
        <v>#N/A</v>
      </c>
      <c r="I19" s="34">
        <f>F19</f>
        <v>15</v>
      </c>
      <c r="J19" s="34">
        <f>IF($B19="AC",D19,NA())</f>
        <v>11</v>
      </c>
      <c r="K19" s="34" t="e">
        <f>IF($B19="FC",D19,NA())</f>
        <v>#N/A</v>
      </c>
      <c r="L19" s="34">
        <f>M19+E19</f>
        <v>152</v>
      </c>
      <c r="M19" s="34">
        <f>L18</f>
        <v>156</v>
      </c>
      <c r="N19" s="34">
        <f>MIN(M19,L19)</f>
        <v>152</v>
      </c>
      <c r="O19" s="34">
        <f>IF(AND($B19="AC",E19&gt;0),E19,0)</f>
        <v>0</v>
      </c>
      <c r="P19" s="34">
        <f>IF(AND($B19="AC",E19&lt;0),-E19,0)</f>
        <v>4</v>
      </c>
      <c r="Q19" s="34">
        <f>IF(AND($B19="FC",E19&gt;0),E19,0)</f>
        <v>0</v>
      </c>
      <c r="R19" s="34">
        <f>IF(AND($B19="FC",E19&lt;0),-E19,0)</f>
        <v>0</v>
      </c>
      <c r="S19" s="24" t="e">
        <f>IF(G19&gt;0,G19,NA())</f>
        <v>#N/A</v>
      </c>
      <c r="T19" s="24">
        <f>IF(G19&lt;0,G19,NA())</f>
        <v>-26.666666666666668</v>
      </c>
      <c r="U19" s="23">
        <f>IF(G19&gt;0,G19,0)</f>
        <v>0</v>
      </c>
      <c r="V19" s="23">
        <f>IF(G19&lt;0,-G19,0)</f>
        <v>26.666666666666668</v>
      </c>
      <c r="W19" s="25"/>
      <c r="X19" s="25"/>
      <c r="Y19" s="25" t="e">
        <f>H19/$W$11</f>
        <v>#N/A</v>
      </c>
      <c r="Z19" s="7" t="str">
        <f>IF(ISNA(H19),"",TEXT(H19,"#,##0"))</f>
        <v/>
      </c>
      <c r="AA19" s="25">
        <f>I19/$W$11</f>
        <v>8.6206896551724144E-2</v>
      </c>
      <c r="AB19" s="7" t="str">
        <f>IF(ISNA(I19),"",TEXT(I19,"#,##0"))</f>
        <v>15</v>
      </c>
      <c r="AC19" s="25">
        <f>J19/$W$11</f>
        <v>6.3218390804597707E-2</v>
      </c>
      <c r="AD19" s="7" t="str">
        <f>IF(ISNA(J19),"",TEXT(J19,"#,##0"))</f>
        <v>11</v>
      </c>
      <c r="AE19" s="25" t="e">
        <f>K19/$W$11</f>
        <v>#N/A</v>
      </c>
      <c r="AF19" s="7" t="str">
        <f>IF(ISNA(K19),"",TEXT(K19,"#,##0"))</f>
        <v/>
      </c>
      <c r="AG19" s="25">
        <f>N19/$W$11</f>
        <v>0.87356321839080464</v>
      </c>
      <c r="AH19" s="25">
        <f>O19/$W$11</f>
        <v>0</v>
      </c>
      <c r="AI19" s="7" t="str">
        <f>IF(ISNA(O19),"",TEXT(O19,"+#,##0"))</f>
        <v>+0</v>
      </c>
      <c r="AJ19" s="25">
        <f>P19/$W$11</f>
        <v>2.2988505747126436E-2</v>
      </c>
      <c r="AK19" s="7" t="str">
        <f>IF(ISNA(P19),"",TEXT(P19,"""-""#,##0"))</f>
        <v>-4</v>
      </c>
      <c r="AL19" s="25">
        <f>Q19/$W$11</f>
        <v>0</v>
      </c>
      <c r="AM19" s="7" t="str">
        <f>IF(ISNA(Q19),"",TEXT(Q19,"+#,##0"))</f>
        <v>+0</v>
      </c>
      <c r="AN19" s="25">
        <f>R19/$W$11</f>
        <v>0</v>
      </c>
      <c r="AO19" s="7" t="str">
        <f>IF(ISNA(R19),"",TEXT(R19,"""-""#,##0"))</f>
        <v>-0</v>
      </c>
      <c r="AP19" s="25" t="e">
        <f>S19/$X$11</f>
        <v>#N/A</v>
      </c>
      <c r="AQ19" s="7" t="str">
        <f>IF(ISNA(S19),"",TEXT(S19,"+0.0;-0.0"))</f>
        <v/>
      </c>
      <c r="AR19" s="25">
        <f>T19/$X$11</f>
        <v>-0.3636363636363637</v>
      </c>
      <c r="AS19" s="7" t="str">
        <f>IF(ISNA(T19),"",TEXT(T19,"+0.0;-0.0"))</f>
        <v>-26.7</v>
      </c>
      <c r="AT19" s="25">
        <f>U19/$X$11</f>
        <v>0</v>
      </c>
      <c r="AU19" s="25">
        <f>V19/$X$11</f>
        <v>0.3636363636363637</v>
      </c>
    </row>
    <row r="20" spans="1:47" x14ac:dyDescent="0.35">
      <c r="A20" s="11" t="s">
        <v>101</v>
      </c>
      <c r="B20" t="s">
        <v>94</v>
      </c>
      <c r="C20" s="7" t="s">
        <v>171</v>
      </c>
      <c r="D20" s="31">
        <v>9</v>
      </c>
      <c r="E20" s="33">
        <v>-5</v>
      </c>
      <c r="F20" s="34">
        <f>D20-E20</f>
        <v>14</v>
      </c>
      <c r="G20" s="24">
        <f>IF(F20=0,NA(),E20/F20*100)</f>
        <v>-35.714285714285715</v>
      </c>
      <c r="H20" s="34" t="e">
        <f>NA()</f>
        <v>#N/A</v>
      </c>
      <c r="I20" s="34">
        <f>F20</f>
        <v>14</v>
      </c>
      <c r="J20" s="34">
        <f>IF($B20="AC",D20,NA())</f>
        <v>9</v>
      </c>
      <c r="K20" s="34" t="e">
        <f>IF($B20="FC",D20,NA())</f>
        <v>#N/A</v>
      </c>
      <c r="L20" s="34">
        <f>M20+E20</f>
        <v>147</v>
      </c>
      <c r="M20" s="34">
        <f>L19</f>
        <v>152</v>
      </c>
      <c r="N20" s="34">
        <f>MIN(M20,L20)</f>
        <v>147</v>
      </c>
      <c r="O20" s="34">
        <f>IF(AND($B20="AC",E20&gt;0),E20,0)</f>
        <v>0</v>
      </c>
      <c r="P20" s="34">
        <f>IF(AND($B20="AC",E20&lt;0),-E20,0)</f>
        <v>5</v>
      </c>
      <c r="Q20" s="34">
        <f>IF(AND($B20="FC",E20&gt;0),E20,0)</f>
        <v>0</v>
      </c>
      <c r="R20" s="34">
        <f>IF(AND($B20="FC",E20&lt;0),-E20,0)</f>
        <v>0</v>
      </c>
      <c r="S20" s="24" t="e">
        <f>IF(G20&gt;0,G20,NA())</f>
        <v>#N/A</v>
      </c>
      <c r="T20" s="24">
        <f>IF(G20&lt;0,G20,NA())</f>
        <v>-35.714285714285715</v>
      </c>
      <c r="U20" s="23">
        <f>IF(G20&gt;0,G20,0)</f>
        <v>0</v>
      </c>
      <c r="V20" s="23">
        <f>IF(G20&lt;0,-G20,0)</f>
        <v>35.714285714285715</v>
      </c>
      <c r="W20" s="25"/>
      <c r="X20" s="25"/>
      <c r="Y20" s="25" t="e">
        <f>H20/$W$11</f>
        <v>#N/A</v>
      </c>
      <c r="Z20" s="7" t="str">
        <f>IF(ISNA(H20),"",TEXT(H20,"#,##0"))</f>
        <v/>
      </c>
      <c r="AA20" s="25">
        <f>I20/$W$11</f>
        <v>8.0459770114942528E-2</v>
      </c>
      <c r="AB20" s="7" t="str">
        <f>IF(ISNA(I20),"",TEXT(I20,"#,##0"))</f>
        <v>14</v>
      </c>
      <c r="AC20" s="25">
        <f>J20/$W$11</f>
        <v>5.1724137931034482E-2</v>
      </c>
      <c r="AD20" s="7" t="str">
        <f>IF(ISNA(J20),"",TEXT(J20,"#,##0"))</f>
        <v>9</v>
      </c>
      <c r="AE20" s="25" t="e">
        <f>K20/$W$11</f>
        <v>#N/A</v>
      </c>
      <c r="AF20" s="7" t="str">
        <f>IF(ISNA(K20),"",TEXT(K20,"#,##0"))</f>
        <v/>
      </c>
      <c r="AG20" s="25">
        <f>N20/$W$11</f>
        <v>0.84482758620689657</v>
      </c>
      <c r="AH20" s="25">
        <f>O20/$W$11</f>
        <v>0</v>
      </c>
      <c r="AI20" s="7" t="str">
        <f>IF(ISNA(O20),"",TEXT(O20,"+#,##0"))</f>
        <v>+0</v>
      </c>
      <c r="AJ20" s="25">
        <f>P20/$W$11</f>
        <v>2.8735632183908046E-2</v>
      </c>
      <c r="AK20" s="7" t="str">
        <f>IF(ISNA(P20),"",TEXT(P20,"""-""#,##0"))</f>
        <v>-5</v>
      </c>
      <c r="AL20" s="25">
        <f>Q20/$W$11</f>
        <v>0</v>
      </c>
      <c r="AM20" s="7" t="str">
        <f>IF(ISNA(Q20),"",TEXT(Q20,"+#,##0"))</f>
        <v>+0</v>
      </c>
      <c r="AN20" s="25">
        <f>R20/$W$11</f>
        <v>0</v>
      </c>
      <c r="AO20" s="7" t="str">
        <f>IF(ISNA(R20),"",TEXT(R20,"""-""#,##0"))</f>
        <v>-0</v>
      </c>
      <c r="AP20" s="25" t="e">
        <f>S20/$X$11</f>
        <v>#N/A</v>
      </c>
      <c r="AQ20" s="7" t="str">
        <f>IF(ISNA(S20),"",TEXT(S20,"+0.0;-0.0"))</f>
        <v/>
      </c>
      <c r="AR20" s="25">
        <f>T20/$X$11</f>
        <v>-0.48701298701298706</v>
      </c>
      <c r="AS20" s="7" t="str">
        <f>IF(ISNA(T20),"",TEXT(T20,"+0.0;-0.0"))</f>
        <v>-35.7</v>
      </c>
      <c r="AT20" s="25">
        <f>U20/$X$11</f>
        <v>0</v>
      </c>
      <c r="AU20" s="25">
        <f>V20/$X$11</f>
        <v>0.48701298701298706</v>
      </c>
    </row>
    <row r="21" spans="1:47" x14ac:dyDescent="0.35">
      <c r="A21" s="11" t="s">
        <v>102</v>
      </c>
      <c r="B21" t="s">
        <v>104</v>
      </c>
      <c r="C21" s="7" t="s">
        <v>171</v>
      </c>
      <c r="D21" s="31">
        <v>26</v>
      </c>
      <c r="E21" s="33">
        <v>11</v>
      </c>
      <c r="F21" s="34">
        <f>D21-E21</f>
        <v>15</v>
      </c>
      <c r="G21" s="24">
        <f>IF(F21=0,NA(),E21/F21*100)</f>
        <v>73.333333333333329</v>
      </c>
      <c r="H21" s="34" t="e">
        <f>NA()</f>
        <v>#N/A</v>
      </c>
      <c r="I21" s="34">
        <f>F21</f>
        <v>15</v>
      </c>
      <c r="J21" s="34" t="e">
        <f>IF($B21="AC",D21,NA())</f>
        <v>#N/A</v>
      </c>
      <c r="K21" s="34">
        <f>IF($B21="FC",D21,NA())</f>
        <v>26</v>
      </c>
      <c r="L21" s="34">
        <f>M21+E21</f>
        <v>158</v>
      </c>
      <c r="M21" s="34">
        <f>L20</f>
        <v>147</v>
      </c>
      <c r="N21" s="34">
        <f>MIN(M21,L21)</f>
        <v>147</v>
      </c>
      <c r="O21" s="34">
        <f>IF(AND($B21="AC",E21&gt;0),E21,0)</f>
        <v>0</v>
      </c>
      <c r="P21" s="34">
        <f>IF(AND($B21="AC",E21&lt;0),-E21,0)</f>
        <v>0</v>
      </c>
      <c r="Q21" s="34">
        <f>IF(AND($B21="FC",E21&gt;0),E21,0)</f>
        <v>11</v>
      </c>
      <c r="R21" s="34">
        <f>IF(AND($B21="FC",E21&lt;0),-E21,0)</f>
        <v>0</v>
      </c>
      <c r="S21" s="24">
        <f>IF(G21&gt;0,G21,NA())</f>
        <v>73.333333333333329</v>
      </c>
      <c r="T21" s="24" t="e">
        <f>IF(G21&lt;0,G21,NA())</f>
        <v>#N/A</v>
      </c>
      <c r="U21" s="23">
        <f>IF(G21&gt;0,G21,0)</f>
        <v>73.333333333333329</v>
      </c>
      <c r="V21" s="23">
        <f>IF(G21&lt;0,-G21,0)</f>
        <v>0</v>
      </c>
      <c r="W21" s="25"/>
      <c r="X21" s="25"/>
      <c r="Y21" s="25" t="e">
        <f>H21/$W$11</f>
        <v>#N/A</v>
      </c>
      <c r="Z21" s="7" t="str">
        <f>IF(ISNA(H21),"",TEXT(H21,"#,##0"))</f>
        <v/>
      </c>
      <c r="AA21" s="25">
        <f>I21/$W$11</f>
        <v>8.6206896551724144E-2</v>
      </c>
      <c r="AB21" s="7" t="str">
        <f>IF(ISNA(I21),"",TEXT(I21,"#,##0"))</f>
        <v>15</v>
      </c>
      <c r="AC21" s="25" t="e">
        <f>J21/$W$11</f>
        <v>#N/A</v>
      </c>
      <c r="AD21" s="7" t="str">
        <f>IF(ISNA(J21),"",TEXT(J21,"#,##0"))</f>
        <v/>
      </c>
      <c r="AE21" s="25">
        <f>K21/$W$11</f>
        <v>0.14942528735632185</v>
      </c>
      <c r="AF21" s="7" t="str">
        <f>IF(ISNA(K21),"",TEXT(K21,"#,##0"))</f>
        <v>26</v>
      </c>
      <c r="AG21" s="25">
        <f>N21/$W$11</f>
        <v>0.84482758620689657</v>
      </c>
      <c r="AH21" s="25">
        <f>O21/$W$11</f>
        <v>0</v>
      </c>
      <c r="AI21" s="7" t="str">
        <f>IF(ISNA(O21),"",TEXT(O21,"+#,##0"))</f>
        <v>+0</v>
      </c>
      <c r="AJ21" s="25">
        <f>P21/$W$11</f>
        <v>0</v>
      </c>
      <c r="AK21" s="7" t="str">
        <f>IF(ISNA(P21),"",TEXT(P21,"""-""#,##0"))</f>
        <v>-0</v>
      </c>
      <c r="AL21" s="25">
        <f>Q21/$W$11</f>
        <v>6.3218390804597707E-2</v>
      </c>
      <c r="AM21" s="7" t="str">
        <f>IF(ISNA(Q21),"",TEXT(Q21,"+#,##0"))</f>
        <v>+11</v>
      </c>
      <c r="AN21" s="25">
        <f>R21/$W$11</f>
        <v>0</v>
      </c>
      <c r="AO21" s="7" t="str">
        <f>IF(ISNA(R21),"",TEXT(R21,"""-""#,##0"))</f>
        <v>-0</v>
      </c>
      <c r="AP21" s="25">
        <f>S21/$X$11</f>
        <v>1</v>
      </c>
      <c r="AQ21" s="7" t="str">
        <f>IF(ISNA(S21),"",TEXT(S21,"+0.0;-0.0"))</f>
        <v>+73.3</v>
      </c>
      <c r="AR21" s="25" t="e">
        <f>T21/$X$11</f>
        <v>#N/A</v>
      </c>
      <c r="AS21" s="7" t="str">
        <f>IF(ISNA(T21),"",TEXT(T21,"+0.0;-0.0"))</f>
        <v/>
      </c>
      <c r="AT21" s="25">
        <f>U21/$X$11</f>
        <v>1</v>
      </c>
      <c r="AU21" s="25">
        <f>V21/$X$11</f>
        <v>0</v>
      </c>
    </row>
    <row r="22" spans="1:47" x14ac:dyDescent="0.35">
      <c r="A22" s="11" t="s">
        <v>103</v>
      </c>
      <c r="B22" t="s">
        <v>104</v>
      </c>
      <c r="C22" s="7" t="s">
        <v>171</v>
      </c>
      <c r="D22" s="31">
        <v>22</v>
      </c>
      <c r="E22" s="33">
        <v>7</v>
      </c>
      <c r="F22" s="34">
        <f>D22-E22</f>
        <v>15</v>
      </c>
      <c r="G22" s="24">
        <f>IF(F22=0,NA(),E22/F22*100)</f>
        <v>46.666666666666664</v>
      </c>
      <c r="H22" s="34" t="e">
        <f>NA()</f>
        <v>#N/A</v>
      </c>
      <c r="I22" s="34">
        <f>F22</f>
        <v>15</v>
      </c>
      <c r="J22" s="34" t="e">
        <f>IF($B22="AC",D22,NA())</f>
        <v>#N/A</v>
      </c>
      <c r="K22" s="34">
        <f>IF($B22="FC",D22,NA())</f>
        <v>22</v>
      </c>
      <c r="L22" s="34">
        <f>M22+E22</f>
        <v>165</v>
      </c>
      <c r="M22" s="34">
        <f>L21</f>
        <v>158</v>
      </c>
      <c r="N22" s="34">
        <f>MIN(M22,L22)</f>
        <v>158</v>
      </c>
      <c r="O22" s="34">
        <f>IF(AND($B22="AC",E22&gt;0),E22,0)</f>
        <v>0</v>
      </c>
      <c r="P22" s="34">
        <f>IF(AND($B22="AC",E22&lt;0),-E22,0)</f>
        <v>0</v>
      </c>
      <c r="Q22" s="34">
        <f>IF(AND($B22="FC",E22&gt;0),E22,0)</f>
        <v>7</v>
      </c>
      <c r="R22" s="34">
        <f>IF(AND($B22="FC",E22&lt;0),-E22,0)</f>
        <v>0</v>
      </c>
      <c r="S22" s="24">
        <f>IF(G22&gt;0,G22,NA())</f>
        <v>46.666666666666664</v>
      </c>
      <c r="T22" s="24" t="e">
        <f>IF(G22&lt;0,G22,NA())</f>
        <v>#N/A</v>
      </c>
      <c r="U22" s="23">
        <f>IF(G22&gt;0,G22,0)</f>
        <v>46.666666666666664</v>
      </c>
      <c r="V22" s="23">
        <f>IF(G22&lt;0,-G22,0)</f>
        <v>0</v>
      </c>
      <c r="W22" s="25"/>
      <c r="X22" s="25"/>
      <c r="Y22" s="25" t="e">
        <f>H22/$W$11</f>
        <v>#N/A</v>
      </c>
      <c r="Z22" s="7" t="str">
        <f>IF(ISNA(H22),"",TEXT(H22,"#,##0"))</f>
        <v/>
      </c>
      <c r="AA22" s="25">
        <f>I22/$W$11</f>
        <v>8.6206896551724144E-2</v>
      </c>
      <c r="AB22" s="7" t="str">
        <f>IF(ISNA(I22),"",TEXT(I22,"#,##0"))</f>
        <v>15</v>
      </c>
      <c r="AC22" s="25" t="e">
        <f>J22/$W$11</f>
        <v>#N/A</v>
      </c>
      <c r="AD22" s="7" t="str">
        <f>IF(ISNA(J22),"",TEXT(J22,"#,##0"))</f>
        <v/>
      </c>
      <c r="AE22" s="25">
        <f>K22/$W$11</f>
        <v>0.12643678160919541</v>
      </c>
      <c r="AF22" s="7" t="str">
        <f>IF(ISNA(K22),"",TEXT(K22,"#,##0"))</f>
        <v>22</v>
      </c>
      <c r="AG22" s="25">
        <f>N22/$W$11</f>
        <v>0.90804597701149425</v>
      </c>
      <c r="AH22" s="25">
        <f>O22/$W$11</f>
        <v>0</v>
      </c>
      <c r="AI22" s="7" t="str">
        <f>IF(ISNA(O22),"",TEXT(O22,"+#,##0"))</f>
        <v>+0</v>
      </c>
      <c r="AJ22" s="25">
        <f>P22/$W$11</f>
        <v>0</v>
      </c>
      <c r="AK22" s="7" t="str">
        <f>IF(ISNA(P22),"",TEXT(P22,"""-""#,##0"))</f>
        <v>-0</v>
      </c>
      <c r="AL22" s="25">
        <f>Q22/$W$11</f>
        <v>4.0229885057471264E-2</v>
      </c>
      <c r="AM22" s="7" t="str">
        <f>IF(ISNA(Q22),"",TEXT(Q22,"+#,##0"))</f>
        <v>+7</v>
      </c>
      <c r="AN22" s="25">
        <f>R22/$W$11</f>
        <v>0</v>
      </c>
      <c r="AO22" s="7" t="str">
        <f>IF(ISNA(R22),"",TEXT(R22,"""-""#,##0"))</f>
        <v>-0</v>
      </c>
      <c r="AP22" s="25">
        <f>S22/$X$11</f>
        <v>0.63636363636363635</v>
      </c>
      <c r="AQ22" s="7" t="str">
        <f>IF(ISNA(S22),"",TEXT(S22,"+0.0;-0.0"))</f>
        <v>+46.7</v>
      </c>
      <c r="AR22" s="25" t="e">
        <f>T22/$X$11</f>
        <v>#N/A</v>
      </c>
      <c r="AS22" s="7" t="str">
        <f>IF(ISNA(T22),"",TEXT(T22,"+0.0;-0.0"))</f>
        <v/>
      </c>
      <c r="AT22" s="25">
        <f>U22/$X$11</f>
        <v>0.63636363636363635</v>
      </c>
      <c r="AU22" s="25">
        <f>V22/$X$11</f>
        <v>0</v>
      </c>
    </row>
    <row r="23" spans="1:47" x14ac:dyDescent="0.35">
      <c r="A23" s="11" t="s">
        <v>105</v>
      </c>
      <c r="B23" t="s">
        <v>104</v>
      </c>
      <c r="C23" s="7" t="s">
        <v>171</v>
      </c>
      <c r="D23" s="31">
        <v>18</v>
      </c>
      <c r="E23" s="33">
        <v>3</v>
      </c>
      <c r="F23" s="34">
        <f>D23-E23</f>
        <v>15</v>
      </c>
      <c r="G23" s="24">
        <f>IF(F23=0,NA(),E23/F23*100)</f>
        <v>20</v>
      </c>
      <c r="H23" s="34" t="e">
        <f>NA()</f>
        <v>#N/A</v>
      </c>
      <c r="I23" s="34">
        <f>F23</f>
        <v>15</v>
      </c>
      <c r="J23" s="34" t="e">
        <f>IF($B23="AC",D23,NA())</f>
        <v>#N/A</v>
      </c>
      <c r="K23" s="34">
        <f>IF($B23="FC",D23,NA())</f>
        <v>18</v>
      </c>
      <c r="L23" s="34">
        <f>M23+E23</f>
        <v>168</v>
      </c>
      <c r="M23" s="34">
        <f>L22</f>
        <v>165</v>
      </c>
      <c r="N23" s="34">
        <f>MIN(M23,L23)</f>
        <v>165</v>
      </c>
      <c r="O23" s="34">
        <f>IF(AND($B23="AC",E23&gt;0),E23,0)</f>
        <v>0</v>
      </c>
      <c r="P23" s="34">
        <f>IF(AND($B23="AC",E23&lt;0),-E23,0)</f>
        <v>0</v>
      </c>
      <c r="Q23" s="34">
        <f>IF(AND($B23="FC",E23&gt;0),E23,0)</f>
        <v>3</v>
      </c>
      <c r="R23" s="34">
        <f>IF(AND($B23="FC",E23&lt;0),-E23,0)</f>
        <v>0</v>
      </c>
      <c r="S23" s="24">
        <f>IF(G23&gt;0,G23,NA())</f>
        <v>20</v>
      </c>
      <c r="T23" s="24" t="e">
        <f>IF(G23&lt;0,G23,NA())</f>
        <v>#N/A</v>
      </c>
      <c r="U23" s="23">
        <f>IF(G23&gt;0,G23,0)</f>
        <v>20</v>
      </c>
      <c r="V23" s="23">
        <f>IF(G23&lt;0,-G23,0)</f>
        <v>0</v>
      </c>
      <c r="W23" s="25"/>
      <c r="X23" s="25"/>
      <c r="Y23" s="25" t="e">
        <f>H23/$W$11</f>
        <v>#N/A</v>
      </c>
      <c r="Z23" s="7" t="str">
        <f>IF(ISNA(H23),"",TEXT(H23,"#,##0"))</f>
        <v/>
      </c>
      <c r="AA23" s="25">
        <f>I23/$W$11</f>
        <v>8.6206896551724144E-2</v>
      </c>
      <c r="AB23" s="7" t="str">
        <f>IF(ISNA(I23),"",TEXT(I23,"#,##0"))</f>
        <v>15</v>
      </c>
      <c r="AC23" s="25" t="e">
        <f>J23/$W$11</f>
        <v>#N/A</v>
      </c>
      <c r="AD23" s="7" t="str">
        <f>IF(ISNA(J23),"",TEXT(J23,"#,##0"))</f>
        <v/>
      </c>
      <c r="AE23" s="25">
        <f>K23/$W$11</f>
        <v>0.10344827586206896</v>
      </c>
      <c r="AF23" s="7" t="str">
        <f>IF(ISNA(K23),"",TEXT(K23,"#,##0"))</f>
        <v>18</v>
      </c>
      <c r="AG23" s="25">
        <f>N23/$W$11</f>
        <v>0.94827586206896552</v>
      </c>
      <c r="AH23" s="25">
        <f>O23/$W$11</f>
        <v>0</v>
      </c>
      <c r="AI23" s="7" t="str">
        <f>IF(ISNA(O23),"",TEXT(O23,"+#,##0"))</f>
        <v>+0</v>
      </c>
      <c r="AJ23" s="25">
        <f>P23/$W$11</f>
        <v>0</v>
      </c>
      <c r="AK23" s="7" t="str">
        <f>IF(ISNA(P23),"",TEXT(P23,"""-""#,##0"))</f>
        <v>-0</v>
      </c>
      <c r="AL23" s="25">
        <f>Q23/$W$11</f>
        <v>1.7241379310344827E-2</v>
      </c>
      <c r="AM23" s="7" t="str">
        <f>IF(ISNA(Q23),"",TEXT(Q23,"+#,##0"))</f>
        <v>+3</v>
      </c>
      <c r="AN23" s="25">
        <f>R23/$W$11</f>
        <v>0</v>
      </c>
      <c r="AO23" s="7" t="str">
        <f>IF(ISNA(R23),"",TEXT(R23,"""-""#,##0"))</f>
        <v>-0</v>
      </c>
      <c r="AP23" s="25">
        <f>S23/$X$11</f>
        <v>0.27272727272727276</v>
      </c>
      <c r="AQ23" s="7" t="str">
        <f>IF(ISNA(S23),"",TEXT(S23,"+0.0;-0.0"))</f>
        <v>+20.0</v>
      </c>
      <c r="AR23" s="25" t="e">
        <f>T23/$X$11</f>
        <v>#N/A</v>
      </c>
      <c r="AS23" s="7" t="str">
        <f>IF(ISNA(T23),"",TEXT(T23,"+0.0;-0.0"))</f>
        <v/>
      </c>
      <c r="AT23" s="25">
        <f>U23/$X$11</f>
        <v>0.27272727272727276</v>
      </c>
      <c r="AU23" s="25">
        <f>V23/$X$11</f>
        <v>0</v>
      </c>
    </row>
    <row r="24" spans="1:47" x14ac:dyDescent="0.35">
      <c r="A24" s="11" t="s">
        <v>106</v>
      </c>
      <c r="B24" t="s">
        <v>104</v>
      </c>
      <c r="C24" s="7" t="s">
        <v>171</v>
      </c>
      <c r="D24" s="31">
        <v>29</v>
      </c>
      <c r="E24" s="33">
        <v>10</v>
      </c>
      <c r="F24" s="34">
        <f>D24-E24</f>
        <v>19</v>
      </c>
      <c r="G24" s="24">
        <f>IF(F24=0,NA(),E24/F24*100)</f>
        <v>52.631578947368418</v>
      </c>
      <c r="H24" s="34" t="e">
        <f>NA()</f>
        <v>#N/A</v>
      </c>
      <c r="I24" s="34">
        <f>F24</f>
        <v>19</v>
      </c>
      <c r="J24" s="34" t="e">
        <f>IF($B24="AC",D24,NA())</f>
        <v>#N/A</v>
      </c>
      <c r="K24" s="34">
        <f>IF($B24="FC",D24,NA())</f>
        <v>29</v>
      </c>
      <c r="L24" s="34">
        <f>M24+E24</f>
        <v>178</v>
      </c>
      <c r="M24" s="34">
        <f>L23</f>
        <v>168</v>
      </c>
      <c r="N24" s="34">
        <f>MIN(M24,L24)</f>
        <v>168</v>
      </c>
      <c r="O24" s="34">
        <f>IF(AND($B24="AC",E24&gt;0),E24,0)</f>
        <v>0</v>
      </c>
      <c r="P24" s="34">
        <f>IF(AND($B24="AC",E24&lt;0),-E24,0)</f>
        <v>0</v>
      </c>
      <c r="Q24" s="34">
        <f>IF(AND($B24="FC",E24&gt;0),E24,0)</f>
        <v>10</v>
      </c>
      <c r="R24" s="34">
        <f>IF(AND($B24="FC",E24&lt;0),-E24,0)</f>
        <v>0</v>
      </c>
      <c r="S24" s="24">
        <f>IF(G24&gt;0,G24,NA())</f>
        <v>52.631578947368418</v>
      </c>
      <c r="T24" s="24" t="e">
        <f>IF(G24&lt;0,G24,NA())</f>
        <v>#N/A</v>
      </c>
      <c r="U24" s="23">
        <f>IF(G24&gt;0,G24,0)</f>
        <v>52.631578947368418</v>
      </c>
      <c r="V24" s="23">
        <f>IF(G24&lt;0,-G24,0)</f>
        <v>0</v>
      </c>
      <c r="W24" s="25"/>
      <c r="X24" s="25"/>
      <c r="Y24" s="25" t="e">
        <f>H24/$W$11</f>
        <v>#N/A</v>
      </c>
      <c r="Z24" s="7" t="str">
        <f>IF(ISNA(H24),"",TEXT(H24,"#,##0"))</f>
        <v/>
      </c>
      <c r="AA24" s="25">
        <f>I24/$W$11</f>
        <v>0.10919540229885058</v>
      </c>
      <c r="AB24" s="7" t="str">
        <f>IF(ISNA(I24),"",TEXT(I24,"#,##0"))</f>
        <v>19</v>
      </c>
      <c r="AC24" s="25" t="e">
        <f>J24/$W$11</f>
        <v>#N/A</v>
      </c>
      <c r="AD24" s="7" t="str">
        <f>IF(ISNA(J24),"",TEXT(J24,"#,##0"))</f>
        <v/>
      </c>
      <c r="AE24" s="25">
        <f>K24/$W$11</f>
        <v>0.16666666666666666</v>
      </c>
      <c r="AF24" s="7" t="str">
        <f>IF(ISNA(K24),"",TEXT(K24,"#,##0"))</f>
        <v>29</v>
      </c>
      <c r="AG24" s="25">
        <f>N24/$W$11</f>
        <v>0.96551724137931039</v>
      </c>
      <c r="AH24" s="25">
        <f>O24/$W$11</f>
        <v>0</v>
      </c>
      <c r="AI24" s="7" t="str">
        <f>IF(ISNA(O24),"",TEXT(O24,"+#,##0"))</f>
        <v>+0</v>
      </c>
      <c r="AJ24" s="25">
        <f>P24/$W$11</f>
        <v>0</v>
      </c>
      <c r="AK24" s="7" t="str">
        <f>IF(ISNA(P24),"",TEXT(P24,"""-""#,##0"))</f>
        <v>-0</v>
      </c>
      <c r="AL24" s="25">
        <f>Q24/$W$11</f>
        <v>5.7471264367816091E-2</v>
      </c>
      <c r="AM24" s="7" t="str">
        <f>IF(ISNA(Q24),"",TEXT(Q24,"+#,##0"))</f>
        <v>+10</v>
      </c>
      <c r="AN24" s="25">
        <f>R24/$W$11</f>
        <v>0</v>
      </c>
      <c r="AO24" s="7" t="str">
        <f>IF(ISNA(R24),"",TEXT(R24,"""-""#,##0"))</f>
        <v>-0</v>
      </c>
      <c r="AP24" s="25">
        <f>S24/$X$11</f>
        <v>0.71770334928229662</v>
      </c>
      <c r="AQ24" s="7" t="str">
        <f>IF(ISNA(S24),"",TEXT(S24,"+0.0;-0.0"))</f>
        <v>+52.6</v>
      </c>
      <c r="AR24" s="25" t="e">
        <f>T24/$X$11</f>
        <v>#N/A</v>
      </c>
      <c r="AS24" s="7" t="str">
        <f>IF(ISNA(T24),"",TEXT(T24,"+0.0;-0.0"))</f>
        <v/>
      </c>
      <c r="AT24" s="25">
        <f>U24/$X$11</f>
        <v>0.71770334928229662</v>
      </c>
      <c r="AU24" s="25">
        <f>V24/$X$11</f>
        <v>0</v>
      </c>
    </row>
    <row r="25" spans="1:47" x14ac:dyDescent="0.35">
      <c r="A25" s="11" t="s">
        <v>172</v>
      </c>
      <c r="B25" t="s">
        <v>94</v>
      </c>
      <c r="C25" s="7" t="s">
        <v>169</v>
      </c>
      <c r="D25" s="32">
        <f>SUM(D13:D24)</f>
        <v>178</v>
      </c>
      <c r="E25" s="33">
        <f>D25-$D$12</f>
        <v>24</v>
      </c>
      <c r="F25" s="34">
        <f>0</f>
        <v>0</v>
      </c>
      <c r="G25" s="24">
        <f>IF($D$12&lt;=0,NA(),E25/$D$12*100)</f>
        <v>15.584415584415584</v>
      </c>
      <c r="H25" s="34" t="e">
        <f>NA()</f>
        <v>#N/A</v>
      </c>
      <c r="I25" s="34" t="e">
        <f>NA()</f>
        <v>#N/A</v>
      </c>
      <c r="J25" s="34">
        <f>SUMIF($B$13:$B$24,"AC",$D$13:$D$24)</f>
        <v>83</v>
      </c>
      <c r="K25" s="34">
        <f>SUMIF($B$13:$B$24,"FC",$D$13:$D$24)</f>
        <v>95</v>
      </c>
      <c r="L25" s="34">
        <f>L24</f>
        <v>178</v>
      </c>
      <c r="M25" s="34">
        <f>L25</f>
        <v>178</v>
      </c>
      <c r="N25" s="34">
        <f>0</f>
        <v>0</v>
      </c>
      <c r="O25" s="34">
        <f>0</f>
        <v>0</v>
      </c>
      <c r="P25" s="34">
        <f>0</f>
        <v>0</v>
      </c>
      <c r="Q25" s="34">
        <f>0</f>
        <v>0</v>
      </c>
      <c r="R25" s="34">
        <f>0</f>
        <v>0</v>
      </c>
      <c r="S25" s="24">
        <f>IF(G25&gt;0,G25,NA())</f>
        <v>15.584415584415584</v>
      </c>
      <c r="T25" s="24" t="e">
        <f>IF(G25&lt;0,G25,NA())</f>
        <v>#N/A</v>
      </c>
      <c r="U25" s="23">
        <f>IF(G25&gt;0,G25,0)</f>
        <v>15.584415584415584</v>
      </c>
      <c r="V25" s="23">
        <f>IF(G25&lt;0,-G25,0)</f>
        <v>0</v>
      </c>
      <c r="W25" s="25"/>
      <c r="X25" s="25"/>
      <c r="Y25" s="25" t="e">
        <f>H25/$W$11</f>
        <v>#N/A</v>
      </c>
      <c r="Z25" s="7" t="str">
        <f>IF(ISNA(H25),"",TEXT(H25,"#,##0"))</f>
        <v/>
      </c>
      <c r="AA25" s="25" t="e">
        <f>I25/$W$11</f>
        <v>#N/A</v>
      </c>
      <c r="AB25" s="7" t="str">
        <f>IF(ISNA(I25),"",TEXT(I25,"#,##0"))</f>
        <v/>
      </c>
      <c r="AC25" s="25">
        <f>J25/$W$11</f>
        <v>0.47701149425287354</v>
      </c>
      <c r="AD25" s="7" t="str">
        <f>IF(ISNA(J25),"",TEXT(J25,"#,##0"))</f>
        <v>83</v>
      </c>
      <c r="AE25" s="25">
        <f>K25/$W$11</f>
        <v>0.54597701149425293</v>
      </c>
      <c r="AF25" s="7" t="str">
        <f>IF(ISNA(K25),"",TEXT(K25,"#,##0"))</f>
        <v>95</v>
      </c>
      <c r="AG25" s="25">
        <f>N25/$W$11</f>
        <v>0</v>
      </c>
      <c r="AH25" s="25">
        <f>O25/$W$11</f>
        <v>0</v>
      </c>
      <c r="AI25" s="7" t="str">
        <f>IF(ISNA(O25),"",TEXT(O25,"+#,##0"))</f>
        <v>+0</v>
      </c>
      <c r="AJ25" s="25">
        <f>P25/$W$11</f>
        <v>0</v>
      </c>
      <c r="AK25" s="7" t="str">
        <f>IF(ISNA(P25),"",TEXT(P25,"""-""#,##0"))</f>
        <v>-0</v>
      </c>
      <c r="AL25" s="25">
        <f>Q25/$W$11</f>
        <v>0</v>
      </c>
      <c r="AM25" s="7" t="str">
        <f>IF(ISNA(Q25),"",TEXT(Q25,"+#,##0"))</f>
        <v>+0</v>
      </c>
      <c r="AN25" s="25">
        <f>R25/$W$11</f>
        <v>0</v>
      </c>
      <c r="AO25" s="7" t="str">
        <f>IF(ISNA(R25),"",TEXT(R25,"""-""#,##0"))</f>
        <v>-0</v>
      </c>
      <c r="AP25" s="25">
        <f>S25/$X$11</f>
        <v>0.21251475796930344</v>
      </c>
      <c r="AQ25" s="7" t="str">
        <f>IF(ISNA(S25),"",TEXT(S25,"+0.0;-0.0"))</f>
        <v>+15.6</v>
      </c>
      <c r="AR25" s="25" t="e">
        <f>T25/$X$11</f>
        <v>#N/A</v>
      </c>
      <c r="AS25" s="7" t="str">
        <f>IF(ISNA(T25),"",TEXT(T25,"+0.0;-0.0"))</f>
        <v/>
      </c>
      <c r="AT25" s="25">
        <f>U25/$X$11</f>
        <v>0.21251475796930344</v>
      </c>
      <c r="AU25" s="25">
        <f>V25/$X$11</f>
        <v>0</v>
      </c>
    </row>
    <row r="26" spans="1:47" x14ac:dyDescent="0.35">
      <c r="A26" s="11" t="s">
        <v>173</v>
      </c>
      <c r="C26" s="7" t="s">
        <v>174</v>
      </c>
      <c r="D26" s="31"/>
      <c r="E26" s="33">
        <f>$D$25-$D$12</f>
        <v>24</v>
      </c>
      <c r="F26" s="34">
        <f>0</f>
        <v>0</v>
      </c>
      <c r="G26" s="24" t="e">
        <f>NA()</f>
        <v>#N/A</v>
      </c>
      <c r="H26" s="34" t="e">
        <f>NA()</f>
        <v>#N/A</v>
      </c>
      <c r="I26" s="34" t="e">
        <f>NA()</f>
        <v>#N/A</v>
      </c>
      <c r="J26" s="34" t="e">
        <f>NA()</f>
        <v>#N/A</v>
      </c>
      <c r="K26" s="34" t="e">
        <f>NA()</f>
        <v>#N/A</v>
      </c>
      <c r="L26" s="34">
        <f>$D$25</f>
        <v>178</v>
      </c>
      <c r="M26" s="34">
        <f>$D$12</f>
        <v>154</v>
      </c>
      <c r="N26" s="34">
        <f>MIN($D$12,$D$25)</f>
        <v>154</v>
      </c>
      <c r="O26" s="34">
        <f>IF(E26&gt;0,E26,0)</f>
        <v>24</v>
      </c>
      <c r="P26" s="34">
        <f>IF(E26&lt;0,-E26,0)</f>
        <v>0</v>
      </c>
      <c r="Q26" s="34">
        <f>0</f>
        <v>0</v>
      </c>
      <c r="R26" s="34">
        <f>0</f>
        <v>0</v>
      </c>
      <c r="S26" s="24" t="e">
        <f>NA()</f>
        <v>#N/A</v>
      </c>
      <c r="T26" s="24" t="e">
        <f>NA()</f>
        <v>#N/A</v>
      </c>
      <c r="U26" s="23">
        <f>0</f>
        <v>0</v>
      </c>
      <c r="V26" s="23">
        <f>0</f>
        <v>0</v>
      </c>
      <c r="W26" s="25"/>
      <c r="X26" s="25"/>
      <c r="Y26" s="25" t="e">
        <f>H26/$W$11</f>
        <v>#N/A</v>
      </c>
      <c r="Z26" s="7" t="str">
        <f>IF(ISNA(H26),"",TEXT(H26,"#,##0"))</f>
        <v/>
      </c>
      <c r="AA26" s="25" t="e">
        <f>I26/$W$11</f>
        <v>#N/A</v>
      </c>
      <c r="AB26" s="7" t="str">
        <f>IF(ISNA(I26),"",TEXT(I26,"#,##0"))</f>
        <v/>
      </c>
      <c r="AC26" s="25" t="e">
        <f>J26/$W$11</f>
        <v>#N/A</v>
      </c>
      <c r="AD26" s="7" t="str">
        <f>IF(ISNA(J26),"",TEXT(J26,"#,##0"))</f>
        <v/>
      </c>
      <c r="AE26" s="25" t="e">
        <f>K26/$W$11</f>
        <v>#N/A</v>
      </c>
      <c r="AF26" s="7" t="str">
        <f>IF(ISNA(K26),"",TEXT(K26,"#,##0"))</f>
        <v/>
      </c>
      <c r="AG26" s="25">
        <f>N26/$W$11</f>
        <v>0.88505747126436785</v>
      </c>
      <c r="AH26" s="25">
        <f>O26/$W$11</f>
        <v>0.13793103448275862</v>
      </c>
      <c r="AI26" s="7" t="str">
        <f>IF(ISNA(O26),"",TEXT(O26,"+#,##0"))</f>
        <v>+24</v>
      </c>
      <c r="AJ26" s="25">
        <f>P26/$W$11</f>
        <v>0</v>
      </c>
      <c r="AK26" s="7" t="str">
        <f>IF(ISNA(P26),"",TEXT(P26,"""-""#,##0"))</f>
        <v>-0</v>
      </c>
      <c r="AL26" s="25">
        <f>Q26/$W$11</f>
        <v>0</v>
      </c>
      <c r="AM26" s="7" t="str">
        <f>IF(ISNA(Q26),"",TEXT(Q26,"+#,##0"))</f>
        <v>+0</v>
      </c>
      <c r="AN26" s="25">
        <f>R26/$W$11</f>
        <v>0</v>
      </c>
      <c r="AO26" s="7" t="str">
        <f>IF(ISNA(R26),"",TEXT(R26,"""-""#,##0"))</f>
        <v>-0</v>
      </c>
      <c r="AP26" s="25" t="e">
        <f>S26/$X$11</f>
        <v>#N/A</v>
      </c>
      <c r="AQ26" s="7" t="str">
        <f>IF(ISNA(S26),"",TEXT(S26,"+0.0;-0.0"))</f>
        <v/>
      </c>
      <c r="AR26" s="25" t="e">
        <f>T26/$X$11</f>
        <v>#N/A</v>
      </c>
      <c r="AS26" s="7" t="str">
        <f>IF(ISNA(T26),"",TEXT(T26,"+0.0;-0.0"))</f>
        <v/>
      </c>
      <c r="AT26" s="25">
        <f>U26/$X$11</f>
        <v>0</v>
      </c>
      <c r="AU26" s="25">
        <f>V26/$X$11</f>
        <v>0</v>
      </c>
    </row>
    <row r="27" spans="1:47" x14ac:dyDescent="0.35">
      <c r="A27" s="11" t="s">
        <v>175</v>
      </c>
      <c r="C27" s="7" t="s">
        <v>174</v>
      </c>
      <c r="D27" s="31"/>
      <c r="E27" s="33">
        <f>$D$25-$D$11</f>
        <v>4</v>
      </c>
      <c r="F27" s="34">
        <f>0</f>
        <v>0</v>
      </c>
      <c r="G27" s="24" t="e">
        <f>NA()</f>
        <v>#N/A</v>
      </c>
      <c r="H27" s="34" t="e">
        <f>NA()</f>
        <v>#N/A</v>
      </c>
      <c r="I27" s="34" t="e">
        <f>NA()</f>
        <v>#N/A</v>
      </c>
      <c r="J27" s="34" t="e">
        <f>NA()</f>
        <v>#N/A</v>
      </c>
      <c r="K27" s="34" t="e">
        <f>NA()</f>
        <v>#N/A</v>
      </c>
      <c r="L27" s="34">
        <f>$D$25</f>
        <v>178</v>
      </c>
      <c r="M27" s="34">
        <f>$D$11</f>
        <v>174</v>
      </c>
      <c r="N27" s="34">
        <f>MIN($D$11,$D$25)</f>
        <v>174</v>
      </c>
      <c r="O27" s="34">
        <f>IF(E27&gt;0,E27,0)</f>
        <v>4</v>
      </c>
      <c r="P27" s="34">
        <f>IF(E27&lt;0,-E27,0)</f>
        <v>0</v>
      </c>
      <c r="Q27" s="34">
        <f>0</f>
        <v>0</v>
      </c>
      <c r="R27" s="34">
        <f>0</f>
        <v>0</v>
      </c>
      <c r="S27" s="24" t="e">
        <f>NA()</f>
        <v>#N/A</v>
      </c>
      <c r="T27" s="24" t="e">
        <f>NA()</f>
        <v>#N/A</v>
      </c>
      <c r="U27" s="23">
        <f>0</f>
        <v>0</v>
      </c>
      <c r="V27" s="23">
        <f>0</f>
        <v>0</v>
      </c>
      <c r="W27" s="25"/>
      <c r="X27" s="25"/>
      <c r="Y27" s="25" t="e">
        <f>H27/$W$11</f>
        <v>#N/A</v>
      </c>
      <c r="Z27" s="7" t="str">
        <f>IF(ISNA(H27),"",TEXT(H27,"#,##0"))</f>
        <v/>
      </c>
      <c r="AA27" s="25" t="e">
        <f>I27/$W$11</f>
        <v>#N/A</v>
      </c>
      <c r="AB27" s="7" t="str">
        <f>IF(ISNA(I27),"",TEXT(I27,"#,##0"))</f>
        <v/>
      </c>
      <c r="AC27" s="25" t="e">
        <f>J27/$W$11</f>
        <v>#N/A</v>
      </c>
      <c r="AD27" s="7" t="str">
        <f>IF(ISNA(J27),"",TEXT(J27,"#,##0"))</f>
        <v/>
      </c>
      <c r="AE27" s="25" t="e">
        <f>K27/$W$11</f>
        <v>#N/A</v>
      </c>
      <c r="AF27" s="7" t="str">
        <f>IF(ISNA(K27),"",TEXT(K27,"#,##0"))</f>
        <v/>
      </c>
      <c r="AG27" s="25">
        <f>N27/$W$11</f>
        <v>1</v>
      </c>
      <c r="AH27" s="25">
        <f>O27/$W$11</f>
        <v>2.2988505747126436E-2</v>
      </c>
      <c r="AI27" s="7" t="str">
        <f>IF(ISNA(O27),"",TEXT(O27,"+#,##0"))</f>
        <v>+4</v>
      </c>
      <c r="AJ27" s="25">
        <f>P27/$W$11</f>
        <v>0</v>
      </c>
      <c r="AK27" s="7" t="str">
        <f>IF(ISNA(P27),"",TEXT(P27,"""-""#,##0"))</f>
        <v>-0</v>
      </c>
      <c r="AL27" s="25">
        <f>Q27/$W$11</f>
        <v>0</v>
      </c>
      <c r="AM27" s="7" t="str">
        <f>IF(ISNA(Q27),"",TEXT(Q27,"+#,##0"))</f>
        <v>+0</v>
      </c>
      <c r="AN27" s="25">
        <f>R27/$W$11</f>
        <v>0</v>
      </c>
      <c r="AO27" s="7" t="str">
        <f>IF(ISNA(R27),"",TEXT(R27,"""-""#,##0"))</f>
        <v>-0</v>
      </c>
      <c r="AP27" s="25" t="e">
        <f>S27/$X$11</f>
        <v>#N/A</v>
      </c>
      <c r="AQ27" s="7" t="str">
        <f>IF(ISNA(S27),"",TEXT(S27,"+0.0;-0.0"))</f>
        <v/>
      </c>
      <c r="AR27" s="25" t="e">
        <f>T27/$X$11</f>
        <v>#N/A</v>
      </c>
      <c r="AS27" s="7" t="str">
        <f>IF(ISNA(T27),"",TEXT(T27,"+0.0;-0.0"))</f>
        <v/>
      </c>
      <c r="AT27" s="25">
        <f>U27/$X$11</f>
        <v>0</v>
      </c>
      <c r="AU27" s="25">
        <f>V27/$X$11</f>
        <v>0</v>
      </c>
    </row>
  </sheetData>
  <mergeCells count="7">
    <mergeCell ref="B7:AU7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BBA41-93AC-4869-A337-168433A0D0BF}">
  <sheetPr>
    <pageSetUpPr fitToPage="1"/>
  </sheetPr>
  <dimension ref="A1:AM30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19" t="s">
        <v>11</v>
      </c>
      <c r="B1" s="9" t="s">
        <v>107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</row>
    <row r="2" spans="1:39" ht="15" customHeight="1" x14ac:dyDescent="0.35">
      <c r="A2" s="19" t="s">
        <v>13</v>
      </c>
      <c r="B2" s="9" t="s">
        <v>14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</row>
    <row r="3" spans="1:39" ht="15" customHeight="1" x14ac:dyDescent="0.35">
      <c r="A3" s="19" t="s">
        <v>15</v>
      </c>
      <c r="B3" s="9" t="s">
        <v>108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</row>
    <row r="4" spans="1:39" ht="15" customHeight="1" x14ac:dyDescent="0.35">
      <c r="A4" s="19" t="s">
        <v>17</v>
      </c>
      <c r="B4" s="9" t="s">
        <v>176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ht="15" customHeight="1" x14ac:dyDescent="0.35">
      <c r="A5" s="19" t="s">
        <v>19</v>
      </c>
      <c r="B5" s="9" t="s">
        <v>65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</row>
    <row r="6" spans="1:39" ht="16.75" customHeight="1" x14ac:dyDescent="0.35">
      <c r="A6" s="19" t="s">
        <v>21</v>
      </c>
      <c r="B6" s="21" t="s">
        <v>177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</row>
    <row r="7" spans="1:39" ht="15" customHeight="1" x14ac:dyDescent="0.35">
      <c r="A7" s="19" t="s">
        <v>23</v>
      </c>
      <c r="B7" s="20" t="str">
        <f>B2&amp;" in "&amp;B3</f>
        <v>Net sales in kUSD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ht="15" customHeight="1" x14ac:dyDescent="0.35"/>
    <row r="9" spans="1:39" ht="15" customHeight="1" x14ac:dyDescent="0.35"/>
    <row r="10" spans="1:39" ht="28" customHeight="1" x14ac:dyDescent="0.35">
      <c r="A10" s="6" t="s">
        <v>178</v>
      </c>
      <c r="B10" s="6" t="s">
        <v>139</v>
      </c>
      <c r="C10" s="6" t="s">
        <v>67</v>
      </c>
      <c r="D10" s="6" t="s">
        <v>94</v>
      </c>
      <c r="E10" s="6" t="s">
        <v>69</v>
      </c>
      <c r="F10" s="6" t="s">
        <v>65</v>
      </c>
      <c r="G10" s="6" t="s">
        <v>68</v>
      </c>
      <c r="H10" s="6" t="s">
        <v>143</v>
      </c>
      <c r="I10" s="6" t="s">
        <v>179</v>
      </c>
      <c r="J10" s="6" t="s">
        <v>142</v>
      </c>
      <c r="K10" s="6" t="s">
        <v>141</v>
      </c>
      <c r="L10" s="6" t="s">
        <v>180</v>
      </c>
      <c r="M10" s="6" t="s">
        <v>145</v>
      </c>
      <c r="N10" s="6" t="s">
        <v>146</v>
      </c>
      <c r="O10" s="6" t="s">
        <v>147</v>
      </c>
      <c r="P10" s="6" t="s">
        <v>181</v>
      </c>
      <c r="Q10" s="6" t="s">
        <v>182</v>
      </c>
      <c r="R10" s="6" t="s">
        <v>74</v>
      </c>
      <c r="S10" s="6" t="s">
        <v>75</v>
      </c>
      <c r="T10" s="6" t="s">
        <v>78</v>
      </c>
      <c r="U10" s="6" t="s">
        <v>79</v>
      </c>
      <c r="V10" s="6" t="s">
        <v>183</v>
      </c>
      <c r="W10" s="6" t="s">
        <v>184</v>
      </c>
      <c r="X10" s="6" t="s">
        <v>185</v>
      </c>
      <c r="Y10" s="6" t="s">
        <v>154</v>
      </c>
      <c r="Z10" s="6" t="s">
        <v>155</v>
      </c>
      <c r="AA10" s="6" t="s">
        <v>152</v>
      </c>
      <c r="AB10" s="6" t="s">
        <v>153</v>
      </c>
      <c r="AC10" s="6" t="s">
        <v>156</v>
      </c>
      <c r="AD10" s="6" t="s">
        <v>157</v>
      </c>
      <c r="AE10" s="6" t="s">
        <v>160</v>
      </c>
      <c r="AF10" s="6" t="s">
        <v>186</v>
      </c>
      <c r="AG10" s="6" t="s">
        <v>187</v>
      </c>
      <c r="AH10" s="6" t="s">
        <v>188</v>
      </c>
      <c r="AI10" s="6" t="s">
        <v>189</v>
      </c>
      <c r="AJ10" s="6" t="s">
        <v>117</v>
      </c>
      <c r="AK10" s="6" t="s">
        <v>118</v>
      </c>
      <c r="AL10" s="6" t="s">
        <v>87</v>
      </c>
      <c r="AM10" s="6" t="s">
        <v>89</v>
      </c>
    </row>
    <row r="11" spans="1:39" x14ac:dyDescent="0.35">
      <c r="A11" s="11" t="s">
        <v>20</v>
      </c>
      <c r="B11" s="7" t="s">
        <v>169</v>
      </c>
      <c r="C11" t="s">
        <v>20</v>
      </c>
      <c r="D11" s="31">
        <v>1647</v>
      </c>
      <c r="E11" s="35"/>
      <c r="F11" s="34">
        <f>0</f>
        <v>0</v>
      </c>
      <c r="G11" s="36"/>
      <c r="H11" s="34">
        <f>0</f>
        <v>0</v>
      </c>
      <c r="I11" s="34">
        <f>0</f>
        <v>0</v>
      </c>
      <c r="J11" s="34">
        <f>D11</f>
        <v>1647</v>
      </c>
      <c r="K11" s="34">
        <f>0</f>
        <v>0</v>
      </c>
      <c r="L11" s="34">
        <f>0</f>
        <v>0</v>
      </c>
      <c r="M11" s="34">
        <f>0</f>
        <v>0</v>
      </c>
      <c r="N11" s="34">
        <f>M11</f>
        <v>0</v>
      </c>
      <c r="O11" s="34">
        <f>0</f>
        <v>0</v>
      </c>
      <c r="P11" s="34">
        <f>0</f>
        <v>0</v>
      </c>
      <c r="Q11" s="34">
        <f>0</f>
        <v>0</v>
      </c>
      <c r="R11" s="24" t="e">
        <f>NA()</f>
        <v>#N/A</v>
      </c>
      <c r="S11" s="24" t="e">
        <f>NA()</f>
        <v>#N/A</v>
      </c>
      <c r="T11" s="25">
        <f>MAX(_xlfn.AGGREGATE(4,6,H11:H30,I11:I30,J11:J30,K11:K30,L11:L30,O11:O30,P11:P30,Q11:Q30),-_xlfn.AGGREGATE(5,6,H11:H30,I11:I30,J11:J30,K11:K30,L11:L30,O11:O30,P11:P30,Q11:Q30),0.000000001)</f>
        <v>2145.3917313210045</v>
      </c>
      <c r="U11" s="25">
        <f>MAX(_xlfn.AGGREGATE(4,6,E11:E30,R11:R30,S11:S30),-_xlfn.AGGREGATE(5,6,E11:E30,R11:R30,S11:S30),0.000000001)</f>
        <v>63</v>
      </c>
      <c r="V11" s="25">
        <f>H11/$T$11</f>
        <v>0</v>
      </c>
      <c r="W11" s="7" t="str">
        <f>IF(ISNA(H11),"",TEXT(H11,"#,##0"))</f>
        <v>0</v>
      </c>
      <c r="X11" s="25">
        <f>I11/$T$11</f>
        <v>0</v>
      </c>
      <c r="Y11" s="25">
        <f>J11/$T$11</f>
        <v>0.76769196783744265</v>
      </c>
      <c r="Z11" s="7" t="str">
        <f>IF(ISNA(J11),"",TEXT(J11,"#,##0"))</f>
        <v>1,647</v>
      </c>
      <c r="AA11" s="25">
        <f>K11/$T$11</f>
        <v>0</v>
      </c>
      <c r="AB11" s="7" t="str">
        <f>IF(ISNA(K11),"",TEXT(K11,"#,##0"))</f>
        <v>0</v>
      </c>
      <c r="AC11" s="25">
        <f>L11/$T$11</f>
        <v>0</v>
      </c>
      <c r="AD11" s="7" t="str">
        <f>IF(ISNA(L11),"",TEXT(L11,"#,##0"))</f>
        <v>0</v>
      </c>
      <c r="AE11" s="25">
        <f>O11/$T$11</f>
        <v>0</v>
      </c>
      <c r="AF11" s="25">
        <f>P11/$T$11</f>
        <v>0</v>
      </c>
      <c r="AG11" s="7" t="str">
        <f>IF(ISNA(P11),"",TEXT(P11,"+#,##0"))</f>
        <v>+0</v>
      </c>
      <c r="AH11" s="25">
        <f>Q11/$T$11</f>
        <v>0</v>
      </c>
      <c r="AI11" s="7" t="str">
        <f>IF(ISNA(Q11),"",TEXT(Q11,"""-""#,##0"))</f>
        <v>-0</v>
      </c>
      <c r="AJ11" s="25">
        <f>E11/$U$11</f>
        <v>0</v>
      </c>
      <c r="AK11" s="7" t="str">
        <f>IF(ISNA(E11),"",TEXT(E11,"+0;-0"))</f>
        <v>+0</v>
      </c>
      <c r="AL11" s="25" t="e">
        <f>R11/$U$11</f>
        <v>#N/A</v>
      </c>
      <c r="AM11" s="25" t="e">
        <f>S11/$U$11</f>
        <v>#N/A</v>
      </c>
    </row>
    <row r="12" spans="1:39" x14ac:dyDescent="0.35">
      <c r="A12" s="11" t="s">
        <v>65</v>
      </c>
      <c r="B12" s="7" t="s">
        <v>169</v>
      </c>
      <c r="C12" t="s">
        <v>65</v>
      </c>
      <c r="D12" s="32">
        <f>SUM(F13:F27)</f>
        <v>2073.7338535950157</v>
      </c>
      <c r="E12" s="35"/>
      <c r="F12" s="34">
        <f>0</f>
        <v>0</v>
      </c>
      <c r="G12" s="36"/>
      <c r="H12" s="34">
        <f>0</f>
        <v>0</v>
      </c>
      <c r="I12" s="34">
        <f>0</f>
        <v>0</v>
      </c>
      <c r="J12" s="34">
        <f>0</f>
        <v>0</v>
      </c>
      <c r="K12" s="34">
        <f>D12</f>
        <v>2073.7338535950157</v>
      </c>
      <c r="L12" s="34">
        <f>0</f>
        <v>0</v>
      </c>
      <c r="M12" s="34">
        <f>D12</f>
        <v>2073.7338535950157</v>
      </c>
      <c r="N12" s="34">
        <f>M12</f>
        <v>2073.7338535950157</v>
      </c>
      <c r="O12" s="34">
        <f>0</f>
        <v>0</v>
      </c>
      <c r="P12" s="34">
        <f>0</f>
        <v>0</v>
      </c>
      <c r="Q12" s="34">
        <f>0</f>
        <v>0</v>
      </c>
      <c r="R12" s="24" t="e">
        <f>NA()</f>
        <v>#N/A</v>
      </c>
      <c r="S12" s="24" t="e">
        <f>NA()</f>
        <v>#N/A</v>
      </c>
      <c r="T12" s="25"/>
      <c r="U12" s="25"/>
      <c r="V12" s="25">
        <f>H12/$T$11</f>
        <v>0</v>
      </c>
      <c r="W12" s="7" t="str">
        <f>IF(ISNA(H12),"",TEXT(H12,"#,##0"))</f>
        <v>0</v>
      </c>
      <c r="X12" s="25">
        <f>I12/$T$11</f>
        <v>0</v>
      </c>
      <c r="Y12" s="25">
        <f>J12/$T$11</f>
        <v>0</v>
      </c>
      <c r="Z12" s="7" t="str">
        <f>IF(ISNA(J12),"",TEXT(J12,"#,##0"))</f>
        <v>0</v>
      </c>
      <c r="AA12" s="25">
        <f>K12/$T$11</f>
        <v>0.9665991638357504</v>
      </c>
      <c r="AB12" s="7" t="str">
        <f>IF(ISNA(K12),"",TEXT(K12,"#,##0"))</f>
        <v>2,074</v>
      </c>
      <c r="AC12" s="25">
        <f>L12/$T$11</f>
        <v>0</v>
      </c>
      <c r="AD12" s="7" t="str">
        <f>IF(ISNA(L12),"",TEXT(L12,"#,##0"))</f>
        <v>0</v>
      </c>
      <c r="AE12" s="25">
        <f>O12/$T$11</f>
        <v>0</v>
      </c>
      <c r="AF12" s="25">
        <f>P12/$T$11</f>
        <v>0</v>
      </c>
      <c r="AG12" s="7" t="str">
        <f>IF(ISNA(P12),"",TEXT(P12,"+#,##0"))</f>
        <v>+0</v>
      </c>
      <c r="AH12" s="25">
        <f>Q12/$T$11</f>
        <v>0</v>
      </c>
      <c r="AI12" s="7" t="str">
        <f>IF(ISNA(Q12),"",TEXT(Q12,"""-""#,##0"))</f>
        <v>-0</v>
      </c>
      <c r="AJ12" s="25">
        <f>E12/$U$11</f>
        <v>0</v>
      </c>
      <c r="AK12" s="7" t="str">
        <f>IF(ISNA(E12),"",TEXT(E12,"+0;-0"))</f>
        <v>+0</v>
      </c>
      <c r="AL12" s="25" t="e">
        <f>R12/$U$11</f>
        <v>#N/A</v>
      </c>
      <c r="AM12" s="25" t="e">
        <f>S12/$U$11</f>
        <v>#N/A</v>
      </c>
    </row>
    <row r="13" spans="1:39" x14ac:dyDescent="0.35">
      <c r="A13" s="11" t="s">
        <v>190</v>
      </c>
      <c r="B13" s="7" t="s">
        <v>171</v>
      </c>
      <c r="C13" t="s">
        <v>94</v>
      </c>
      <c r="D13" s="31">
        <v>179</v>
      </c>
      <c r="E13" s="35">
        <v>33</v>
      </c>
      <c r="F13" s="34">
        <f>IF(E13=-100,NA(),D13/(1+E13/100))</f>
        <v>134.58646616541353</v>
      </c>
      <c r="G13" s="36">
        <f>D13-F13</f>
        <v>44.413533834586474</v>
      </c>
      <c r="H13" s="34">
        <f>D13</f>
        <v>179</v>
      </c>
      <c r="I13" s="34">
        <f>MAX(F13-D13,0)</f>
        <v>0</v>
      </c>
      <c r="J13" s="34">
        <f>0</f>
        <v>0</v>
      </c>
      <c r="K13" s="34">
        <f>0</f>
        <v>0</v>
      </c>
      <c r="L13" s="34">
        <f>0</f>
        <v>0</v>
      </c>
      <c r="M13" s="34">
        <f>N13+G13</f>
        <v>2118.1473874296021</v>
      </c>
      <c r="N13" s="34">
        <f>M12</f>
        <v>2073.7338535950157</v>
      </c>
      <c r="O13" s="34">
        <f>MIN(N13,M13)</f>
        <v>2073.7338535950157</v>
      </c>
      <c r="P13" s="34">
        <f>IF(G13&gt;0,G13,0)</f>
        <v>44.413533834586474</v>
      </c>
      <c r="Q13" s="34">
        <f>IF(G13&lt;0,-G13,0)</f>
        <v>0</v>
      </c>
      <c r="R13" s="24">
        <f>IF(E13&gt;0,E13,NA())</f>
        <v>33</v>
      </c>
      <c r="S13" s="24" t="e">
        <f>IF(E13&lt;0,E13,NA())</f>
        <v>#N/A</v>
      </c>
      <c r="T13" s="25"/>
      <c r="U13" s="25"/>
      <c r="V13" s="25">
        <f>H13/$T$11</f>
        <v>8.3434646170553878E-2</v>
      </c>
      <c r="W13" s="7" t="str">
        <f>IF(ISNA(H13),"",TEXT(H13,"#,##0"))</f>
        <v>179</v>
      </c>
      <c r="X13" s="25">
        <f>I13/$T$11</f>
        <v>0</v>
      </c>
      <c r="Y13" s="25">
        <f>J13/$T$11</f>
        <v>0</v>
      </c>
      <c r="Z13" s="7" t="str">
        <f>IF(ISNA(J13),"",TEXT(J13,"#,##0"))</f>
        <v>0</v>
      </c>
      <c r="AA13" s="25">
        <f>K13/$T$11</f>
        <v>0</v>
      </c>
      <c r="AB13" s="7" t="str">
        <f>IF(ISNA(K13),"",TEXT(K13,"#,##0"))</f>
        <v>0</v>
      </c>
      <c r="AC13" s="25">
        <f>L13/$T$11</f>
        <v>0</v>
      </c>
      <c r="AD13" s="7" t="str">
        <f>IF(ISNA(L13),"",TEXT(L13,"#,##0"))</f>
        <v>0</v>
      </c>
      <c r="AE13" s="25">
        <f>O13/$T$11</f>
        <v>0.9665991638357504</v>
      </c>
      <c r="AF13" s="25">
        <f>P13/$T$11</f>
        <v>2.0701829500964501E-2</v>
      </c>
      <c r="AG13" s="7" t="str">
        <f>IF(ISNA(P13),"",TEXT(P13,"+#,##0"))</f>
        <v>+44</v>
      </c>
      <c r="AH13" s="25">
        <f>Q13/$T$11</f>
        <v>0</v>
      </c>
      <c r="AI13" s="7" t="str">
        <f>IF(ISNA(Q13),"",TEXT(Q13,"""-""#,##0"))</f>
        <v>-0</v>
      </c>
      <c r="AJ13" s="25">
        <f>E13/$U$11</f>
        <v>0.52380952380952384</v>
      </c>
      <c r="AK13" s="7" t="str">
        <f>IF(ISNA(E13),"",TEXT(E13,"+0;-0"))</f>
        <v>+33</v>
      </c>
      <c r="AL13" s="25">
        <f>R13/$U$11</f>
        <v>0.52380952380952384</v>
      </c>
      <c r="AM13" s="25" t="e">
        <f>S13/$U$11</f>
        <v>#N/A</v>
      </c>
    </row>
    <row r="14" spans="1:39" x14ac:dyDescent="0.35">
      <c r="A14" s="11" t="s">
        <v>133</v>
      </c>
      <c r="B14" s="7" t="s">
        <v>171</v>
      </c>
      <c r="C14" t="s">
        <v>94</v>
      </c>
      <c r="D14" s="31">
        <v>89</v>
      </c>
      <c r="E14" s="35">
        <v>30</v>
      </c>
      <c r="F14" s="34">
        <f>IF(E14=-100,NA(),D14/(1+E14/100))</f>
        <v>68.461538461538453</v>
      </c>
      <c r="G14" s="36">
        <f>D14-F14</f>
        <v>20.538461538461547</v>
      </c>
      <c r="H14" s="34">
        <f>D14</f>
        <v>89</v>
      </c>
      <c r="I14" s="34">
        <f>MAX(F14-D14,0)</f>
        <v>0</v>
      </c>
      <c r="J14" s="34">
        <f>0</f>
        <v>0</v>
      </c>
      <c r="K14" s="34">
        <f>0</f>
        <v>0</v>
      </c>
      <c r="L14" s="34">
        <f>0</f>
        <v>0</v>
      </c>
      <c r="M14" s="34">
        <f>N14+G14</f>
        <v>2138.6858489680635</v>
      </c>
      <c r="N14" s="34">
        <f>M13</f>
        <v>2118.1473874296021</v>
      </c>
      <c r="O14" s="34">
        <f>MIN(N14,M14)</f>
        <v>2118.1473874296021</v>
      </c>
      <c r="P14" s="34">
        <f>IF(G14&gt;0,G14,0)</f>
        <v>20.538461538461547</v>
      </c>
      <c r="Q14" s="34">
        <f>IF(G14&lt;0,-G14,0)</f>
        <v>0</v>
      </c>
      <c r="R14" s="24">
        <f>IF(E14&gt;0,E14,NA())</f>
        <v>30</v>
      </c>
      <c r="S14" s="24" t="e">
        <f>IF(E14&lt;0,E14,NA())</f>
        <v>#N/A</v>
      </c>
      <c r="T14" s="25"/>
      <c r="U14" s="25"/>
      <c r="V14" s="25">
        <f>H14/$T$11</f>
        <v>4.1484265414409471E-2</v>
      </c>
      <c r="W14" s="7" t="str">
        <f>IF(ISNA(H14),"",TEXT(H14,"#,##0"))</f>
        <v>89</v>
      </c>
      <c r="X14" s="25">
        <f>I14/$T$11</f>
        <v>0</v>
      </c>
      <c r="Y14" s="25">
        <f>J14/$T$11</f>
        <v>0</v>
      </c>
      <c r="Z14" s="7" t="str">
        <f>IF(ISNA(J14),"",TEXT(J14,"#,##0"))</f>
        <v>0</v>
      </c>
      <c r="AA14" s="25">
        <f>K14/$T$11</f>
        <v>0</v>
      </c>
      <c r="AB14" s="7" t="str">
        <f>IF(ISNA(K14),"",TEXT(K14,"#,##0"))</f>
        <v>0</v>
      </c>
      <c r="AC14" s="25">
        <f>L14/$T$11</f>
        <v>0</v>
      </c>
      <c r="AD14" s="7" t="str">
        <f>IF(ISNA(L14),"",TEXT(L14,"#,##0"))</f>
        <v>0</v>
      </c>
      <c r="AE14" s="25">
        <f>O14/$T$11</f>
        <v>0.98730099333671484</v>
      </c>
      <c r="AF14" s="25">
        <f>P14/$T$11</f>
        <v>9.5732920187098815E-3</v>
      </c>
      <c r="AG14" s="7" t="str">
        <f>IF(ISNA(P14),"",TEXT(P14,"+#,##0"))</f>
        <v>+21</v>
      </c>
      <c r="AH14" s="25">
        <f>Q14/$T$11</f>
        <v>0</v>
      </c>
      <c r="AI14" s="7" t="str">
        <f>IF(ISNA(Q14),"",TEXT(Q14,"""-""#,##0"))</f>
        <v>-0</v>
      </c>
      <c r="AJ14" s="25">
        <f>E14/$U$11</f>
        <v>0.47619047619047616</v>
      </c>
      <c r="AK14" s="7" t="str">
        <f>IF(ISNA(E14),"",TEXT(E14,"+0;-0"))</f>
        <v>+30</v>
      </c>
      <c r="AL14" s="25">
        <f>R14/$U$11</f>
        <v>0.47619047619047616</v>
      </c>
      <c r="AM14" s="25" t="e">
        <f>S14/$U$11</f>
        <v>#N/A</v>
      </c>
    </row>
    <row r="15" spans="1:39" x14ac:dyDescent="0.35">
      <c r="A15" s="11" t="s">
        <v>191</v>
      </c>
      <c r="B15" s="7" t="s">
        <v>171</v>
      </c>
      <c r="C15" t="s">
        <v>94</v>
      </c>
      <c r="D15" s="31">
        <v>42</v>
      </c>
      <c r="E15" s="35">
        <v>19</v>
      </c>
      <c r="F15" s="34">
        <f>IF(E15=-100,NA(),D15/(1+E15/100))</f>
        <v>35.294117647058826</v>
      </c>
      <c r="G15" s="36">
        <f>D15-F15</f>
        <v>6.705882352941174</v>
      </c>
      <c r="H15" s="34">
        <f>D15</f>
        <v>42</v>
      </c>
      <c r="I15" s="34">
        <f>MAX(F15-D15,0)</f>
        <v>0</v>
      </c>
      <c r="J15" s="34">
        <f>0</f>
        <v>0</v>
      </c>
      <c r="K15" s="34">
        <f>0</f>
        <v>0</v>
      </c>
      <c r="L15" s="34">
        <f>0</f>
        <v>0</v>
      </c>
      <c r="M15" s="34">
        <f>N15+G15</f>
        <v>2145.3917313210045</v>
      </c>
      <c r="N15" s="34">
        <f>M14</f>
        <v>2138.6858489680635</v>
      </c>
      <c r="O15" s="34">
        <f>MIN(N15,M15)</f>
        <v>2138.6858489680635</v>
      </c>
      <c r="P15" s="34">
        <f>IF(G15&gt;0,G15,0)</f>
        <v>6.705882352941174</v>
      </c>
      <c r="Q15" s="34">
        <f>IF(G15&lt;0,-G15,0)</f>
        <v>0</v>
      </c>
      <c r="R15" s="24">
        <f>IF(E15&gt;0,E15,NA())</f>
        <v>19</v>
      </c>
      <c r="S15" s="24" t="e">
        <f>IF(E15&lt;0,E15,NA())</f>
        <v>#N/A</v>
      </c>
      <c r="T15" s="25"/>
      <c r="U15" s="25"/>
      <c r="V15" s="25">
        <f>H15/$T$11</f>
        <v>1.9576844352867391E-2</v>
      </c>
      <c r="W15" s="7" t="str">
        <f>IF(ISNA(H15),"",TEXT(H15,"#,##0"))</f>
        <v>42</v>
      </c>
      <c r="X15" s="25">
        <f>I15/$T$11</f>
        <v>0</v>
      </c>
      <c r="Y15" s="25">
        <f>J15/$T$11</f>
        <v>0</v>
      </c>
      <c r="Z15" s="7" t="str">
        <f>IF(ISNA(J15),"",TEXT(J15,"#,##0"))</f>
        <v>0</v>
      </c>
      <c r="AA15" s="25">
        <f>K15/$T$11</f>
        <v>0</v>
      </c>
      <c r="AB15" s="7" t="str">
        <f>IF(ISNA(K15),"",TEXT(K15,"#,##0"))</f>
        <v>0</v>
      </c>
      <c r="AC15" s="25">
        <f>L15/$T$11</f>
        <v>0</v>
      </c>
      <c r="AD15" s="7" t="str">
        <f>IF(ISNA(L15),"",TEXT(L15,"#,##0"))</f>
        <v>0</v>
      </c>
      <c r="AE15" s="25">
        <f>O15/$T$11</f>
        <v>0.99687428535542466</v>
      </c>
      <c r="AF15" s="25">
        <f>P15/$T$11</f>
        <v>3.1257146445754645E-3</v>
      </c>
      <c r="AG15" s="7" t="str">
        <f>IF(ISNA(P15),"",TEXT(P15,"+#,##0"))</f>
        <v>+7</v>
      </c>
      <c r="AH15" s="25">
        <f>Q15/$T$11</f>
        <v>0</v>
      </c>
      <c r="AI15" s="7" t="str">
        <f>IF(ISNA(Q15),"",TEXT(Q15,"""-""#,##0"))</f>
        <v>-0</v>
      </c>
      <c r="AJ15" s="25">
        <f>E15/$U$11</f>
        <v>0.30158730158730157</v>
      </c>
      <c r="AK15" s="7" t="str">
        <f>IF(ISNA(E15),"",TEXT(E15,"+0;-0"))</f>
        <v>+19</v>
      </c>
      <c r="AL15" s="25">
        <f>R15/$U$11</f>
        <v>0.30158730158730157</v>
      </c>
      <c r="AM15" s="25" t="e">
        <f>S15/$U$11</f>
        <v>#N/A</v>
      </c>
    </row>
    <row r="16" spans="1:39" x14ac:dyDescent="0.35">
      <c r="A16" s="11" t="s">
        <v>192</v>
      </c>
      <c r="B16" s="7" t="s">
        <v>171</v>
      </c>
      <c r="C16" t="s">
        <v>94</v>
      </c>
      <c r="D16" s="31">
        <v>67</v>
      </c>
      <c r="E16" s="35">
        <v>1</v>
      </c>
      <c r="F16" s="34">
        <f>IF(E16=-100,NA(),D16/(1+E16/100))</f>
        <v>66.336633663366342</v>
      </c>
      <c r="G16" s="36">
        <f>D16-F16</f>
        <v>0.66336633663365774</v>
      </c>
      <c r="H16" s="34">
        <f>D16</f>
        <v>67</v>
      </c>
      <c r="I16" s="34">
        <f>MAX(F16-D16,0)</f>
        <v>0</v>
      </c>
      <c r="J16" s="34">
        <f>0</f>
        <v>0</v>
      </c>
      <c r="K16" s="34">
        <f>0</f>
        <v>0</v>
      </c>
      <c r="L16" s="34">
        <f>0</f>
        <v>0</v>
      </c>
      <c r="M16" s="34">
        <f>N16+G16</f>
        <v>2146.0550976576383</v>
      </c>
      <c r="N16" s="34">
        <f>M15</f>
        <v>2145.3917313210045</v>
      </c>
      <c r="O16" s="34">
        <f>MIN(N16,M16)</f>
        <v>2145.3917313210045</v>
      </c>
      <c r="P16" s="34">
        <f>IF(G16&gt;0,G16,0)</f>
        <v>0.66336633663365774</v>
      </c>
      <c r="Q16" s="34">
        <f>IF(G16&lt;0,-G16,0)</f>
        <v>0</v>
      </c>
      <c r="R16" s="24">
        <f>IF(E16&gt;0,E16,NA())</f>
        <v>1</v>
      </c>
      <c r="S16" s="24" t="e">
        <f>IF(E16&lt;0,E16,NA())</f>
        <v>#N/A</v>
      </c>
      <c r="T16" s="25"/>
      <c r="U16" s="25"/>
      <c r="V16" s="25">
        <f>H16/$T$11</f>
        <v>3.1229727896240837E-2</v>
      </c>
      <c r="W16" s="7" t="str">
        <f>IF(ISNA(H16),"",TEXT(H16,"#,##0"))</f>
        <v>67</v>
      </c>
      <c r="X16" s="25">
        <f>I16/$T$11</f>
        <v>0</v>
      </c>
      <c r="Y16" s="25">
        <f>J16/$T$11</f>
        <v>0</v>
      </c>
      <c r="Z16" s="7" t="str">
        <f>IF(ISNA(J16),"",TEXT(J16,"#,##0"))</f>
        <v>0</v>
      </c>
      <c r="AA16" s="25">
        <f>K16/$T$11</f>
        <v>0</v>
      </c>
      <c r="AB16" s="7" t="str">
        <f>IF(ISNA(K16),"",TEXT(K16,"#,##0"))</f>
        <v>0</v>
      </c>
      <c r="AC16" s="25">
        <f>L16/$T$11</f>
        <v>0</v>
      </c>
      <c r="AD16" s="7" t="str">
        <f>IF(ISNA(L16),"",TEXT(L16,"#,##0"))</f>
        <v>0</v>
      </c>
      <c r="AE16" s="25">
        <f>O16/$T$11</f>
        <v>1</v>
      </c>
      <c r="AF16" s="25">
        <f>P16/$T$11</f>
        <v>3.0920522669545121E-4</v>
      </c>
      <c r="AG16" s="7" t="str">
        <f>IF(ISNA(P16),"",TEXT(P16,"+#,##0"))</f>
        <v>+1</v>
      </c>
      <c r="AH16" s="25">
        <f>Q16/$T$11</f>
        <v>0</v>
      </c>
      <c r="AI16" s="7" t="str">
        <f>IF(ISNA(Q16),"",TEXT(Q16,"""-""#,##0"))</f>
        <v>-0</v>
      </c>
      <c r="AJ16" s="25">
        <f>E16/$U$11</f>
        <v>1.5873015873015872E-2</v>
      </c>
      <c r="AK16" s="7" t="str">
        <f>IF(ISNA(E16),"",TEXT(E16,"+0;-0"))</f>
        <v>+1</v>
      </c>
      <c r="AL16" s="25">
        <f>R16/$U$11</f>
        <v>1.5873015873015872E-2</v>
      </c>
      <c r="AM16" s="25" t="e">
        <f>S16/$U$11</f>
        <v>#N/A</v>
      </c>
    </row>
    <row r="17" spans="1:39" x14ac:dyDescent="0.35">
      <c r="A17" s="11" t="s">
        <v>193</v>
      </c>
      <c r="B17" s="7" t="s">
        <v>171</v>
      </c>
      <c r="C17" t="s">
        <v>94</v>
      </c>
      <c r="D17" s="31">
        <v>55</v>
      </c>
      <c r="E17" s="35">
        <v>-5</v>
      </c>
      <c r="F17" s="34">
        <f>IF(E17=-100,NA(),D17/(1+E17/100))</f>
        <v>57.894736842105267</v>
      </c>
      <c r="G17" s="36">
        <f>D17-F17</f>
        <v>-2.8947368421052673</v>
      </c>
      <c r="H17" s="34">
        <f>D17</f>
        <v>55</v>
      </c>
      <c r="I17" s="34">
        <f>MAX(F17-D17,0)</f>
        <v>2.8947368421052673</v>
      </c>
      <c r="J17" s="34">
        <f>0</f>
        <v>0</v>
      </c>
      <c r="K17" s="34">
        <f>0</f>
        <v>0</v>
      </c>
      <c r="L17" s="34">
        <f>0</f>
        <v>0</v>
      </c>
      <c r="M17" s="34">
        <f>N17+G17</f>
        <v>2143.1603608155328</v>
      </c>
      <c r="N17" s="34">
        <f>M16</f>
        <v>2146.0550976576383</v>
      </c>
      <c r="O17" s="34">
        <f>MIN(N17,M17)</f>
        <v>2143.1603608155328</v>
      </c>
      <c r="P17" s="34">
        <f>IF(G17&gt;0,G17,0)</f>
        <v>0</v>
      </c>
      <c r="Q17" s="34">
        <f>IF(G17&lt;0,-G17,0)</f>
        <v>2.8947368421052673</v>
      </c>
      <c r="R17" s="24" t="e">
        <f>IF(E17&gt;0,E17,NA())</f>
        <v>#N/A</v>
      </c>
      <c r="S17" s="24">
        <f>IF(E17&lt;0,E17,NA())</f>
        <v>-5</v>
      </c>
      <c r="T17" s="25"/>
      <c r="U17" s="25"/>
      <c r="V17" s="25">
        <f>H17/$T$11</f>
        <v>2.5636343795421582E-2</v>
      </c>
      <c r="W17" s="7" t="str">
        <f>IF(ISNA(H17),"",TEXT(H17,"#,##0"))</f>
        <v>55</v>
      </c>
      <c r="X17" s="25">
        <f>I17/$T$11</f>
        <v>1.3492812523906116E-3</v>
      </c>
      <c r="Y17" s="25">
        <f>J17/$T$11</f>
        <v>0</v>
      </c>
      <c r="Z17" s="7" t="str">
        <f>IF(ISNA(J17),"",TEXT(J17,"#,##0"))</f>
        <v>0</v>
      </c>
      <c r="AA17" s="25">
        <f>K17/$T$11</f>
        <v>0</v>
      </c>
      <c r="AB17" s="7" t="str">
        <f>IF(ISNA(K17),"",TEXT(K17,"#,##0"))</f>
        <v>0</v>
      </c>
      <c r="AC17" s="25">
        <f>L17/$T$11</f>
        <v>0</v>
      </c>
      <c r="AD17" s="7" t="str">
        <f>IF(ISNA(L17),"",TEXT(L17,"#,##0"))</f>
        <v>0</v>
      </c>
      <c r="AE17" s="25">
        <f>O17/$T$11</f>
        <v>0.99895992397430478</v>
      </c>
      <c r="AF17" s="25">
        <f>P17/$T$11</f>
        <v>0</v>
      </c>
      <c r="AG17" s="7" t="str">
        <f>IF(ISNA(P17),"",TEXT(P17,"+#,##0"))</f>
        <v>+0</v>
      </c>
      <c r="AH17" s="25">
        <f>Q17/$T$11</f>
        <v>1.3492812523906116E-3</v>
      </c>
      <c r="AI17" s="7" t="str">
        <f>IF(ISNA(Q17),"",TEXT(Q17,"""-""#,##0"))</f>
        <v>-3</v>
      </c>
      <c r="AJ17" s="25">
        <f>E17/$U$11</f>
        <v>-7.9365079365079361E-2</v>
      </c>
      <c r="AK17" s="7" t="str">
        <f>IF(ISNA(E17),"",TEXT(E17,"+0;-0"))</f>
        <v>-5</v>
      </c>
      <c r="AL17" s="25" t="e">
        <f>R17/$U$11</f>
        <v>#N/A</v>
      </c>
      <c r="AM17" s="25">
        <f>S17/$U$11</f>
        <v>-7.9365079365079361E-2</v>
      </c>
    </row>
    <row r="18" spans="1:39" x14ac:dyDescent="0.35">
      <c r="A18" s="11" t="s">
        <v>134</v>
      </c>
      <c r="B18" s="7" t="s">
        <v>171</v>
      </c>
      <c r="C18" t="s">
        <v>94</v>
      </c>
      <c r="D18" s="31">
        <v>18</v>
      </c>
      <c r="E18" s="35">
        <v>-16</v>
      </c>
      <c r="F18" s="34">
        <f>IF(E18=-100,NA(),D18/(1+E18/100))</f>
        <v>21.428571428571431</v>
      </c>
      <c r="G18" s="36">
        <f>D18-F18</f>
        <v>-3.4285714285714306</v>
      </c>
      <c r="H18" s="34">
        <f>D18</f>
        <v>18</v>
      </c>
      <c r="I18" s="34">
        <f>MAX(F18-D18,0)</f>
        <v>3.4285714285714306</v>
      </c>
      <c r="J18" s="34">
        <f>0</f>
        <v>0</v>
      </c>
      <c r="K18" s="34">
        <f>0</f>
        <v>0</v>
      </c>
      <c r="L18" s="34">
        <f>0</f>
        <v>0</v>
      </c>
      <c r="M18" s="34">
        <f>N18+G18</f>
        <v>2139.7317893869613</v>
      </c>
      <c r="N18" s="34">
        <f>M17</f>
        <v>2143.1603608155328</v>
      </c>
      <c r="O18" s="34">
        <f>MIN(N18,M18)</f>
        <v>2139.7317893869613</v>
      </c>
      <c r="P18" s="34">
        <f>IF(G18&gt;0,G18,0)</f>
        <v>0</v>
      </c>
      <c r="Q18" s="34">
        <f>IF(G18&lt;0,-G18,0)</f>
        <v>3.4285714285714306</v>
      </c>
      <c r="R18" s="24" t="e">
        <f>IF(E18&gt;0,E18,NA())</f>
        <v>#N/A</v>
      </c>
      <c r="S18" s="24">
        <f>IF(E18&lt;0,E18,NA())</f>
        <v>-16</v>
      </c>
      <c r="T18" s="25"/>
      <c r="U18" s="25"/>
      <c r="V18" s="25">
        <f>H18/$T$11</f>
        <v>8.3900761512288816E-3</v>
      </c>
      <c r="W18" s="7" t="str">
        <f>IF(ISNA(H18),"",TEXT(H18,"#,##0"))</f>
        <v>18</v>
      </c>
      <c r="X18" s="25">
        <f>I18/$T$11</f>
        <v>1.5981097430912165E-3</v>
      </c>
      <c r="Y18" s="25">
        <f>J18/$T$11</f>
        <v>0</v>
      </c>
      <c r="Z18" s="7" t="str">
        <f>IF(ISNA(J18),"",TEXT(J18,"#,##0"))</f>
        <v>0</v>
      </c>
      <c r="AA18" s="25">
        <f>K18/$T$11</f>
        <v>0</v>
      </c>
      <c r="AB18" s="7" t="str">
        <f>IF(ISNA(K18),"",TEXT(K18,"#,##0"))</f>
        <v>0</v>
      </c>
      <c r="AC18" s="25">
        <f>L18/$T$11</f>
        <v>0</v>
      </c>
      <c r="AD18" s="7" t="str">
        <f>IF(ISNA(L18),"",TEXT(L18,"#,##0"))</f>
        <v>0</v>
      </c>
      <c r="AE18" s="25">
        <f>O18/$T$11</f>
        <v>0.99736181423121351</v>
      </c>
      <c r="AF18" s="25">
        <f>P18/$T$11</f>
        <v>0</v>
      </c>
      <c r="AG18" s="7" t="str">
        <f>IF(ISNA(P18),"",TEXT(P18,"+#,##0"))</f>
        <v>+0</v>
      </c>
      <c r="AH18" s="25">
        <f>Q18/$T$11</f>
        <v>1.5981097430912165E-3</v>
      </c>
      <c r="AI18" s="7" t="str">
        <f>IF(ISNA(Q18),"",TEXT(Q18,"""-""#,##0"))</f>
        <v>-3</v>
      </c>
      <c r="AJ18" s="25">
        <f>E18/$U$11</f>
        <v>-0.25396825396825395</v>
      </c>
      <c r="AK18" s="7" t="str">
        <f>IF(ISNA(E18),"",TEXT(E18,"+0;-0"))</f>
        <v>-16</v>
      </c>
      <c r="AL18" s="25" t="e">
        <f>R18/$U$11</f>
        <v>#N/A</v>
      </c>
      <c r="AM18" s="25">
        <f>S18/$U$11</f>
        <v>-0.25396825396825395</v>
      </c>
    </row>
    <row r="19" spans="1:39" x14ac:dyDescent="0.35">
      <c r="A19" s="11" t="s">
        <v>124</v>
      </c>
      <c r="B19" s="7" t="s">
        <v>171</v>
      </c>
      <c r="C19" t="s">
        <v>94</v>
      </c>
      <c r="D19" s="31">
        <v>20</v>
      </c>
      <c r="E19" s="35">
        <v>-40</v>
      </c>
      <c r="F19" s="34">
        <f>IF(E19=-100,NA(),D19/(1+E19/100))</f>
        <v>33.333333333333336</v>
      </c>
      <c r="G19" s="36">
        <f>D19-F19</f>
        <v>-13.333333333333336</v>
      </c>
      <c r="H19" s="34">
        <f>D19</f>
        <v>20</v>
      </c>
      <c r="I19" s="34">
        <f>MAX(F19-D19,0)</f>
        <v>13.333333333333336</v>
      </c>
      <c r="J19" s="34">
        <f>0</f>
        <v>0</v>
      </c>
      <c r="K19" s="34">
        <f>0</f>
        <v>0</v>
      </c>
      <c r="L19" s="34">
        <f>0</f>
        <v>0</v>
      </c>
      <c r="M19" s="34">
        <f>N19+G19</f>
        <v>2126.3984560536278</v>
      </c>
      <c r="N19" s="34">
        <f>M18</f>
        <v>2139.7317893869613</v>
      </c>
      <c r="O19" s="34">
        <f>MIN(N19,M19)</f>
        <v>2126.3984560536278</v>
      </c>
      <c r="P19" s="34">
        <f>IF(G19&gt;0,G19,0)</f>
        <v>0</v>
      </c>
      <c r="Q19" s="34">
        <f>IF(G19&lt;0,-G19,0)</f>
        <v>13.333333333333336</v>
      </c>
      <c r="R19" s="24" t="e">
        <f>IF(E19&gt;0,E19,NA())</f>
        <v>#N/A</v>
      </c>
      <c r="S19" s="24">
        <f>IF(E19&lt;0,E19,NA())</f>
        <v>-40</v>
      </c>
      <c r="T19" s="25"/>
      <c r="U19" s="25"/>
      <c r="V19" s="25">
        <f>H19/$T$11</f>
        <v>9.322306834698757E-3</v>
      </c>
      <c r="W19" s="7" t="str">
        <f>IF(ISNA(H19),"",TEXT(H19,"#,##0"))</f>
        <v>20</v>
      </c>
      <c r="X19" s="25">
        <f>I19/$T$11</f>
        <v>6.2148712231325058E-3</v>
      </c>
      <c r="Y19" s="25">
        <f>J19/$T$11</f>
        <v>0</v>
      </c>
      <c r="Z19" s="7" t="str">
        <f>IF(ISNA(J19),"",TEXT(J19,"#,##0"))</f>
        <v>0</v>
      </c>
      <c r="AA19" s="25">
        <f>K19/$T$11</f>
        <v>0</v>
      </c>
      <c r="AB19" s="7" t="str">
        <f>IF(ISNA(K19),"",TEXT(K19,"#,##0"))</f>
        <v>0</v>
      </c>
      <c r="AC19" s="25">
        <f>L19/$T$11</f>
        <v>0</v>
      </c>
      <c r="AD19" s="7" t="str">
        <f>IF(ISNA(L19),"",TEXT(L19,"#,##0"))</f>
        <v>0</v>
      </c>
      <c r="AE19" s="25">
        <f>O19/$T$11</f>
        <v>0.99114694300808093</v>
      </c>
      <c r="AF19" s="25">
        <f>P19/$T$11</f>
        <v>0</v>
      </c>
      <c r="AG19" s="7" t="str">
        <f>IF(ISNA(P19),"",TEXT(P19,"+#,##0"))</f>
        <v>+0</v>
      </c>
      <c r="AH19" s="25">
        <f>Q19/$T$11</f>
        <v>6.2148712231325058E-3</v>
      </c>
      <c r="AI19" s="7" t="str">
        <f>IF(ISNA(Q19),"",TEXT(Q19,"""-""#,##0"))</f>
        <v>-13</v>
      </c>
      <c r="AJ19" s="25">
        <f>E19/$U$11</f>
        <v>-0.63492063492063489</v>
      </c>
      <c r="AK19" s="7" t="str">
        <f>IF(ISNA(E19),"",TEXT(E19,"+0;-0"))</f>
        <v>-40</v>
      </c>
      <c r="AL19" s="25" t="e">
        <f>R19/$U$11</f>
        <v>#N/A</v>
      </c>
      <c r="AM19" s="25">
        <f>S19/$U$11</f>
        <v>-0.63492063492063489</v>
      </c>
    </row>
    <row r="20" spans="1:39" x14ac:dyDescent="0.35">
      <c r="A20" s="11" t="s">
        <v>131</v>
      </c>
      <c r="B20" s="7" t="s">
        <v>171</v>
      </c>
      <c r="C20" t="s">
        <v>94</v>
      </c>
      <c r="D20" s="31">
        <v>134</v>
      </c>
      <c r="E20" s="35">
        <v>-10</v>
      </c>
      <c r="F20" s="34">
        <f>IF(E20=-100,NA(),D20/(1+E20/100))</f>
        <v>148.88888888888889</v>
      </c>
      <c r="G20" s="36">
        <f>D20-F20</f>
        <v>-14.888888888888886</v>
      </c>
      <c r="H20" s="34">
        <f>D20</f>
        <v>134</v>
      </c>
      <c r="I20" s="34">
        <f>MAX(F20-D20,0)</f>
        <v>14.888888888888886</v>
      </c>
      <c r="J20" s="34">
        <f>0</f>
        <v>0</v>
      </c>
      <c r="K20" s="34">
        <f>0</f>
        <v>0</v>
      </c>
      <c r="L20" s="34">
        <f>0</f>
        <v>0</v>
      </c>
      <c r="M20" s="34">
        <f>N20+G20</f>
        <v>2111.5095671647391</v>
      </c>
      <c r="N20" s="34">
        <f>M19</f>
        <v>2126.3984560536278</v>
      </c>
      <c r="O20" s="34">
        <f>MIN(N20,M20)</f>
        <v>2111.5095671647391</v>
      </c>
      <c r="P20" s="34">
        <f>IF(G20&gt;0,G20,0)</f>
        <v>0</v>
      </c>
      <c r="Q20" s="34">
        <f>IF(G20&lt;0,-G20,0)</f>
        <v>14.888888888888886</v>
      </c>
      <c r="R20" s="24" t="e">
        <f>IF(E20&gt;0,E20,NA())</f>
        <v>#N/A</v>
      </c>
      <c r="S20" s="24">
        <f>IF(E20&lt;0,E20,NA())</f>
        <v>-10</v>
      </c>
      <c r="T20" s="25"/>
      <c r="U20" s="25"/>
      <c r="V20" s="25">
        <f>H20/$T$11</f>
        <v>6.2459455792481675E-2</v>
      </c>
      <c r="W20" s="7" t="str">
        <f>IF(ISNA(H20),"",TEXT(H20,"#,##0"))</f>
        <v>134</v>
      </c>
      <c r="X20" s="25">
        <f>I20/$T$11</f>
        <v>6.9399395324979624E-3</v>
      </c>
      <c r="Y20" s="25">
        <f>J20/$T$11</f>
        <v>0</v>
      </c>
      <c r="Z20" s="7" t="str">
        <f>IF(ISNA(J20),"",TEXT(J20,"#,##0"))</f>
        <v>0</v>
      </c>
      <c r="AA20" s="25">
        <f>K20/$T$11</f>
        <v>0</v>
      </c>
      <c r="AB20" s="7" t="str">
        <f>IF(ISNA(K20),"",TEXT(K20,"#,##0"))</f>
        <v>0</v>
      </c>
      <c r="AC20" s="25">
        <f>L20/$T$11</f>
        <v>0</v>
      </c>
      <c r="AD20" s="7" t="str">
        <f>IF(ISNA(L20),"",TEXT(L20,"#,##0"))</f>
        <v>0</v>
      </c>
      <c r="AE20" s="25">
        <f>O20/$T$11</f>
        <v>0.9842070034755831</v>
      </c>
      <c r="AF20" s="25">
        <f>P20/$T$11</f>
        <v>0</v>
      </c>
      <c r="AG20" s="7" t="str">
        <f>IF(ISNA(P20),"",TEXT(P20,"+#,##0"))</f>
        <v>+0</v>
      </c>
      <c r="AH20" s="25">
        <f>Q20/$T$11</f>
        <v>6.9399395324979624E-3</v>
      </c>
      <c r="AI20" s="7" t="str">
        <f>IF(ISNA(Q20),"",TEXT(Q20,"""-""#,##0"))</f>
        <v>-15</v>
      </c>
      <c r="AJ20" s="25">
        <f>E20/$U$11</f>
        <v>-0.15873015873015872</v>
      </c>
      <c r="AK20" s="7" t="str">
        <f>IF(ISNA(E20),"",TEXT(E20,"+0;-0"))</f>
        <v>-10</v>
      </c>
      <c r="AL20" s="25" t="e">
        <f>R20/$U$11</f>
        <v>#N/A</v>
      </c>
      <c r="AM20" s="25">
        <f>S20/$U$11</f>
        <v>-0.15873015873015872</v>
      </c>
    </row>
    <row r="21" spans="1:39" x14ac:dyDescent="0.35">
      <c r="A21" s="11" t="s">
        <v>130</v>
      </c>
      <c r="B21" s="7" t="s">
        <v>171</v>
      </c>
      <c r="C21" t="s">
        <v>94</v>
      </c>
      <c r="D21" s="31">
        <v>64</v>
      </c>
      <c r="E21" s="35">
        <v>-23</v>
      </c>
      <c r="F21" s="34">
        <f>IF(E21=-100,NA(),D21/(1+E21/100))</f>
        <v>83.116883116883116</v>
      </c>
      <c r="G21" s="36">
        <f>D21-F21</f>
        <v>-19.116883116883116</v>
      </c>
      <c r="H21" s="34">
        <f>D21</f>
        <v>64</v>
      </c>
      <c r="I21" s="34">
        <f>MAX(F21-D21,0)</f>
        <v>19.116883116883116</v>
      </c>
      <c r="J21" s="34">
        <f>0</f>
        <v>0</v>
      </c>
      <c r="K21" s="34">
        <f>0</f>
        <v>0</v>
      </c>
      <c r="L21" s="34">
        <f>0</f>
        <v>0</v>
      </c>
      <c r="M21" s="34">
        <f>N21+G21</f>
        <v>2092.3926840478562</v>
      </c>
      <c r="N21" s="34">
        <f>M20</f>
        <v>2111.5095671647391</v>
      </c>
      <c r="O21" s="34">
        <f>MIN(N21,M21)</f>
        <v>2092.3926840478562</v>
      </c>
      <c r="P21" s="34">
        <f>IF(G21&gt;0,G21,0)</f>
        <v>0</v>
      </c>
      <c r="Q21" s="34">
        <f>IF(G21&lt;0,-G21,0)</f>
        <v>19.116883116883116</v>
      </c>
      <c r="R21" s="24" t="e">
        <f>IF(E21&gt;0,E21,NA())</f>
        <v>#N/A</v>
      </c>
      <c r="S21" s="24">
        <f>IF(E21&lt;0,E21,NA())</f>
        <v>-23</v>
      </c>
      <c r="T21" s="25"/>
      <c r="U21" s="25"/>
      <c r="V21" s="25">
        <f>H21/$T$11</f>
        <v>2.9831381871036022E-2</v>
      </c>
      <c r="W21" s="7" t="str">
        <f>IF(ISNA(H21),"",TEXT(H21,"#,##0"))</f>
        <v>64</v>
      </c>
      <c r="X21" s="25">
        <f>I21/$T$11</f>
        <v>8.9106725069328374E-3</v>
      </c>
      <c r="Y21" s="25">
        <f>J21/$T$11</f>
        <v>0</v>
      </c>
      <c r="Z21" s="7" t="str">
        <f>IF(ISNA(J21),"",TEXT(J21,"#,##0"))</f>
        <v>0</v>
      </c>
      <c r="AA21" s="25">
        <f>K21/$T$11</f>
        <v>0</v>
      </c>
      <c r="AB21" s="7" t="str">
        <f>IF(ISNA(K21),"",TEXT(K21,"#,##0"))</f>
        <v>0</v>
      </c>
      <c r="AC21" s="25">
        <f>L21/$T$11</f>
        <v>0</v>
      </c>
      <c r="AD21" s="7" t="str">
        <f>IF(ISNA(L21),"",TEXT(L21,"#,##0"))</f>
        <v>0</v>
      </c>
      <c r="AE21" s="25">
        <f>O21/$T$11</f>
        <v>0.97529633096865032</v>
      </c>
      <c r="AF21" s="25">
        <f>P21/$T$11</f>
        <v>0</v>
      </c>
      <c r="AG21" s="7" t="str">
        <f>IF(ISNA(P21),"",TEXT(P21,"+#,##0"))</f>
        <v>+0</v>
      </c>
      <c r="AH21" s="25">
        <f>Q21/$T$11</f>
        <v>8.9106725069328374E-3</v>
      </c>
      <c r="AI21" s="7" t="str">
        <f>IF(ISNA(Q21),"",TEXT(Q21,"""-""#,##0"))</f>
        <v>-19</v>
      </c>
      <c r="AJ21" s="25">
        <f>E21/$U$11</f>
        <v>-0.36507936507936506</v>
      </c>
      <c r="AK21" s="7" t="str">
        <f>IF(ISNA(E21),"",TEXT(E21,"+0;-0"))</f>
        <v>-23</v>
      </c>
      <c r="AL21" s="25" t="e">
        <f>R21/$U$11</f>
        <v>#N/A</v>
      </c>
      <c r="AM21" s="25">
        <f>S21/$U$11</f>
        <v>-0.36507936507936506</v>
      </c>
    </row>
    <row r="22" spans="1:39" x14ac:dyDescent="0.35">
      <c r="A22" s="11" t="s">
        <v>132</v>
      </c>
      <c r="B22" s="7" t="s">
        <v>171</v>
      </c>
      <c r="C22" t="s">
        <v>94</v>
      </c>
      <c r="D22" s="31">
        <v>157</v>
      </c>
      <c r="E22" s="35">
        <v>-13</v>
      </c>
      <c r="F22" s="34">
        <f>IF(E22=-100,NA(),D22/(1+E22/100))</f>
        <v>180.45977011494253</v>
      </c>
      <c r="G22" s="36">
        <f>D22-F22</f>
        <v>-23.459770114942529</v>
      </c>
      <c r="H22" s="34">
        <f>D22</f>
        <v>157</v>
      </c>
      <c r="I22" s="34">
        <f>MAX(F22-D22,0)</f>
        <v>23.459770114942529</v>
      </c>
      <c r="J22" s="34">
        <f>0</f>
        <v>0</v>
      </c>
      <c r="K22" s="34">
        <f>0</f>
        <v>0</v>
      </c>
      <c r="L22" s="34">
        <f>0</f>
        <v>0</v>
      </c>
      <c r="M22" s="34">
        <f>N22+G22</f>
        <v>2068.9329139329138</v>
      </c>
      <c r="N22" s="34">
        <f>M21</f>
        <v>2092.3926840478562</v>
      </c>
      <c r="O22" s="34">
        <f>MIN(N22,M22)</f>
        <v>2068.9329139329138</v>
      </c>
      <c r="P22" s="34">
        <f>IF(G22&gt;0,G22,0)</f>
        <v>0</v>
      </c>
      <c r="Q22" s="34">
        <f>IF(G22&lt;0,-G22,0)</f>
        <v>23.459770114942529</v>
      </c>
      <c r="R22" s="24" t="e">
        <f>IF(E22&gt;0,E22,NA())</f>
        <v>#N/A</v>
      </c>
      <c r="S22" s="24">
        <f>IF(E22&lt;0,E22,NA())</f>
        <v>-13</v>
      </c>
      <c r="T22" s="25"/>
      <c r="U22" s="25"/>
      <c r="V22" s="25">
        <f>H22/$T$11</f>
        <v>7.3180108652385251E-2</v>
      </c>
      <c r="W22" s="7" t="str">
        <f>IF(ISNA(H22),"",TEXT(H22,"#,##0"))</f>
        <v>157</v>
      </c>
      <c r="X22" s="25">
        <f>I22/$T$11</f>
        <v>1.093495876414952E-2</v>
      </c>
      <c r="Y22" s="25">
        <f>J22/$T$11</f>
        <v>0</v>
      </c>
      <c r="Z22" s="7" t="str">
        <f>IF(ISNA(J22),"",TEXT(J22,"#,##0"))</f>
        <v>0</v>
      </c>
      <c r="AA22" s="25">
        <f>K22/$T$11</f>
        <v>0</v>
      </c>
      <c r="AB22" s="7" t="str">
        <f>IF(ISNA(K22),"",TEXT(K22,"#,##0"))</f>
        <v>0</v>
      </c>
      <c r="AC22" s="25">
        <f>L22/$T$11</f>
        <v>0</v>
      </c>
      <c r="AD22" s="7" t="str">
        <f>IF(ISNA(L22),"",TEXT(L22,"#,##0"))</f>
        <v>0</v>
      </c>
      <c r="AE22" s="25">
        <f>O22/$T$11</f>
        <v>0.96436137220450091</v>
      </c>
      <c r="AF22" s="25">
        <f>P22/$T$11</f>
        <v>0</v>
      </c>
      <c r="AG22" s="7" t="str">
        <f>IF(ISNA(P22),"",TEXT(P22,"+#,##0"))</f>
        <v>+0</v>
      </c>
      <c r="AH22" s="25">
        <f>Q22/$T$11</f>
        <v>1.093495876414952E-2</v>
      </c>
      <c r="AI22" s="7" t="str">
        <f>IF(ISNA(Q22),"",TEXT(Q22,"""-""#,##0"))</f>
        <v>-23</v>
      </c>
      <c r="AJ22" s="25">
        <f>E22/$U$11</f>
        <v>-0.20634920634920634</v>
      </c>
      <c r="AK22" s="7" t="str">
        <f>IF(ISNA(E22),"",TEXT(E22,"+0;-0"))</f>
        <v>-13</v>
      </c>
      <c r="AL22" s="25" t="e">
        <f>R22/$U$11</f>
        <v>#N/A</v>
      </c>
      <c r="AM22" s="25">
        <f>S22/$U$11</f>
        <v>-0.20634920634920634</v>
      </c>
    </row>
    <row r="23" spans="1:39" x14ac:dyDescent="0.35">
      <c r="A23" s="11" t="s">
        <v>194</v>
      </c>
      <c r="B23" s="7" t="s">
        <v>171</v>
      </c>
      <c r="C23" t="s">
        <v>94</v>
      </c>
      <c r="D23" s="31">
        <v>29</v>
      </c>
      <c r="E23" s="35">
        <v>-48</v>
      </c>
      <c r="F23" s="34">
        <f>IF(E23=-100,NA(),D23/(1+E23/100))</f>
        <v>55.769230769230766</v>
      </c>
      <c r="G23" s="36">
        <f>D23-F23</f>
        <v>-26.769230769230766</v>
      </c>
      <c r="H23" s="34">
        <f>D23</f>
        <v>29</v>
      </c>
      <c r="I23" s="34">
        <f>MAX(F23-D23,0)</f>
        <v>26.769230769230766</v>
      </c>
      <c r="J23" s="34">
        <f>0</f>
        <v>0</v>
      </c>
      <c r="K23" s="34">
        <f>0</f>
        <v>0</v>
      </c>
      <c r="L23" s="34">
        <f>0</f>
        <v>0</v>
      </c>
      <c r="M23" s="34">
        <f>N23+G23</f>
        <v>2042.1636831636831</v>
      </c>
      <c r="N23" s="34">
        <f>M22</f>
        <v>2068.9329139329138</v>
      </c>
      <c r="O23" s="34">
        <f>MIN(N23,M23)</f>
        <v>2042.1636831636831</v>
      </c>
      <c r="P23" s="34">
        <f>IF(G23&gt;0,G23,0)</f>
        <v>0</v>
      </c>
      <c r="Q23" s="34">
        <f>IF(G23&lt;0,-G23,0)</f>
        <v>26.769230769230766</v>
      </c>
      <c r="R23" s="24" t="e">
        <f>IF(E23&gt;0,E23,NA())</f>
        <v>#N/A</v>
      </c>
      <c r="S23" s="24">
        <f>IF(E23&lt;0,E23,NA())</f>
        <v>-48</v>
      </c>
      <c r="T23" s="25"/>
      <c r="U23" s="25"/>
      <c r="V23" s="25">
        <f>H23/$T$11</f>
        <v>1.3517344910313199E-2</v>
      </c>
      <c r="W23" s="7" t="str">
        <f>IF(ISNA(H23),"",TEXT(H23,"#,##0"))</f>
        <v>29</v>
      </c>
      <c r="X23" s="25">
        <f>I23/$T$11</f>
        <v>1.2477549147981413E-2</v>
      </c>
      <c r="Y23" s="25">
        <f>J23/$T$11</f>
        <v>0</v>
      </c>
      <c r="Z23" s="7" t="str">
        <f>IF(ISNA(J23),"",TEXT(J23,"#,##0"))</f>
        <v>0</v>
      </c>
      <c r="AA23" s="25">
        <f>K23/$T$11</f>
        <v>0</v>
      </c>
      <c r="AB23" s="7" t="str">
        <f>IF(ISNA(K23),"",TEXT(K23,"#,##0"))</f>
        <v>0</v>
      </c>
      <c r="AC23" s="25">
        <f>L23/$T$11</f>
        <v>0</v>
      </c>
      <c r="AD23" s="7" t="str">
        <f>IF(ISNA(L23),"",TEXT(L23,"#,##0"))</f>
        <v>0</v>
      </c>
      <c r="AE23" s="25">
        <f>O23/$T$11</f>
        <v>0.95188382305651953</v>
      </c>
      <c r="AF23" s="25">
        <f>P23/$T$11</f>
        <v>0</v>
      </c>
      <c r="AG23" s="7" t="str">
        <f>IF(ISNA(P23),"",TEXT(P23,"+#,##0"))</f>
        <v>+0</v>
      </c>
      <c r="AH23" s="25">
        <f>Q23/$T$11</f>
        <v>1.2477549147981413E-2</v>
      </c>
      <c r="AI23" s="7" t="str">
        <f>IF(ISNA(Q23),"",TEXT(Q23,"""-""#,##0"))</f>
        <v>-27</v>
      </c>
      <c r="AJ23" s="25">
        <f>E23/$U$11</f>
        <v>-0.76190476190476186</v>
      </c>
      <c r="AK23" s="7" t="str">
        <f>IF(ISNA(E23),"",TEXT(E23,"+0;-0"))</f>
        <v>-48</v>
      </c>
      <c r="AL23" s="25" t="e">
        <f>R23/$U$11</f>
        <v>#N/A</v>
      </c>
      <c r="AM23" s="25">
        <f>S23/$U$11</f>
        <v>-0.76190476190476186</v>
      </c>
    </row>
    <row r="24" spans="1:39" x14ac:dyDescent="0.35">
      <c r="A24" s="11" t="s">
        <v>121</v>
      </c>
      <c r="B24" s="7" t="s">
        <v>171</v>
      </c>
      <c r="C24" t="s">
        <v>94</v>
      </c>
      <c r="D24" s="31">
        <v>216</v>
      </c>
      <c r="E24" s="35">
        <v>-12</v>
      </c>
      <c r="F24" s="34">
        <f>IF(E24=-100,NA(),D24/(1+E24/100))</f>
        <v>245.45454545454547</v>
      </c>
      <c r="G24" s="36">
        <f>D24-F24</f>
        <v>-29.454545454545467</v>
      </c>
      <c r="H24" s="34">
        <f>D24</f>
        <v>216</v>
      </c>
      <c r="I24" s="34">
        <f>MAX(F24-D24,0)</f>
        <v>29.454545454545467</v>
      </c>
      <c r="J24" s="34">
        <f>0</f>
        <v>0</v>
      </c>
      <c r="K24" s="34">
        <f>0</f>
        <v>0</v>
      </c>
      <c r="L24" s="34">
        <f>0</f>
        <v>0</v>
      </c>
      <c r="M24" s="34">
        <f>N24+G24</f>
        <v>2012.7091377091376</v>
      </c>
      <c r="N24" s="34">
        <f>M23</f>
        <v>2042.1636831636831</v>
      </c>
      <c r="O24" s="34">
        <f>MIN(N24,M24)</f>
        <v>2012.7091377091376</v>
      </c>
      <c r="P24" s="34">
        <f>IF(G24&gt;0,G24,0)</f>
        <v>0</v>
      </c>
      <c r="Q24" s="34">
        <f>IF(G24&lt;0,-G24,0)</f>
        <v>29.454545454545467</v>
      </c>
      <c r="R24" s="24" t="e">
        <f>IF(E24&gt;0,E24,NA())</f>
        <v>#N/A</v>
      </c>
      <c r="S24" s="24">
        <f>IF(E24&lt;0,E24,NA())</f>
        <v>-12</v>
      </c>
      <c r="T24" s="25"/>
      <c r="U24" s="25"/>
      <c r="V24" s="25">
        <f>H24/$T$11</f>
        <v>0.10068091381474657</v>
      </c>
      <c r="W24" s="7" t="str">
        <f>IF(ISNA(H24),"",TEXT(H24,"#,##0"))</f>
        <v>216</v>
      </c>
      <c r="X24" s="25">
        <f>I24/$T$11</f>
        <v>1.3729215520192722E-2</v>
      </c>
      <c r="Y24" s="25">
        <f>J24/$T$11</f>
        <v>0</v>
      </c>
      <c r="Z24" s="7" t="str">
        <f>IF(ISNA(J24),"",TEXT(J24,"#,##0"))</f>
        <v>0</v>
      </c>
      <c r="AA24" s="25">
        <f>K24/$T$11</f>
        <v>0</v>
      </c>
      <c r="AB24" s="7" t="str">
        <f>IF(ISNA(K24),"",TEXT(K24,"#,##0"))</f>
        <v>0</v>
      </c>
      <c r="AC24" s="25">
        <f>L24/$T$11</f>
        <v>0</v>
      </c>
      <c r="AD24" s="7" t="str">
        <f>IF(ISNA(L24),"",TEXT(L24,"#,##0"))</f>
        <v>0</v>
      </c>
      <c r="AE24" s="25">
        <f>O24/$T$11</f>
        <v>0.93815460753632673</v>
      </c>
      <c r="AF24" s="25">
        <f>P24/$T$11</f>
        <v>0</v>
      </c>
      <c r="AG24" s="7" t="str">
        <f>IF(ISNA(P24),"",TEXT(P24,"+#,##0"))</f>
        <v>+0</v>
      </c>
      <c r="AH24" s="25">
        <f>Q24/$T$11</f>
        <v>1.3729215520192722E-2</v>
      </c>
      <c r="AI24" s="7" t="str">
        <f>IF(ISNA(Q24),"",TEXT(Q24,"""-""#,##0"))</f>
        <v>-29</v>
      </c>
      <c r="AJ24" s="25">
        <f>E24/$U$11</f>
        <v>-0.19047619047619047</v>
      </c>
      <c r="AK24" s="7" t="str">
        <f>IF(ISNA(E24),"",TEXT(E24,"+0;-0"))</f>
        <v>-12</v>
      </c>
      <c r="AL24" s="25" t="e">
        <f>R24/$U$11</f>
        <v>#N/A</v>
      </c>
      <c r="AM24" s="25">
        <f>S24/$U$11</f>
        <v>-0.19047619047619047</v>
      </c>
    </row>
    <row r="25" spans="1:39" x14ac:dyDescent="0.35">
      <c r="A25" s="11" t="s">
        <v>119</v>
      </c>
      <c r="B25" s="7" t="s">
        <v>171</v>
      </c>
      <c r="C25" t="s">
        <v>94</v>
      </c>
      <c r="D25" s="31">
        <v>257</v>
      </c>
      <c r="E25" s="35">
        <v>-16</v>
      </c>
      <c r="F25" s="34">
        <f>IF(E25=-100,NA(),D25/(1+E25/100))</f>
        <v>305.95238095238096</v>
      </c>
      <c r="G25" s="36">
        <f>D25-F25</f>
        <v>-48.952380952380963</v>
      </c>
      <c r="H25" s="34">
        <f>D25</f>
        <v>257</v>
      </c>
      <c r="I25" s="34">
        <f>MAX(F25-D25,0)</f>
        <v>48.952380952380963</v>
      </c>
      <c r="J25" s="34">
        <f>0</f>
        <v>0</v>
      </c>
      <c r="K25" s="34">
        <f>0</f>
        <v>0</v>
      </c>
      <c r="L25" s="34">
        <f>0</f>
        <v>0</v>
      </c>
      <c r="M25" s="34">
        <f>N25+G25</f>
        <v>1963.7567567567567</v>
      </c>
      <c r="N25" s="34">
        <f>M24</f>
        <v>2012.7091377091376</v>
      </c>
      <c r="O25" s="34">
        <f>MIN(N25,M25)</f>
        <v>1963.7567567567567</v>
      </c>
      <c r="P25" s="34">
        <f>IF(G25&gt;0,G25,0)</f>
        <v>0</v>
      </c>
      <c r="Q25" s="34">
        <f>IF(G25&lt;0,-G25,0)</f>
        <v>48.952380952380963</v>
      </c>
      <c r="R25" s="24" t="e">
        <f>IF(E25&gt;0,E25,NA())</f>
        <v>#N/A</v>
      </c>
      <c r="S25" s="24">
        <f>IF(E25&lt;0,E25,NA())</f>
        <v>-16</v>
      </c>
      <c r="T25" s="25"/>
      <c r="U25" s="25"/>
      <c r="V25" s="25">
        <f>H25/$T$11</f>
        <v>0.11979164282587904</v>
      </c>
      <c r="W25" s="7" t="str">
        <f>IF(ISNA(H25),"",TEXT(H25,"#,##0"))</f>
        <v>257</v>
      </c>
      <c r="X25" s="25">
        <f>I25/$T$11</f>
        <v>2.2817455776357916E-2</v>
      </c>
      <c r="Y25" s="25">
        <f>J25/$T$11</f>
        <v>0</v>
      </c>
      <c r="Z25" s="7" t="str">
        <f>IF(ISNA(J25),"",TEXT(J25,"#,##0"))</f>
        <v>0</v>
      </c>
      <c r="AA25" s="25">
        <f>K25/$T$11</f>
        <v>0</v>
      </c>
      <c r="AB25" s="7" t="str">
        <f>IF(ISNA(K25),"",TEXT(K25,"#,##0"))</f>
        <v>0</v>
      </c>
      <c r="AC25" s="25">
        <f>L25/$T$11</f>
        <v>0</v>
      </c>
      <c r="AD25" s="7" t="str">
        <f>IF(ISNA(L25),"",TEXT(L25,"#,##0"))</f>
        <v>0</v>
      </c>
      <c r="AE25" s="25">
        <f>O25/$T$11</f>
        <v>0.91533715175996888</v>
      </c>
      <c r="AF25" s="25">
        <f>P25/$T$11</f>
        <v>0</v>
      </c>
      <c r="AG25" s="7" t="str">
        <f>IF(ISNA(P25),"",TEXT(P25,"+#,##0"))</f>
        <v>+0</v>
      </c>
      <c r="AH25" s="25">
        <f>Q25/$T$11</f>
        <v>2.2817455776357916E-2</v>
      </c>
      <c r="AI25" s="7" t="str">
        <f>IF(ISNA(Q25),"",TEXT(Q25,"""-""#,##0"))</f>
        <v>-49</v>
      </c>
      <c r="AJ25" s="25">
        <f>E25/$U$11</f>
        <v>-0.25396825396825395</v>
      </c>
      <c r="AK25" s="7" t="str">
        <f>IF(ISNA(E25),"",TEXT(E25,"+0;-0"))</f>
        <v>-16</v>
      </c>
      <c r="AL25" s="25" t="e">
        <f>R25/$U$11</f>
        <v>#N/A</v>
      </c>
      <c r="AM25" s="25">
        <f>S25/$U$11</f>
        <v>-0.25396825396825395</v>
      </c>
    </row>
    <row r="26" spans="1:39" x14ac:dyDescent="0.35">
      <c r="A26" s="11" t="s">
        <v>195</v>
      </c>
      <c r="B26" s="7" t="s">
        <v>171</v>
      </c>
      <c r="C26" t="s">
        <v>94</v>
      </c>
      <c r="D26" s="31">
        <v>169</v>
      </c>
      <c r="E26" s="35">
        <v>-63</v>
      </c>
      <c r="F26" s="34">
        <f>IF(E26=-100,NA(),D26/(1+E26/100))</f>
        <v>456.75675675675677</v>
      </c>
      <c r="G26" s="36">
        <f>D26-F26</f>
        <v>-287.75675675675677</v>
      </c>
      <c r="H26" s="34">
        <f>D26</f>
        <v>169</v>
      </c>
      <c r="I26" s="34">
        <f>MAX(F26-D26,0)</f>
        <v>287.75675675675677</v>
      </c>
      <c r="J26" s="34">
        <f>0</f>
        <v>0</v>
      </c>
      <c r="K26" s="34">
        <f>0</f>
        <v>0</v>
      </c>
      <c r="L26" s="34">
        <f>0</f>
        <v>0</v>
      </c>
      <c r="M26" s="34">
        <f>N26+G26</f>
        <v>1676</v>
      </c>
      <c r="N26" s="34">
        <f>M25</f>
        <v>1963.7567567567567</v>
      </c>
      <c r="O26" s="34">
        <f>MIN(N26,M26)</f>
        <v>1676</v>
      </c>
      <c r="P26" s="34">
        <f>IF(G26&gt;0,G26,0)</f>
        <v>0</v>
      </c>
      <c r="Q26" s="34">
        <f>IF(G26&lt;0,-G26,0)</f>
        <v>287.75675675675677</v>
      </c>
      <c r="R26" s="24" t="e">
        <f>IF(E26&gt;0,E26,NA())</f>
        <v>#N/A</v>
      </c>
      <c r="S26" s="24">
        <f>IF(E26&lt;0,E26,NA())</f>
        <v>-63</v>
      </c>
      <c r="T26" s="25"/>
      <c r="U26" s="25"/>
      <c r="V26" s="25">
        <f>H26/$T$11</f>
        <v>7.8773492753204499E-2</v>
      </c>
      <c r="W26" s="7" t="str">
        <f>IF(ISNA(H26),"",TEXT(H26,"#,##0"))</f>
        <v>169</v>
      </c>
      <c r="X26" s="25">
        <f>I26/$T$11</f>
        <v>0.13412783901221306</v>
      </c>
      <c r="Y26" s="25">
        <f>J26/$T$11</f>
        <v>0</v>
      </c>
      <c r="Z26" s="7" t="str">
        <f>IF(ISNA(J26),"",TEXT(J26,"#,##0"))</f>
        <v>0</v>
      </c>
      <c r="AA26" s="25">
        <f>K26/$T$11</f>
        <v>0</v>
      </c>
      <c r="AB26" s="7" t="str">
        <f>IF(ISNA(K26),"",TEXT(K26,"#,##0"))</f>
        <v>0</v>
      </c>
      <c r="AC26" s="25">
        <f>L26/$T$11</f>
        <v>0</v>
      </c>
      <c r="AD26" s="7" t="str">
        <f>IF(ISNA(L26),"",TEXT(L26,"#,##0"))</f>
        <v>0</v>
      </c>
      <c r="AE26" s="25">
        <f>O26/$T$11</f>
        <v>0.78120931274775585</v>
      </c>
      <c r="AF26" s="25">
        <f>P26/$T$11</f>
        <v>0</v>
      </c>
      <c r="AG26" s="7" t="str">
        <f>IF(ISNA(P26),"",TEXT(P26,"+#,##0"))</f>
        <v>+0</v>
      </c>
      <c r="AH26" s="25">
        <f>Q26/$T$11</f>
        <v>0.13412783901221306</v>
      </c>
      <c r="AI26" s="7" t="str">
        <f>IF(ISNA(Q26),"",TEXT(Q26,"""-""#,##0"))</f>
        <v>-288</v>
      </c>
      <c r="AJ26" s="25">
        <f>E26/$U$11</f>
        <v>-1</v>
      </c>
      <c r="AK26" s="7" t="str">
        <f>IF(ISNA(E26),"",TEXT(E26,"+0;-0"))</f>
        <v>-63</v>
      </c>
      <c r="AL26" s="25" t="e">
        <f>R26/$U$11</f>
        <v>#N/A</v>
      </c>
      <c r="AM26" s="25">
        <f>S26/$U$11</f>
        <v>-1</v>
      </c>
    </row>
    <row r="27" spans="1:39" x14ac:dyDescent="0.35">
      <c r="A27" s="11" t="s">
        <v>196</v>
      </c>
      <c r="B27" s="7" t="s">
        <v>171</v>
      </c>
      <c r="C27" t="s">
        <v>94</v>
      </c>
      <c r="D27" s="31">
        <v>234</v>
      </c>
      <c r="E27" s="35">
        <v>30</v>
      </c>
      <c r="F27" s="34">
        <f>IF(E27=-100,NA(),D27/(1+E27/100))</f>
        <v>180</v>
      </c>
      <c r="G27" s="36">
        <f>D27-F27</f>
        <v>54</v>
      </c>
      <c r="H27" s="34">
        <f>D27</f>
        <v>234</v>
      </c>
      <c r="I27" s="34">
        <f>MAX(F27-D27,0)</f>
        <v>0</v>
      </c>
      <c r="J27" s="34">
        <f>0</f>
        <v>0</v>
      </c>
      <c r="K27" s="34">
        <f>0</f>
        <v>0</v>
      </c>
      <c r="L27" s="34">
        <f>0</f>
        <v>0</v>
      </c>
      <c r="M27" s="34">
        <f>N27+G27</f>
        <v>1730</v>
      </c>
      <c r="N27" s="34">
        <f>M26</f>
        <v>1676</v>
      </c>
      <c r="O27" s="34">
        <f>MIN(N27,M27)</f>
        <v>1676</v>
      </c>
      <c r="P27" s="34">
        <f>IF(G27&gt;0,G27,0)</f>
        <v>54</v>
      </c>
      <c r="Q27" s="34">
        <f>IF(G27&lt;0,-G27,0)</f>
        <v>0</v>
      </c>
      <c r="R27" s="24">
        <f>IF(E27&gt;0,E27,NA())</f>
        <v>30</v>
      </c>
      <c r="S27" s="24" t="e">
        <f>IF(E27&lt;0,E27,NA())</f>
        <v>#N/A</v>
      </c>
      <c r="T27" s="25"/>
      <c r="U27" s="25"/>
      <c r="V27" s="25">
        <f>H27/$T$11</f>
        <v>0.10907098996597546</v>
      </c>
      <c r="W27" s="7" t="str">
        <f>IF(ISNA(H27),"",TEXT(H27,"#,##0"))</f>
        <v>234</v>
      </c>
      <c r="X27" s="25">
        <f>I27/$T$11</f>
        <v>0</v>
      </c>
      <c r="Y27" s="25">
        <f>J27/$T$11</f>
        <v>0</v>
      </c>
      <c r="Z27" s="7" t="str">
        <f>IF(ISNA(J27),"",TEXT(J27,"#,##0"))</f>
        <v>0</v>
      </c>
      <c r="AA27" s="25">
        <f>K27/$T$11</f>
        <v>0</v>
      </c>
      <c r="AB27" s="7" t="str">
        <f>IF(ISNA(K27),"",TEXT(K27,"#,##0"))</f>
        <v>0</v>
      </c>
      <c r="AC27" s="25">
        <f>L27/$T$11</f>
        <v>0</v>
      </c>
      <c r="AD27" s="7" t="str">
        <f>IF(ISNA(L27),"",TEXT(L27,"#,##0"))</f>
        <v>0</v>
      </c>
      <c r="AE27" s="25">
        <f>O27/$T$11</f>
        <v>0.78120931274775585</v>
      </c>
      <c r="AF27" s="25">
        <f>P27/$T$11</f>
        <v>2.5170228453686643E-2</v>
      </c>
      <c r="AG27" s="7" t="str">
        <f>IF(ISNA(P27),"",TEXT(P27,"+#,##0"))</f>
        <v>+54</v>
      </c>
      <c r="AH27" s="25">
        <f>Q27/$T$11</f>
        <v>0</v>
      </c>
      <c r="AI27" s="7" t="str">
        <f>IF(ISNA(Q27),"",TEXT(Q27,"""-""#,##0"))</f>
        <v>-0</v>
      </c>
      <c r="AJ27" s="25">
        <f>E27/$U$11</f>
        <v>0.47619047619047616</v>
      </c>
      <c r="AK27" s="7" t="str">
        <f>IF(ISNA(E27),"",TEXT(E27,"+0;-0"))</f>
        <v>+30</v>
      </c>
      <c r="AL27" s="25">
        <f>R27/$U$11</f>
        <v>0.47619047619047616</v>
      </c>
      <c r="AM27" s="25" t="e">
        <f>S27/$U$11</f>
        <v>#N/A</v>
      </c>
    </row>
    <row r="28" spans="1:39" x14ac:dyDescent="0.35">
      <c r="A28" s="11" t="s">
        <v>94</v>
      </c>
      <c r="B28" s="7" t="s">
        <v>169</v>
      </c>
      <c r="C28" t="s">
        <v>94</v>
      </c>
      <c r="D28" s="32">
        <f>SUM(D13:D27)</f>
        <v>1730</v>
      </c>
      <c r="E28" s="35">
        <v>-17</v>
      </c>
      <c r="F28" s="34">
        <f>0</f>
        <v>0</v>
      </c>
      <c r="G28" s="36">
        <f>D28-$D$12</f>
        <v>-343.73385359501572</v>
      </c>
      <c r="H28" s="34">
        <f>0</f>
        <v>0</v>
      </c>
      <c r="I28" s="34">
        <f>0</f>
        <v>0</v>
      </c>
      <c r="J28" s="34">
        <f>0</f>
        <v>0</v>
      </c>
      <c r="K28" s="34">
        <f>0</f>
        <v>0</v>
      </c>
      <c r="L28" s="34">
        <f>D28</f>
        <v>1730</v>
      </c>
      <c r="M28" s="34">
        <f>M27</f>
        <v>1730</v>
      </c>
      <c r="N28" s="34">
        <f>M28</f>
        <v>1730</v>
      </c>
      <c r="O28" s="34">
        <f>0</f>
        <v>0</v>
      </c>
      <c r="P28" s="34">
        <f>0</f>
        <v>0</v>
      </c>
      <c r="Q28" s="34">
        <f>0</f>
        <v>0</v>
      </c>
      <c r="R28" s="24" t="e">
        <f>IF(E28&gt;0,E28,NA())</f>
        <v>#N/A</v>
      </c>
      <c r="S28" s="24">
        <f>IF(E28&lt;0,E28,NA())</f>
        <v>-17</v>
      </c>
      <c r="T28" s="25"/>
      <c r="U28" s="25"/>
      <c r="V28" s="25">
        <f>H28/$T$11</f>
        <v>0</v>
      </c>
      <c r="W28" s="7" t="str">
        <f>IF(ISNA(H28),"",TEXT(H28,"#,##0"))</f>
        <v>0</v>
      </c>
      <c r="X28" s="25">
        <f>I28/$T$11</f>
        <v>0</v>
      </c>
      <c r="Y28" s="25">
        <f>J28/$T$11</f>
        <v>0</v>
      </c>
      <c r="Z28" s="7" t="str">
        <f>IF(ISNA(J28),"",TEXT(J28,"#,##0"))</f>
        <v>0</v>
      </c>
      <c r="AA28" s="25">
        <f>K28/$T$11</f>
        <v>0</v>
      </c>
      <c r="AB28" s="7" t="str">
        <f>IF(ISNA(K28),"",TEXT(K28,"#,##0"))</f>
        <v>0</v>
      </c>
      <c r="AC28" s="25">
        <f>L28/$T$11</f>
        <v>0.80637954120144251</v>
      </c>
      <c r="AD28" s="7" t="str">
        <f>IF(ISNA(L28),"",TEXT(L28,"#,##0"))</f>
        <v>1,730</v>
      </c>
      <c r="AE28" s="25">
        <f>O28/$T$11</f>
        <v>0</v>
      </c>
      <c r="AF28" s="25">
        <f>P28/$T$11</f>
        <v>0</v>
      </c>
      <c r="AG28" s="7" t="str">
        <f>IF(ISNA(P28),"",TEXT(P28,"+#,##0"))</f>
        <v>+0</v>
      </c>
      <c r="AH28" s="25">
        <f>Q28/$T$11</f>
        <v>0</v>
      </c>
      <c r="AI28" s="7" t="str">
        <f>IF(ISNA(Q28),"",TEXT(Q28,"""-""#,##0"))</f>
        <v>-0</v>
      </c>
      <c r="AJ28" s="25">
        <f>E28/$U$11</f>
        <v>-0.26984126984126983</v>
      </c>
      <c r="AK28" s="7" t="str">
        <f>IF(ISNA(E28),"",TEXT(E28,"+0;-0"))</f>
        <v>-17</v>
      </c>
      <c r="AL28" s="25" t="e">
        <f>R28/$U$11</f>
        <v>#N/A</v>
      </c>
      <c r="AM28" s="25">
        <f>S28/$U$11</f>
        <v>-0.26984126984126983</v>
      </c>
    </row>
    <row r="29" spans="1:39" x14ac:dyDescent="0.35">
      <c r="A29" s="11" t="s">
        <v>68</v>
      </c>
      <c r="B29" s="7" t="s">
        <v>174</v>
      </c>
      <c r="D29" s="31"/>
      <c r="E29" s="35">
        <v>-17</v>
      </c>
      <c r="F29" s="34">
        <f>0</f>
        <v>0</v>
      </c>
      <c r="G29" s="36">
        <f>$D$28-$D$12</f>
        <v>-343.73385359501572</v>
      </c>
      <c r="H29" s="34">
        <f>0</f>
        <v>0</v>
      </c>
      <c r="I29" s="34">
        <f>0</f>
        <v>0</v>
      </c>
      <c r="J29" s="34">
        <f>0</f>
        <v>0</v>
      </c>
      <c r="K29" s="34">
        <f>0</f>
        <v>0</v>
      </c>
      <c r="L29" s="34">
        <f>0</f>
        <v>0</v>
      </c>
      <c r="M29" s="34">
        <f>$D$12</f>
        <v>2073.7338535950157</v>
      </c>
      <c r="N29" s="34">
        <f>$D$28</f>
        <v>1730</v>
      </c>
      <c r="O29" s="34">
        <f>MIN($D$28,$D$12)</f>
        <v>1730</v>
      </c>
      <c r="P29" s="34">
        <f>IF(G29&gt;0,G29,0)</f>
        <v>0</v>
      </c>
      <c r="Q29" s="34">
        <f>IF(G29&lt;0,-G29,0)</f>
        <v>343.73385359501572</v>
      </c>
      <c r="R29" s="24" t="e">
        <f>NA()</f>
        <v>#N/A</v>
      </c>
      <c r="S29" s="24" t="e">
        <f>NA()</f>
        <v>#N/A</v>
      </c>
      <c r="T29" s="25"/>
      <c r="U29" s="25"/>
      <c r="V29" s="25">
        <f>H29/$T$11</f>
        <v>0</v>
      </c>
      <c r="W29" s="7" t="str">
        <f>IF(ISNA(H29),"",TEXT(H29,"#,##0"))</f>
        <v>0</v>
      </c>
      <c r="X29" s="25">
        <f>I29/$T$11</f>
        <v>0</v>
      </c>
      <c r="Y29" s="25">
        <f>J29/$T$11</f>
        <v>0</v>
      </c>
      <c r="Z29" s="7" t="str">
        <f>IF(ISNA(J29),"",TEXT(J29,"#,##0"))</f>
        <v>0</v>
      </c>
      <c r="AA29" s="25">
        <f>K29/$T$11</f>
        <v>0</v>
      </c>
      <c r="AB29" s="7" t="str">
        <f>IF(ISNA(K29),"",TEXT(K29,"#,##0"))</f>
        <v>0</v>
      </c>
      <c r="AC29" s="25">
        <f>L29/$T$11</f>
        <v>0</v>
      </c>
      <c r="AD29" s="7" t="str">
        <f>IF(ISNA(L29),"",TEXT(L29,"#,##0"))</f>
        <v>0</v>
      </c>
      <c r="AE29" s="25">
        <f>O29/$T$11</f>
        <v>0.80637954120144251</v>
      </c>
      <c r="AF29" s="25">
        <f>P29/$T$11</f>
        <v>0</v>
      </c>
      <c r="AG29" s="7" t="str">
        <f>IF(ISNA(P29),"",TEXT(P29,"+#,##0"))</f>
        <v>+0</v>
      </c>
      <c r="AH29" s="25">
        <f>Q29/$T$11</f>
        <v>0.16021962263430786</v>
      </c>
      <c r="AI29" s="7" t="str">
        <f>IF(ISNA(Q29),"",TEXT(Q29,"""-""#,##0"))</f>
        <v>-344</v>
      </c>
      <c r="AJ29" s="25">
        <f>E29/$U$11</f>
        <v>-0.26984126984126983</v>
      </c>
      <c r="AK29" s="7" t="str">
        <f>IF(ISNA(E29),"",TEXT(E29,"+0;-0"))</f>
        <v>-17</v>
      </c>
      <c r="AL29" s="25" t="e">
        <f>R29/$U$11</f>
        <v>#N/A</v>
      </c>
      <c r="AM29" s="25" t="e">
        <f>S29/$U$11</f>
        <v>#N/A</v>
      </c>
    </row>
    <row r="30" spans="1:39" x14ac:dyDescent="0.35">
      <c r="A30" s="11" t="s">
        <v>173</v>
      </c>
      <c r="B30" s="7" t="s">
        <v>174</v>
      </c>
      <c r="D30" s="31"/>
      <c r="E30" s="35"/>
      <c r="F30" s="34">
        <f>0</f>
        <v>0</v>
      </c>
      <c r="G30" s="36">
        <f>$D$28-$D$11</f>
        <v>83</v>
      </c>
      <c r="H30" s="34">
        <f>0</f>
        <v>0</v>
      </c>
      <c r="I30" s="34">
        <f>0</f>
        <v>0</v>
      </c>
      <c r="J30" s="34">
        <f>0</f>
        <v>0</v>
      </c>
      <c r="K30" s="34">
        <f>0</f>
        <v>0</v>
      </c>
      <c r="L30" s="34">
        <f>0</f>
        <v>0</v>
      </c>
      <c r="M30" s="34">
        <f>$D$28</f>
        <v>1730</v>
      </c>
      <c r="N30" s="34">
        <f>$D$11</f>
        <v>1647</v>
      </c>
      <c r="O30" s="34">
        <f>MIN($D$11,$D$28)</f>
        <v>1647</v>
      </c>
      <c r="P30" s="34">
        <f>IF(G30&gt;0,G30,0)</f>
        <v>83</v>
      </c>
      <c r="Q30" s="34">
        <f>IF(G30&lt;0,-G30,0)</f>
        <v>0</v>
      </c>
      <c r="R30" s="24" t="e">
        <f>NA()</f>
        <v>#N/A</v>
      </c>
      <c r="S30" s="24" t="e">
        <f>NA()</f>
        <v>#N/A</v>
      </c>
      <c r="T30" s="25"/>
      <c r="U30" s="25"/>
      <c r="V30" s="25">
        <f>H30/$T$11</f>
        <v>0</v>
      </c>
      <c r="W30" s="7" t="str">
        <f>IF(ISNA(H30),"",TEXT(H30,"#,##0"))</f>
        <v>0</v>
      </c>
      <c r="X30" s="25">
        <f>I30/$T$11</f>
        <v>0</v>
      </c>
      <c r="Y30" s="25">
        <f>J30/$T$11</f>
        <v>0</v>
      </c>
      <c r="Z30" s="7" t="str">
        <f>IF(ISNA(J30),"",TEXT(J30,"#,##0"))</f>
        <v>0</v>
      </c>
      <c r="AA30" s="25">
        <f>K30/$T$11</f>
        <v>0</v>
      </c>
      <c r="AB30" s="7" t="str">
        <f>IF(ISNA(K30),"",TEXT(K30,"#,##0"))</f>
        <v>0</v>
      </c>
      <c r="AC30" s="25">
        <f>L30/$T$11</f>
        <v>0</v>
      </c>
      <c r="AD30" s="7" t="str">
        <f>IF(ISNA(L30),"",TEXT(L30,"#,##0"))</f>
        <v>0</v>
      </c>
      <c r="AE30" s="25">
        <f>O30/$T$11</f>
        <v>0.76769196783744265</v>
      </c>
      <c r="AF30" s="25">
        <f>P30/$T$11</f>
        <v>3.868757336399984E-2</v>
      </c>
      <c r="AG30" s="7" t="str">
        <f>IF(ISNA(P30),"",TEXT(P30,"+#,##0"))</f>
        <v>+83</v>
      </c>
      <c r="AH30" s="25">
        <f>Q30/$T$11</f>
        <v>0</v>
      </c>
      <c r="AI30" s="7" t="str">
        <f>IF(ISNA(Q30),"",TEXT(Q30,"""-""#,##0"))</f>
        <v>-0</v>
      </c>
      <c r="AJ30" s="25">
        <f>E30/$U$11</f>
        <v>0</v>
      </c>
      <c r="AK30" s="7" t="str">
        <f>IF(ISNA(E30),"",TEXT(E30,"+0;-0"))</f>
        <v>+0</v>
      </c>
      <c r="AL30" s="25" t="e">
        <f>R30/$U$11</f>
        <v>#N/A</v>
      </c>
      <c r="AM30" s="25" t="e">
        <f>S30/$U$11</f>
        <v>#N/A</v>
      </c>
    </row>
  </sheetData>
  <mergeCells count="7">
    <mergeCell ref="B7:AM7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E1373-634D-4C17-8F3B-E1AFC77437B5}">
  <sheetPr>
    <pageSetUpPr fitToPage="1"/>
  </sheetPr>
  <dimension ref="A1:AU30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19" t="s">
        <v>11</v>
      </c>
      <c r="B1" s="9" t="s">
        <v>197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</row>
    <row r="2" spans="1:47" ht="15" customHeight="1" x14ac:dyDescent="0.35">
      <c r="A2" s="19" t="s">
        <v>13</v>
      </c>
      <c r="B2" s="9" t="s">
        <v>198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</row>
    <row r="3" spans="1:47" ht="15" customHeight="1" x14ac:dyDescent="0.35">
      <c r="A3" s="19" t="s">
        <v>15</v>
      </c>
      <c r="B3" s="9" t="s">
        <v>16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</row>
    <row r="4" spans="1:47" ht="15" customHeight="1" x14ac:dyDescent="0.35">
      <c r="A4" s="19" t="s">
        <v>17</v>
      </c>
      <c r="B4" s="9" t="s">
        <v>199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</row>
    <row r="5" spans="1:47" ht="15" customHeight="1" x14ac:dyDescent="0.35">
      <c r="A5" s="19" t="s">
        <v>19</v>
      </c>
      <c r="B5" s="9" t="s">
        <v>65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</row>
    <row r="6" spans="1:47" ht="16.75" customHeight="1" x14ac:dyDescent="0.35">
      <c r="A6" s="19" t="s">
        <v>21</v>
      </c>
      <c r="B6" s="21" t="s">
        <v>200</v>
      </c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</row>
    <row r="7" spans="1:47" ht="15" customHeight="1" x14ac:dyDescent="0.35">
      <c r="A7" s="19" t="s">
        <v>23</v>
      </c>
      <c r="B7" s="20" t="str">
        <f>B2&amp;" in "&amp;B3</f>
        <v>Profit and loss statement in kEUR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</row>
    <row r="8" spans="1:47" ht="15" customHeight="1" x14ac:dyDescent="0.35"/>
    <row r="9" spans="1:47" ht="15" customHeight="1" x14ac:dyDescent="0.35"/>
    <row r="10" spans="1:47" ht="28" customHeight="1" x14ac:dyDescent="0.35">
      <c r="A10" s="6" t="s">
        <v>178</v>
      </c>
      <c r="B10" s="6" t="s">
        <v>201</v>
      </c>
      <c r="C10" s="6" t="s">
        <v>65</v>
      </c>
      <c r="D10" s="6" t="s">
        <v>94</v>
      </c>
      <c r="E10" s="6" t="s">
        <v>68</v>
      </c>
      <c r="F10" s="6" t="s">
        <v>69</v>
      </c>
      <c r="G10" s="6" t="s">
        <v>202</v>
      </c>
      <c r="H10" s="6" t="s">
        <v>203</v>
      </c>
      <c r="I10" s="6" t="s">
        <v>204</v>
      </c>
      <c r="J10" s="6" t="s">
        <v>205</v>
      </c>
      <c r="K10" s="6" t="s">
        <v>206</v>
      </c>
      <c r="L10" s="6" t="s">
        <v>207</v>
      </c>
      <c r="M10" s="6" t="s">
        <v>208</v>
      </c>
      <c r="N10" s="6" t="s">
        <v>209</v>
      </c>
      <c r="O10" s="6" t="s">
        <v>210</v>
      </c>
      <c r="P10" s="6" t="s">
        <v>211</v>
      </c>
      <c r="Q10" s="6" t="s">
        <v>212</v>
      </c>
      <c r="R10" s="6" t="s">
        <v>213</v>
      </c>
      <c r="S10" s="6" t="s">
        <v>214</v>
      </c>
      <c r="T10" s="6" t="s">
        <v>215</v>
      </c>
      <c r="U10" s="6" t="s">
        <v>216</v>
      </c>
      <c r="V10" s="6" t="s">
        <v>217</v>
      </c>
      <c r="W10" s="6" t="s">
        <v>218</v>
      </c>
      <c r="X10" s="6" t="s">
        <v>219</v>
      </c>
      <c r="Y10" s="6" t="s">
        <v>78</v>
      </c>
      <c r="Z10" s="6" t="s">
        <v>220</v>
      </c>
      <c r="AA10" s="6" t="s">
        <v>221</v>
      </c>
      <c r="AB10" s="6" t="s">
        <v>222</v>
      </c>
      <c r="AC10" s="6" t="s">
        <v>223</v>
      </c>
      <c r="AD10" s="6" t="s">
        <v>224</v>
      </c>
      <c r="AE10" s="6" t="s">
        <v>225</v>
      </c>
      <c r="AF10" s="6" t="s">
        <v>226</v>
      </c>
      <c r="AG10" s="6" t="s">
        <v>227</v>
      </c>
      <c r="AH10" s="6" t="s">
        <v>228</v>
      </c>
      <c r="AI10" s="6" t="s">
        <v>229</v>
      </c>
      <c r="AJ10" s="6" t="s">
        <v>83</v>
      </c>
      <c r="AK10" s="6" t="s">
        <v>84</v>
      </c>
      <c r="AL10" s="6" t="s">
        <v>230</v>
      </c>
      <c r="AM10" s="6" t="s">
        <v>231</v>
      </c>
      <c r="AN10" s="6" t="s">
        <v>232</v>
      </c>
      <c r="AO10" s="6" t="s">
        <v>233</v>
      </c>
      <c r="AP10" s="6" t="s">
        <v>234</v>
      </c>
      <c r="AQ10" s="6" t="s">
        <v>235</v>
      </c>
      <c r="AR10" s="6" t="s">
        <v>236</v>
      </c>
      <c r="AS10" s="6" t="s">
        <v>237</v>
      </c>
      <c r="AT10" s="6" t="s">
        <v>238</v>
      </c>
      <c r="AU10" s="6" t="s">
        <v>239</v>
      </c>
    </row>
    <row r="11" spans="1:47" x14ac:dyDescent="0.35">
      <c r="A11" s="11" t="s">
        <v>240</v>
      </c>
      <c r="B11" s="26">
        <v>1</v>
      </c>
      <c r="C11" s="31">
        <v>713</v>
      </c>
      <c r="D11" s="31">
        <v>896</v>
      </c>
      <c r="E11" s="36">
        <f>D11-C11</f>
        <v>183</v>
      </c>
      <c r="F11" s="24">
        <f>IF(C11&lt;=0,NA(),(D11-C11)/C11*100)</f>
        <v>25.666199158485277</v>
      </c>
      <c r="G11" s="34">
        <f>0+B11*C11</f>
        <v>713</v>
      </c>
      <c r="H11" s="34">
        <f>0</f>
        <v>0</v>
      </c>
      <c r="I11" s="34">
        <f>MIN(H11,G11)</f>
        <v>0</v>
      </c>
      <c r="J11" s="34">
        <f>IF(B11&gt;0,ABS(G11-H11),0)</f>
        <v>713</v>
      </c>
      <c r="K11" s="34">
        <f>IF(B11&lt;0,ABS(G11-H11),0)</f>
        <v>0</v>
      </c>
      <c r="L11" s="34">
        <f>0+B11*D11</f>
        <v>896</v>
      </c>
      <c r="M11" s="34">
        <f>0</f>
        <v>0</v>
      </c>
      <c r="N11" s="34">
        <f>MIN(M11,L11)</f>
        <v>0</v>
      </c>
      <c r="O11" s="34">
        <f>IF(B11&gt;0,ABS(L11-M11),0)</f>
        <v>896</v>
      </c>
      <c r="P11" s="34">
        <f>IF(B11&lt;0,ABS(L11-M11),0)</f>
        <v>0</v>
      </c>
      <c r="Q11" s="36">
        <f>IF(AND($E11&gt;0,$B11&gt;0),$E11,NA())</f>
        <v>183</v>
      </c>
      <c r="R11" s="36" t="e">
        <f>IF(AND($E11&gt;0,$B11&lt;0),$E11,NA())</f>
        <v>#N/A</v>
      </c>
      <c r="S11" s="36" t="e">
        <f>IF(AND($E11&lt;0,$B11&lt;0),$E11,NA())</f>
        <v>#N/A</v>
      </c>
      <c r="T11" s="36" t="e">
        <f>IF(AND($E11&lt;0,$B11&gt;0),$E11,NA())</f>
        <v>#N/A</v>
      </c>
      <c r="U11" s="24">
        <f>IF(AND($F11&gt;0,$B11&gt;0),$F11,NA())</f>
        <v>25.666199158485277</v>
      </c>
      <c r="V11" s="24" t="e">
        <f>IF(AND($F11&gt;0,$B11&lt;0),$F11,NA())</f>
        <v>#N/A</v>
      </c>
      <c r="W11" s="24" t="e">
        <f>IF(AND($F11&lt;0,$B11&lt;0),$F11,NA())</f>
        <v>#N/A</v>
      </c>
      <c r="X11" s="24" t="e">
        <f>IF(AND($F11&lt;0,$B11&gt;0),$F11,NA())</f>
        <v>#N/A</v>
      </c>
      <c r="Y11" s="25">
        <f>MAX(_xlfn.AGGREGATE(4,6,I11:I30,J11:J30,K11:K30,N11:N30,O11:O30,P11:P30,E11:E30,Q11:Q30,R11:R30,S11:S30,T11:T30),-_xlfn.AGGREGATE(5,6,I11:I30,J11:J30,K11:K30,N11:N30,O11:O30,P11:P30,E11:E30,Q11:Q30,R11:R30,S11:S30,T11:T30),0.000000001)</f>
        <v>1061</v>
      </c>
      <c r="Z11" s="25">
        <f>I11/$Y$11</f>
        <v>0</v>
      </c>
      <c r="AA11" s="25">
        <f>J11/$Y$11</f>
        <v>0.67200754005655039</v>
      </c>
      <c r="AB11" s="7" t="str">
        <f>IF(ISNA(J11),"",TEXT(J11,"#,##0"))</f>
        <v>713</v>
      </c>
      <c r="AC11" s="25">
        <f>K11/$Y$11</f>
        <v>0</v>
      </c>
      <c r="AD11" s="7" t="str">
        <f>IF(ISNA(K11),"",TEXT(K11,"#,##0"))</f>
        <v>0</v>
      </c>
      <c r="AE11" s="25">
        <f>N11/$Y$11</f>
        <v>0</v>
      </c>
      <c r="AF11" s="25">
        <f>O11/$Y$11</f>
        <v>0.84448633364750236</v>
      </c>
      <c r="AG11" s="7" t="str">
        <f>IF(ISNA(O11),"",TEXT(O11,"#,##0"))</f>
        <v>896</v>
      </c>
      <c r="AH11" s="25">
        <f>P11/$Y$11</f>
        <v>0</v>
      </c>
      <c r="AI11" s="7" t="str">
        <f>IF(ISNA(P11),"",TEXT(P11,"#,##0"))</f>
        <v>0</v>
      </c>
      <c r="AJ11" s="25">
        <f>E11/$Y$11</f>
        <v>0.17247879359095195</v>
      </c>
      <c r="AK11" s="7" t="str">
        <f>IF(ISNA(E11),"",TEXT(E11,"+0;-0"))</f>
        <v>+183</v>
      </c>
      <c r="AL11" s="25">
        <f>Q11/$Y$11</f>
        <v>0.17247879359095195</v>
      </c>
      <c r="AM11" s="25" t="e">
        <f>R11/$Y$11</f>
        <v>#N/A</v>
      </c>
      <c r="AN11" s="25" t="e">
        <f>S11/$Y$11</f>
        <v>#N/A</v>
      </c>
      <c r="AO11" s="25" t="e">
        <f>T11/$Y$11</f>
        <v>#N/A</v>
      </c>
      <c r="AP11" s="7">
        <f>IF(ISNA(F11),NA(),MEDIAN(-31.5,F11,238.5))</f>
        <v>25.666199158485277</v>
      </c>
      <c r="AQ11" s="7">
        <f>IF(ISNA(U11),NA(),MEDIAN(-31.5,U11,238.5))</f>
        <v>25.666199158485277</v>
      </c>
      <c r="AR11" s="7" t="e">
        <f>IF(ISNA(V11),NA(),MEDIAN(-31.5,V11,238.5))</f>
        <v>#N/A</v>
      </c>
      <c r="AS11" s="7" t="e">
        <f>IF(ISNA(W11),NA(),MEDIAN(-31.5,W11,238.5))</f>
        <v>#N/A</v>
      </c>
      <c r="AT11" s="7" t="e">
        <f>IF(ISNA(X11),NA(),MEDIAN(-31.5,X11,238.5))</f>
        <v>#N/A</v>
      </c>
      <c r="AU11" s="7" t="str">
        <f>IF(ISNA(F11),"",IF(F11&gt;265,TEXT(F11,"+0;-0")&amp;REPT(_xlfn.UNICHAR(9658),MIN(3,MAX(1,INT(F11/265)))),IF(F11&lt;-35,REPT(_xlfn.UNICHAR(9668),MIN(3,MAX(1,INT(-F11/35))))&amp;TEXT(F11,"+0;-0"),TEXT(F11,"+0;-0"))))</f>
        <v>+26</v>
      </c>
    </row>
    <row r="12" spans="1:47" x14ac:dyDescent="0.35">
      <c r="A12" s="11" t="s">
        <v>241</v>
      </c>
      <c r="B12" s="26">
        <v>1</v>
      </c>
      <c r="C12" s="31">
        <v>72</v>
      </c>
      <c r="D12" s="31">
        <v>90</v>
      </c>
      <c r="E12" s="36">
        <f>D12-C12</f>
        <v>18</v>
      </c>
      <c r="F12" s="24">
        <f>IF(C12&lt;=0,NA(),(D12-C12)/C12*100)</f>
        <v>25</v>
      </c>
      <c r="G12" s="34">
        <f>G11+B12*C12</f>
        <v>785</v>
      </c>
      <c r="H12" s="34">
        <f>G11</f>
        <v>713</v>
      </c>
      <c r="I12" s="34">
        <f>MIN(H12,G12)</f>
        <v>713</v>
      </c>
      <c r="J12" s="34">
        <f>IF(B12&gt;0,ABS(G12-H12),0)</f>
        <v>72</v>
      </c>
      <c r="K12" s="34">
        <f>IF(B12&lt;0,ABS(G12-H12),0)</f>
        <v>0</v>
      </c>
      <c r="L12" s="34">
        <f>L11+B12*D12</f>
        <v>986</v>
      </c>
      <c r="M12" s="34">
        <f>L11</f>
        <v>896</v>
      </c>
      <c r="N12" s="34">
        <f>MIN(M12,L12)</f>
        <v>896</v>
      </c>
      <c r="O12" s="34">
        <f>IF(B12&gt;0,ABS(L12-M12),0)</f>
        <v>90</v>
      </c>
      <c r="P12" s="34">
        <f>IF(B12&lt;0,ABS(L12-M12),0)</f>
        <v>0</v>
      </c>
      <c r="Q12" s="36">
        <f>IF(AND($E12&gt;0,$B12&gt;0),$E12,NA())</f>
        <v>18</v>
      </c>
      <c r="R12" s="36" t="e">
        <f>IF(AND($E12&gt;0,$B12&lt;0),$E12,NA())</f>
        <v>#N/A</v>
      </c>
      <c r="S12" s="36" t="e">
        <f>IF(AND($E12&lt;0,$B12&lt;0),$E12,NA())</f>
        <v>#N/A</v>
      </c>
      <c r="T12" s="36" t="e">
        <f>IF(AND($E12&lt;0,$B12&gt;0),$E12,NA())</f>
        <v>#N/A</v>
      </c>
      <c r="U12" s="24">
        <f>IF(AND($F12&gt;0,$B12&gt;0),$F12,NA())</f>
        <v>25</v>
      </c>
      <c r="V12" s="24" t="e">
        <f>IF(AND($F12&gt;0,$B12&lt;0),$F12,NA())</f>
        <v>#N/A</v>
      </c>
      <c r="W12" s="24" t="e">
        <f>IF(AND($F12&lt;0,$B12&lt;0),$F12,NA())</f>
        <v>#N/A</v>
      </c>
      <c r="X12" s="24" t="e">
        <f>IF(AND($F12&lt;0,$B12&gt;0),$F12,NA())</f>
        <v>#N/A</v>
      </c>
      <c r="Y12" s="25"/>
      <c r="Z12" s="25">
        <f>I12/$Y$11</f>
        <v>0.67200754005655039</v>
      </c>
      <c r="AA12" s="25">
        <f>J12/$Y$11</f>
        <v>6.786050895381715E-2</v>
      </c>
      <c r="AB12" s="7" t="str">
        <f>IF(ISNA(J12),"",TEXT(J12,"#,##0"))</f>
        <v>72</v>
      </c>
      <c r="AC12" s="25">
        <f>K12/$Y$11</f>
        <v>0</v>
      </c>
      <c r="AD12" s="7" t="str">
        <f>IF(ISNA(K12),"",TEXT(K12,"#,##0"))</f>
        <v>0</v>
      </c>
      <c r="AE12" s="25">
        <f>N12/$Y$11</f>
        <v>0.84448633364750236</v>
      </c>
      <c r="AF12" s="25">
        <f>O12/$Y$11</f>
        <v>8.4825636192271445E-2</v>
      </c>
      <c r="AG12" s="7" t="str">
        <f>IF(ISNA(O12),"",TEXT(O12,"#,##0"))</f>
        <v>90</v>
      </c>
      <c r="AH12" s="25">
        <f>P12/$Y$11</f>
        <v>0</v>
      </c>
      <c r="AI12" s="7" t="str">
        <f>IF(ISNA(P12),"",TEXT(P12,"#,##0"))</f>
        <v>0</v>
      </c>
      <c r="AJ12" s="25">
        <f>E12/$Y$11</f>
        <v>1.6965127238454288E-2</v>
      </c>
      <c r="AK12" s="7" t="str">
        <f>IF(ISNA(E12),"",TEXT(E12,"+0;-0"))</f>
        <v>+18</v>
      </c>
      <c r="AL12" s="25">
        <f>Q12/$Y$11</f>
        <v>1.6965127238454288E-2</v>
      </c>
      <c r="AM12" s="25" t="e">
        <f>R12/$Y$11</f>
        <v>#N/A</v>
      </c>
      <c r="AN12" s="25" t="e">
        <f>S12/$Y$11</f>
        <v>#N/A</v>
      </c>
      <c r="AO12" s="25" t="e">
        <f>T12/$Y$11</f>
        <v>#N/A</v>
      </c>
      <c r="AP12" s="7">
        <f>IF(ISNA(F12),NA(),MEDIAN(-31.5,F12,238.5))</f>
        <v>25</v>
      </c>
      <c r="AQ12" s="7">
        <f>IF(ISNA(U12),NA(),MEDIAN(-31.5,U12,238.5))</f>
        <v>25</v>
      </c>
      <c r="AR12" s="7" t="e">
        <f>IF(ISNA(V12),NA(),MEDIAN(-31.5,V12,238.5))</f>
        <v>#N/A</v>
      </c>
      <c r="AS12" s="7" t="e">
        <f>IF(ISNA(W12),NA(),MEDIAN(-31.5,W12,238.5))</f>
        <v>#N/A</v>
      </c>
      <c r="AT12" s="7" t="e">
        <f>IF(ISNA(X12),NA(),MEDIAN(-31.5,X12,238.5))</f>
        <v>#N/A</v>
      </c>
      <c r="AU12" s="7" t="str">
        <f>IF(ISNA(F12),"",IF(F12&gt;265,TEXT(F12,"+0;-0")&amp;REPT(_xlfn.UNICHAR(9658),MIN(3,MAX(1,INT(F12/265)))),IF(F12&lt;-35,REPT(_xlfn.UNICHAR(9668),MIN(3,MAX(1,INT(-F12/35))))&amp;TEXT(F12,"+0;-0"),TEXT(F12,"+0;-0"))))</f>
        <v>+25</v>
      </c>
    </row>
    <row r="13" spans="1:47" x14ac:dyDescent="0.35">
      <c r="A13" s="11" t="s">
        <v>242</v>
      </c>
      <c r="B13" s="26">
        <v>1</v>
      </c>
      <c r="C13" s="31">
        <v>22</v>
      </c>
      <c r="D13" s="31">
        <v>10</v>
      </c>
      <c r="E13" s="36">
        <f>D13-C13</f>
        <v>-12</v>
      </c>
      <c r="F13" s="24">
        <f>IF(C13&lt;=0,NA(),(D13-C13)/C13*100)</f>
        <v>-54.54545454545454</v>
      </c>
      <c r="G13" s="34">
        <f>G12+B13*C13</f>
        <v>807</v>
      </c>
      <c r="H13" s="34">
        <f>G12</f>
        <v>785</v>
      </c>
      <c r="I13" s="34">
        <f>MIN(H13,G13)</f>
        <v>785</v>
      </c>
      <c r="J13" s="34">
        <f>IF(B13&gt;0,ABS(G13-H13),0)</f>
        <v>22</v>
      </c>
      <c r="K13" s="34">
        <f>IF(B13&lt;0,ABS(G13-H13),0)</f>
        <v>0</v>
      </c>
      <c r="L13" s="34">
        <f>L12+B13*D13</f>
        <v>996</v>
      </c>
      <c r="M13" s="34">
        <f>L12</f>
        <v>986</v>
      </c>
      <c r="N13" s="34">
        <f>MIN(M13,L13)</f>
        <v>986</v>
      </c>
      <c r="O13" s="34">
        <f>IF(B13&gt;0,ABS(L13-M13),0)</f>
        <v>10</v>
      </c>
      <c r="P13" s="34">
        <f>IF(B13&lt;0,ABS(L13-M13),0)</f>
        <v>0</v>
      </c>
      <c r="Q13" s="36" t="e">
        <f>IF(AND($E13&gt;0,$B13&gt;0),$E13,NA())</f>
        <v>#N/A</v>
      </c>
      <c r="R13" s="36" t="e">
        <f>IF(AND($E13&gt;0,$B13&lt;0),$E13,NA())</f>
        <v>#N/A</v>
      </c>
      <c r="S13" s="36" t="e">
        <f>IF(AND($E13&lt;0,$B13&lt;0),$E13,NA())</f>
        <v>#N/A</v>
      </c>
      <c r="T13" s="36">
        <f>IF(AND($E13&lt;0,$B13&gt;0),$E13,NA())</f>
        <v>-12</v>
      </c>
      <c r="U13" s="24" t="e">
        <f>IF(AND($F13&gt;0,$B13&gt;0),$F13,NA())</f>
        <v>#N/A</v>
      </c>
      <c r="V13" s="24" t="e">
        <f>IF(AND($F13&gt;0,$B13&lt;0),$F13,NA())</f>
        <v>#N/A</v>
      </c>
      <c r="W13" s="24" t="e">
        <f>IF(AND($F13&lt;0,$B13&lt;0),$F13,NA())</f>
        <v>#N/A</v>
      </c>
      <c r="X13" s="24">
        <f>IF(AND($F13&lt;0,$B13&gt;0),$F13,NA())</f>
        <v>-54.54545454545454</v>
      </c>
      <c r="Y13" s="25"/>
      <c r="Z13" s="25">
        <f>I13/$Y$11</f>
        <v>0.73986804901036762</v>
      </c>
      <c r="AA13" s="25">
        <f>J13/$Y$11</f>
        <v>2.0735155513666354E-2</v>
      </c>
      <c r="AB13" s="7" t="str">
        <f>IF(ISNA(J13),"",TEXT(J13,"#,##0"))</f>
        <v>22</v>
      </c>
      <c r="AC13" s="25">
        <f>K13/$Y$11</f>
        <v>0</v>
      </c>
      <c r="AD13" s="7" t="str">
        <f>IF(ISNA(K13),"",TEXT(K13,"#,##0"))</f>
        <v>0</v>
      </c>
      <c r="AE13" s="25">
        <f>N13/$Y$11</f>
        <v>0.92931196983977382</v>
      </c>
      <c r="AF13" s="25">
        <f>O13/$Y$11</f>
        <v>9.4250706880301596E-3</v>
      </c>
      <c r="AG13" s="7" t="str">
        <f>IF(ISNA(O13),"",TEXT(O13,"#,##0"))</f>
        <v>10</v>
      </c>
      <c r="AH13" s="25">
        <f>P13/$Y$11</f>
        <v>0</v>
      </c>
      <c r="AI13" s="7" t="str">
        <f>IF(ISNA(P13),"",TEXT(P13,"#,##0"))</f>
        <v>0</v>
      </c>
      <c r="AJ13" s="25">
        <f>E13/$Y$11</f>
        <v>-1.1310084825636193E-2</v>
      </c>
      <c r="AK13" s="7" t="str">
        <f>IF(ISNA(E13),"",TEXT(E13,"+0;-0"))</f>
        <v>-12</v>
      </c>
      <c r="AL13" s="25" t="e">
        <f>Q13/$Y$11</f>
        <v>#N/A</v>
      </c>
      <c r="AM13" s="25" t="e">
        <f>R13/$Y$11</f>
        <v>#N/A</v>
      </c>
      <c r="AN13" s="25" t="e">
        <f>S13/$Y$11</f>
        <v>#N/A</v>
      </c>
      <c r="AO13" s="25">
        <f>T13/$Y$11</f>
        <v>-1.1310084825636193E-2</v>
      </c>
      <c r="AP13" s="7">
        <f>IF(ISNA(F13),NA(),MEDIAN(-31.5,F13,238.5))</f>
        <v>-31.5</v>
      </c>
      <c r="AQ13" s="7" t="e">
        <f>IF(ISNA(U13),NA(),MEDIAN(-31.5,U13,238.5))</f>
        <v>#N/A</v>
      </c>
      <c r="AR13" s="7" t="e">
        <f>IF(ISNA(V13),NA(),MEDIAN(-31.5,V13,238.5))</f>
        <v>#N/A</v>
      </c>
      <c r="AS13" s="7" t="e">
        <f>IF(ISNA(W13),NA(),MEDIAN(-31.5,W13,238.5))</f>
        <v>#N/A</v>
      </c>
      <c r="AT13" s="7">
        <f>IF(ISNA(X13),NA(),MEDIAN(-31.5,X13,238.5))</f>
        <v>-31.5</v>
      </c>
      <c r="AU13" s="7" t="str">
        <f>IF(ISNA(F13),"",IF(F13&gt;265,TEXT(F13,"+0;-0")&amp;REPT(_xlfn.UNICHAR(9658),MIN(3,MAX(1,INT(F13/265)))),IF(F13&lt;-35,REPT(_xlfn.UNICHAR(9668),MIN(3,MAX(1,INT(-F13/35))))&amp;TEXT(F13,"+0;-0"),TEXT(F13,"+0;-0"))))</f>
        <v>◄-55</v>
      </c>
    </row>
    <row r="14" spans="1:47" x14ac:dyDescent="0.35">
      <c r="A14" s="11" t="s">
        <v>243</v>
      </c>
      <c r="B14" s="26">
        <v>1</v>
      </c>
      <c r="C14" s="31">
        <v>6</v>
      </c>
      <c r="D14" s="31">
        <v>65</v>
      </c>
      <c r="E14" s="36">
        <f>D14-C14</f>
        <v>59</v>
      </c>
      <c r="F14" s="24">
        <f>IF(C14&lt;=0,NA(),(D14-C14)/C14*100)</f>
        <v>983.33333333333337</v>
      </c>
      <c r="G14" s="34">
        <f>G13+B14*C14</f>
        <v>813</v>
      </c>
      <c r="H14" s="34">
        <f>G13</f>
        <v>807</v>
      </c>
      <c r="I14" s="34">
        <f>MIN(H14,G14)</f>
        <v>807</v>
      </c>
      <c r="J14" s="34">
        <f>IF(B14&gt;0,ABS(G14-H14),0)</f>
        <v>6</v>
      </c>
      <c r="K14" s="34">
        <f>IF(B14&lt;0,ABS(G14-H14),0)</f>
        <v>0</v>
      </c>
      <c r="L14" s="34">
        <f>L13+B14*D14</f>
        <v>1061</v>
      </c>
      <c r="M14" s="34">
        <f>L13</f>
        <v>996</v>
      </c>
      <c r="N14" s="34">
        <f>MIN(M14,L14)</f>
        <v>996</v>
      </c>
      <c r="O14" s="34">
        <f>IF(B14&gt;0,ABS(L14-M14),0)</f>
        <v>65</v>
      </c>
      <c r="P14" s="34">
        <f>IF(B14&lt;0,ABS(L14-M14),0)</f>
        <v>0</v>
      </c>
      <c r="Q14" s="36">
        <f>IF(AND($E14&gt;0,$B14&gt;0),$E14,NA())</f>
        <v>59</v>
      </c>
      <c r="R14" s="36" t="e">
        <f>IF(AND($E14&gt;0,$B14&lt;0),$E14,NA())</f>
        <v>#N/A</v>
      </c>
      <c r="S14" s="36" t="e">
        <f>IF(AND($E14&lt;0,$B14&lt;0),$E14,NA())</f>
        <v>#N/A</v>
      </c>
      <c r="T14" s="36" t="e">
        <f>IF(AND($E14&lt;0,$B14&gt;0),$E14,NA())</f>
        <v>#N/A</v>
      </c>
      <c r="U14" s="24">
        <f>IF(AND($F14&gt;0,$B14&gt;0),$F14,NA())</f>
        <v>983.33333333333337</v>
      </c>
      <c r="V14" s="24" t="e">
        <f>IF(AND($F14&gt;0,$B14&lt;0),$F14,NA())</f>
        <v>#N/A</v>
      </c>
      <c r="W14" s="24" t="e">
        <f>IF(AND($F14&lt;0,$B14&lt;0),$F14,NA())</f>
        <v>#N/A</v>
      </c>
      <c r="X14" s="24" t="e">
        <f>IF(AND($F14&lt;0,$B14&gt;0),$F14,NA())</f>
        <v>#N/A</v>
      </c>
      <c r="Y14" s="25"/>
      <c r="Z14" s="25">
        <f>I14/$Y$11</f>
        <v>0.76060320452403396</v>
      </c>
      <c r="AA14" s="25">
        <f>J14/$Y$11</f>
        <v>5.6550424128180964E-3</v>
      </c>
      <c r="AB14" s="7" t="str">
        <f>IF(ISNA(J14),"",TEXT(J14,"#,##0"))</f>
        <v>6</v>
      </c>
      <c r="AC14" s="25">
        <f>K14/$Y$11</f>
        <v>0</v>
      </c>
      <c r="AD14" s="7" t="str">
        <f>IF(ISNA(K14),"",TEXT(K14,"#,##0"))</f>
        <v>0</v>
      </c>
      <c r="AE14" s="25">
        <f>N14/$Y$11</f>
        <v>0.93873704052780393</v>
      </c>
      <c r="AF14" s="25">
        <f>O14/$Y$11</f>
        <v>6.1262959472196045E-2</v>
      </c>
      <c r="AG14" s="7" t="str">
        <f>IF(ISNA(O14),"",TEXT(O14,"#,##0"))</f>
        <v>65</v>
      </c>
      <c r="AH14" s="25">
        <f>P14/$Y$11</f>
        <v>0</v>
      </c>
      <c r="AI14" s="7" t="str">
        <f>IF(ISNA(P14),"",TEXT(P14,"#,##0"))</f>
        <v>0</v>
      </c>
      <c r="AJ14" s="25">
        <f>E14/$Y$11</f>
        <v>5.5607917059377947E-2</v>
      </c>
      <c r="AK14" s="7" t="str">
        <f>IF(ISNA(E14),"",TEXT(E14,"+0;-0"))</f>
        <v>+59</v>
      </c>
      <c r="AL14" s="25">
        <f>Q14/$Y$11</f>
        <v>5.5607917059377947E-2</v>
      </c>
      <c r="AM14" s="25" t="e">
        <f>R14/$Y$11</f>
        <v>#N/A</v>
      </c>
      <c r="AN14" s="25" t="e">
        <f>S14/$Y$11</f>
        <v>#N/A</v>
      </c>
      <c r="AO14" s="25" t="e">
        <f>T14/$Y$11</f>
        <v>#N/A</v>
      </c>
      <c r="AP14" s="7">
        <f>IF(ISNA(F14),NA(),MEDIAN(-31.5,F14,238.5))</f>
        <v>238.5</v>
      </c>
      <c r="AQ14" s="7">
        <f>IF(ISNA(U14),NA(),MEDIAN(-31.5,U14,238.5))</f>
        <v>238.5</v>
      </c>
      <c r="AR14" s="7" t="e">
        <f>IF(ISNA(V14),NA(),MEDIAN(-31.5,V14,238.5))</f>
        <v>#N/A</v>
      </c>
      <c r="AS14" s="7" t="e">
        <f>IF(ISNA(W14),NA(),MEDIAN(-31.5,W14,238.5))</f>
        <v>#N/A</v>
      </c>
      <c r="AT14" s="7" t="e">
        <f>IF(ISNA(X14),NA(),MEDIAN(-31.5,X14,238.5))</f>
        <v>#N/A</v>
      </c>
      <c r="AU14" s="7" t="str">
        <f>IF(ISNA(F14),"",IF(F14&gt;265,TEXT(F14,"+0;-0")&amp;REPT(_xlfn.UNICHAR(9658),MIN(3,MAX(1,INT(F14/265)))),IF(F14&lt;-35,REPT(_xlfn.UNICHAR(9668),MIN(3,MAX(1,INT(-F14/35))))&amp;TEXT(F14,"+0;-0"),TEXT(F14,"+0;-0"))))</f>
        <v>+983►►►</v>
      </c>
    </row>
    <row r="15" spans="1:47" x14ac:dyDescent="0.35">
      <c r="A15" s="11" t="s">
        <v>244</v>
      </c>
      <c r="B15" s="26">
        <v>1</v>
      </c>
      <c r="C15" s="32">
        <f>G14</f>
        <v>813</v>
      </c>
      <c r="D15" s="32">
        <f>L14</f>
        <v>1061</v>
      </c>
      <c r="E15" s="36">
        <f>D15-C15</f>
        <v>248</v>
      </c>
      <c r="F15" s="24">
        <f>IF(C15&lt;=0,NA(),(D15-C15)/C15*100)</f>
        <v>30.504305043050429</v>
      </c>
      <c r="G15" s="34">
        <f>G14</f>
        <v>813</v>
      </c>
      <c r="H15" s="34">
        <f>0</f>
        <v>0</v>
      </c>
      <c r="I15" s="34">
        <f>MIN(H15,G15)</f>
        <v>0</v>
      </c>
      <c r="J15" s="34">
        <f>IF(B15&gt;0,ABS(G15-H15),0)</f>
        <v>813</v>
      </c>
      <c r="K15" s="34">
        <f>IF(B15&lt;0,ABS(G15-H15),0)</f>
        <v>0</v>
      </c>
      <c r="L15" s="34">
        <f>L14</f>
        <v>1061</v>
      </c>
      <c r="M15" s="34">
        <f>0</f>
        <v>0</v>
      </c>
      <c r="N15" s="34">
        <f>MIN(M15,L15)</f>
        <v>0</v>
      </c>
      <c r="O15" s="34">
        <f>IF(B15&gt;0,ABS(L15-M15),0)</f>
        <v>1061</v>
      </c>
      <c r="P15" s="34">
        <f>IF(B15&lt;0,ABS(L15-M15),0)</f>
        <v>0</v>
      </c>
      <c r="Q15" s="36">
        <f>IF(AND($E15&gt;0,$B15&gt;0),$E15,NA())</f>
        <v>248</v>
      </c>
      <c r="R15" s="36" t="e">
        <f>IF(AND($E15&gt;0,$B15&lt;0),$E15,NA())</f>
        <v>#N/A</v>
      </c>
      <c r="S15" s="36" t="e">
        <f>IF(AND($E15&lt;0,$B15&lt;0),$E15,NA())</f>
        <v>#N/A</v>
      </c>
      <c r="T15" s="36" t="e">
        <f>IF(AND($E15&lt;0,$B15&gt;0),$E15,NA())</f>
        <v>#N/A</v>
      </c>
      <c r="U15" s="24">
        <f>IF(AND($F15&gt;0,$B15&gt;0),$F15,NA())</f>
        <v>30.504305043050429</v>
      </c>
      <c r="V15" s="24" t="e">
        <f>IF(AND($F15&gt;0,$B15&lt;0),$F15,NA())</f>
        <v>#N/A</v>
      </c>
      <c r="W15" s="24" t="e">
        <f>IF(AND($F15&lt;0,$B15&lt;0),$F15,NA())</f>
        <v>#N/A</v>
      </c>
      <c r="X15" s="24" t="e">
        <f>IF(AND($F15&lt;0,$B15&gt;0),$F15,NA())</f>
        <v>#N/A</v>
      </c>
      <c r="Y15" s="25"/>
      <c r="Z15" s="25">
        <f>I15/$Y$11</f>
        <v>0</v>
      </c>
      <c r="AA15" s="25">
        <f>J15/$Y$11</f>
        <v>0.76625824693685207</v>
      </c>
      <c r="AB15" s="7" t="str">
        <f>IF(ISNA(J15),"",TEXT(J15,"#,##0"))</f>
        <v>813</v>
      </c>
      <c r="AC15" s="25">
        <f>K15/$Y$11</f>
        <v>0</v>
      </c>
      <c r="AD15" s="7" t="str">
        <f>IF(ISNA(K15),"",TEXT(K15,"#,##0"))</f>
        <v>0</v>
      </c>
      <c r="AE15" s="25">
        <f>N15/$Y$11</f>
        <v>0</v>
      </c>
      <c r="AF15" s="25">
        <f>O15/$Y$11</f>
        <v>1</v>
      </c>
      <c r="AG15" s="7" t="str">
        <f>IF(ISNA(O15),"",TEXT(O15,"#,##0"))</f>
        <v>1,061</v>
      </c>
      <c r="AH15" s="25">
        <f>P15/$Y$11</f>
        <v>0</v>
      </c>
      <c r="AI15" s="7" t="str">
        <f>IF(ISNA(P15),"",TEXT(P15,"#,##0"))</f>
        <v>0</v>
      </c>
      <c r="AJ15" s="25">
        <f>E15/$Y$11</f>
        <v>0.23374175306314798</v>
      </c>
      <c r="AK15" s="7" t="str">
        <f>IF(ISNA(E15),"",TEXT(E15,"+0;-0"))</f>
        <v>+248</v>
      </c>
      <c r="AL15" s="25">
        <f>Q15/$Y$11</f>
        <v>0.23374175306314798</v>
      </c>
      <c r="AM15" s="25" t="e">
        <f>R15/$Y$11</f>
        <v>#N/A</v>
      </c>
      <c r="AN15" s="25" t="e">
        <f>S15/$Y$11</f>
        <v>#N/A</v>
      </c>
      <c r="AO15" s="25" t="e">
        <f>T15/$Y$11</f>
        <v>#N/A</v>
      </c>
      <c r="AP15" s="7">
        <f>IF(ISNA(F15),NA(),MEDIAN(-31.5,F15,238.5))</f>
        <v>30.504305043050429</v>
      </c>
      <c r="AQ15" s="7">
        <f>IF(ISNA(U15),NA(),MEDIAN(-31.5,U15,238.5))</f>
        <v>30.504305043050429</v>
      </c>
      <c r="AR15" s="7" t="e">
        <f>IF(ISNA(V15),NA(),MEDIAN(-31.5,V15,238.5))</f>
        <v>#N/A</v>
      </c>
      <c r="AS15" s="7" t="e">
        <f>IF(ISNA(W15),NA(),MEDIAN(-31.5,W15,238.5))</f>
        <v>#N/A</v>
      </c>
      <c r="AT15" s="7" t="e">
        <f>IF(ISNA(X15),NA(),MEDIAN(-31.5,X15,238.5))</f>
        <v>#N/A</v>
      </c>
      <c r="AU15" s="7" t="str">
        <f>IF(ISNA(F15),"",IF(F15&gt;265,TEXT(F15,"+0;-0")&amp;REPT(_xlfn.UNICHAR(9658),MIN(3,MAX(1,INT(F15/265)))),IF(F15&lt;-35,REPT(_xlfn.UNICHAR(9668),MIN(3,MAX(1,INT(-F15/35))))&amp;TEXT(F15,"+0;-0"),TEXT(F15,"+0;-0"))))</f>
        <v>+31</v>
      </c>
    </row>
    <row r="16" spans="1:47" x14ac:dyDescent="0.35">
      <c r="A16" s="11" t="s">
        <v>245</v>
      </c>
      <c r="B16" s="26">
        <v>1</v>
      </c>
      <c r="C16" s="31">
        <v>45</v>
      </c>
      <c r="D16" s="31">
        <v>17</v>
      </c>
      <c r="E16" s="36">
        <f>D16-C16</f>
        <v>-28</v>
      </c>
      <c r="F16" s="24">
        <f>IF(C16&lt;=0,NA(),(D16-C16)/C16*100)</f>
        <v>-62.222222222222221</v>
      </c>
      <c r="G16" s="34">
        <f>G15+B16*C16</f>
        <v>858</v>
      </c>
      <c r="H16" s="34">
        <f>G15</f>
        <v>813</v>
      </c>
      <c r="I16" s="34">
        <f>MIN(H16,G16)</f>
        <v>813</v>
      </c>
      <c r="J16" s="34">
        <f>IF(B16&gt;0,ABS(G16-H16),0)</f>
        <v>45</v>
      </c>
      <c r="K16" s="34">
        <f>IF(B16&lt;0,ABS(G16-H16),0)</f>
        <v>0</v>
      </c>
      <c r="L16" s="34">
        <f>L15+B16*D16</f>
        <v>1078</v>
      </c>
      <c r="M16" s="34">
        <f>L15</f>
        <v>1061</v>
      </c>
      <c r="N16" s="34">
        <f>MIN(M16,L16)</f>
        <v>1061</v>
      </c>
      <c r="O16" s="34">
        <f>IF(B16&gt;0,ABS(L16-M16),0)</f>
        <v>17</v>
      </c>
      <c r="P16" s="34">
        <f>IF(B16&lt;0,ABS(L16-M16),0)</f>
        <v>0</v>
      </c>
      <c r="Q16" s="36" t="e">
        <f>IF(AND($E16&gt;0,$B16&gt;0),$E16,NA())</f>
        <v>#N/A</v>
      </c>
      <c r="R16" s="36" t="e">
        <f>IF(AND($E16&gt;0,$B16&lt;0),$E16,NA())</f>
        <v>#N/A</v>
      </c>
      <c r="S16" s="36" t="e">
        <f>IF(AND($E16&lt;0,$B16&lt;0),$E16,NA())</f>
        <v>#N/A</v>
      </c>
      <c r="T16" s="36">
        <f>IF(AND($E16&lt;0,$B16&gt;0),$E16,NA())</f>
        <v>-28</v>
      </c>
      <c r="U16" s="24" t="e">
        <f>IF(AND($F16&gt;0,$B16&gt;0),$F16,NA())</f>
        <v>#N/A</v>
      </c>
      <c r="V16" s="24" t="e">
        <f>IF(AND($F16&gt;0,$B16&lt;0),$F16,NA())</f>
        <v>#N/A</v>
      </c>
      <c r="W16" s="24" t="e">
        <f>IF(AND($F16&lt;0,$B16&lt;0),$F16,NA())</f>
        <v>#N/A</v>
      </c>
      <c r="X16" s="24">
        <f>IF(AND($F16&lt;0,$B16&gt;0),$F16,NA())</f>
        <v>-62.222222222222221</v>
      </c>
      <c r="Y16" s="25"/>
      <c r="Z16" s="25">
        <f>I16/$Y$11</f>
        <v>0.76625824693685207</v>
      </c>
      <c r="AA16" s="25">
        <f>J16/$Y$11</f>
        <v>4.2412818096135722E-2</v>
      </c>
      <c r="AB16" s="7" t="str">
        <f>IF(ISNA(J16),"",TEXT(J16,"#,##0"))</f>
        <v>45</v>
      </c>
      <c r="AC16" s="25">
        <f>K16/$Y$11</f>
        <v>0</v>
      </c>
      <c r="AD16" s="7" t="str">
        <f>IF(ISNA(K16),"",TEXT(K16,"#,##0"))</f>
        <v>0</v>
      </c>
      <c r="AE16" s="25">
        <f>N16/$Y$11</f>
        <v>1</v>
      </c>
      <c r="AF16" s="25">
        <f>O16/$Y$11</f>
        <v>1.6022620169651274E-2</v>
      </c>
      <c r="AG16" s="7" t="str">
        <f>IF(ISNA(O16),"",TEXT(O16,"#,##0"))</f>
        <v>17</v>
      </c>
      <c r="AH16" s="25">
        <f>P16/$Y$11</f>
        <v>0</v>
      </c>
      <c r="AI16" s="7" t="str">
        <f>IF(ISNA(P16),"",TEXT(P16,"#,##0"))</f>
        <v>0</v>
      </c>
      <c r="AJ16" s="25">
        <f>E16/$Y$11</f>
        <v>-2.6390197926484449E-2</v>
      </c>
      <c r="AK16" s="7" t="str">
        <f>IF(ISNA(E16),"",TEXT(E16,"+0;-0"))</f>
        <v>-28</v>
      </c>
      <c r="AL16" s="25" t="e">
        <f>Q16/$Y$11</f>
        <v>#N/A</v>
      </c>
      <c r="AM16" s="25" t="e">
        <f>R16/$Y$11</f>
        <v>#N/A</v>
      </c>
      <c r="AN16" s="25" t="e">
        <f>S16/$Y$11</f>
        <v>#N/A</v>
      </c>
      <c r="AO16" s="25">
        <f>T16/$Y$11</f>
        <v>-2.6390197926484449E-2</v>
      </c>
      <c r="AP16" s="7">
        <f>IF(ISNA(F16),NA(),MEDIAN(-31.5,F16,238.5))</f>
        <v>-31.5</v>
      </c>
      <c r="AQ16" s="7" t="e">
        <f>IF(ISNA(U16),NA(),MEDIAN(-31.5,U16,238.5))</f>
        <v>#N/A</v>
      </c>
      <c r="AR16" s="7" t="e">
        <f>IF(ISNA(V16),NA(),MEDIAN(-31.5,V16,238.5))</f>
        <v>#N/A</v>
      </c>
      <c r="AS16" s="7" t="e">
        <f>IF(ISNA(W16),NA(),MEDIAN(-31.5,W16,238.5))</f>
        <v>#N/A</v>
      </c>
      <c r="AT16" s="7">
        <f>IF(ISNA(X16),NA(),MEDIAN(-31.5,X16,238.5))</f>
        <v>-31.5</v>
      </c>
      <c r="AU16" s="7" t="str">
        <f>IF(ISNA(F16),"",IF(F16&gt;265,TEXT(F16,"+0;-0")&amp;REPT(_xlfn.UNICHAR(9658),MIN(3,MAX(1,INT(F16/265)))),IF(F16&lt;-35,REPT(_xlfn.UNICHAR(9668),MIN(3,MAX(1,INT(-F16/35))))&amp;TEXT(F16,"+0;-0"),TEXT(F16,"+0;-0"))))</f>
        <v>◄-62</v>
      </c>
    </row>
    <row r="17" spans="1:47" x14ac:dyDescent="0.35">
      <c r="A17" s="37" t="s">
        <v>246</v>
      </c>
      <c r="B17" s="26">
        <v>-1</v>
      </c>
      <c r="C17" s="31">
        <v>344</v>
      </c>
      <c r="D17" s="31">
        <v>379</v>
      </c>
      <c r="E17" s="36">
        <f>D17-C17</f>
        <v>35</v>
      </c>
      <c r="F17" s="24">
        <f>IF(C17&lt;=0,NA(),(D17-C17)/C17*100)</f>
        <v>10.174418604651162</v>
      </c>
      <c r="G17" s="34">
        <f>G16+B17*C17</f>
        <v>514</v>
      </c>
      <c r="H17" s="34">
        <f>G16</f>
        <v>858</v>
      </c>
      <c r="I17" s="34">
        <f>MIN(H17,G17)</f>
        <v>514</v>
      </c>
      <c r="J17" s="34">
        <f>IF(B17&gt;0,ABS(G17-H17),0)</f>
        <v>0</v>
      </c>
      <c r="K17" s="34">
        <f>IF(B17&lt;0,ABS(G17-H17),0)</f>
        <v>344</v>
      </c>
      <c r="L17" s="34">
        <f>L16+B17*D17</f>
        <v>699</v>
      </c>
      <c r="M17" s="34">
        <f>L16</f>
        <v>1078</v>
      </c>
      <c r="N17" s="34">
        <f>MIN(M17,L17)</f>
        <v>699</v>
      </c>
      <c r="O17" s="34">
        <f>IF(B17&gt;0,ABS(L17-M17),0)</f>
        <v>0</v>
      </c>
      <c r="P17" s="34">
        <f>IF(B17&lt;0,ABS(L17-M17),0)</f>
        <v>379</v>
      </c>
      <c r="Q17" s="36" t="e">
        <f>IF(AND($E17&gt;0,$B17&gt;0),$E17,NA())</f>
        <v>#N/A</v>
      </c>
      <c r="R17" s="36">
        <f>IF(AND($E17&gt;0,$B17&lt;0),$E17,NA())</f>
        <v>35</v>
      </c>
      <c r="S17" s="36" t="e">
        <f>IF(AND($E17&lt;0,$B17&lt;0),$E17,NA())</f>
        <v>#N/A</v>
      </c>
      <c r="T17" s="36" t="e">
        <f>IF(AND($E17&lt;0,$B17&gt;0),$E17,NA())</f>
        <v>#N/A</v>
      </c>
      <c r="U17" s="24" t="e">
        <f>IF(AND($F17&gt;0,$B17&gt;0),$F17,NA())</f>
        <v>#N/A</v>
      </c>
      <c r="V17" s="24">
        <f>IF(AND($F17&gt;0,$B17&lt;0),$F17,NA())</f>
        <v>10.174418604651162</v>
      </c>
      <c r="W17" s="24" t="e">
        <f>IF(AND($F17&lt;0,$B17&lt;0),$F17,NA())</f>
        <v>#N/A</v>
      </c>
      <c r="X17" s="24" t="e">
        <f>IF(AND($F17&lt;0,$B17&gt;0),$F17,NA())</f>
        <v>#N/A</v>
      </c>
      <c r="Y17" s="25"/>
      <c r="Z17" s="25">
        <f>I17/$Y$11</f>
        <v>0.48444863336475025</v>
      </c>
      <c r="AA17" s="25">
        <f>J17/$Y$11</f>
        <v>0</v>
      </c>
      <c r="AB17" s="7" t="str">
        <f>IF(ISNA(J17),"",TEXT(J17,"#,##0"))</f>
        <v>0</v>
      </c>
      <c r="AC17" s="25">
        <f>K17/$Y$11</f>
        <v>0.3242224316682375</v>
      </c>
      <c r="AD17" s="7" t="str">
        <f>IF(ISNA(K17),"",TEXT(K17,"#,##0"))</f>
        <v>344</v>
      </c>
      <c r="AE17" s="25">
        <f>N17/$Y$11</f>
        <v>0.65881244109330817</v>
      </c>
      <c r="AF17" s="25">
        <f>O17/$Y$11</f>
        <v>0</v>
      </c>
      <c r="AG17" s="7" t="str">
        <f>IF(ISNA(O17),"",TEXT(O17,"#,##0"))</f>
        <v>0</v>
      </c>
      <c r="AH17" s="25">
        <f>P17/$Y$11</f>
        <v>0.35721017907634306</v>
      </c>
      <c r="AI17" s="7" t="str">
        <f>IF(ISNA(P17),"",TEXT(P17,"#,##0"))</f>
        <v>379</v>
      </c>
      <c r="AJ17" s="25">
        <f>E17/$Y$11</f>
        <v>3.2987747408105561E-2</v>
      </c>
      <c r="AK17" s="7" t="str">
        <f>IF(ISNA(E17),"",TEXT(E17,"+0;-0"))</f>
        <v>+35</v>
      </c>
      <c r="AL17" s="25" t="e">
        <f>Q17/$Y$11</f>
        <v>#N/A</v>
      </c>
      <c r="AM17" s="25">
        <f>R17/$Y$11</f>
        <v>3.2987747408105561E-2</v>
      </c>
      <c r="AN17" s="25" t="e">
        <f>S17/$Y$11</f>
        <v>#N/A</v>
      </c>
      <c r="AO17" s="25" t="e">
        <f>T17/$Y$11</f>
        <v>#N/A</v>
      </c>
      <c r="AP17" s="7">
        <f>IF(ISNA(F17),NA(),MEDIAN(-31.5,F17,238.5))</f>
        <v>10.174418604651162</v>
      </c>
      <c r="AQ17" s="7" t="e">
        <f>IF(ISNA(U17),NA(),MEDIAN(-31.5,U17,238.5))</f>
        <v>#N/A</v>
      </c>
      <c r="AR17" s="7">
        <f>IF(ISNA(V17),NA(),MEDIAN(-31.5,V17,238.5))</f>
        <v>10.174418604651162</v>
      </c>
      <c r="AS17" s="7" t="e">
        <f>IF(ISNA(W17),NA(),MEDIAN(-31.5,W17,238.5))</f>
        <v>#N/A</v>
      </c>
      <c r="AT17" s="7" t="e">
        <f>IF(ISNA(X17),NA(),MEDIAN(-31.5,X17,238.5))</f>
        <v>#N/A</v>
      </c>
      <c r="AU17" s="7" t="str">
        <f>IF(ISNA(F17),"",IF(F17&gt;265,TEXT(F17,"+0;-0")&amp;REPT(_xlfn.UNICHAR(9658),MIN(3,MAX(1,INT(F17/265)))),IF(F17&lt;-35,REPT(_xlfn.UNICHAR(9668),MIN(3,MAX(1,INT(-F17/35))))&amp;TEXT(F17,"+0;-0"),TEXT(F17,"+0;-0"))))</f>
        <v>+10</v>
      </c>
    </row>
    <row r="18" spans="1:47" x14ac:dyDescent="0.35">
      <c r="A18" s="37" t="s">
        <v>247</v>
      </c>
      <c r="B18" s="26">
        <v>-1</v>
      </c>
      <c r="C18" s="31">
        <v>11</v>
      </c>
      <c r="D18" s="31">
        <v>54</v>
      </c>
      <c r="E18" s="36">
        <f>D18-C18</f>
        <v>43</v>
      </c>
      <c r="F18" s="24">
        <f>IF(C18&lt;=0,NA(),(D18-C18)/C18*100)</f>
        <v>390.90909090909093</v>
      </c>
      <c r="G18" s="34">
        <f>G17+B18*C18</f>
        <v>503</v>
      </c>
      <c r="H18" s="34">
        <f>G17</f>
        <v>514</v>
      </c>
      <c r="I18" s="34">
        <f>MIN(H18,G18)</f>
        <v>503</v>
      </c>
      <c r="J18" s="34">
        <f>IF(B18&gt;0,ABS(G18-H18),0)</f>
        <v>0</v>
      </c>
      <c r="K18" s="34">
        <f>IF(B18&lt;0,ABS(G18-H18),0)</f>
        <v>11</v>
      </c>
      <c r="L18" s="34">
        <f>L17+B18*D18</f>
        <v>645</v>
      </c>
      <c r="M18" s="34">
        <f>L17</f>
        <v>699</v>
      </c>
      <c r="N18" s="34">
        <f>MIN(M18,L18)</f>
        <v>645</v>
      </c>
      <c r="O18" s="34">
        <f>IF(B18&gt;0,ABS(L18-M18),0)</f>
        <v>0</v>
      </c>
      <c r="P18" s="34">
        <f>IF(B18&lt;0,ABS(L18-M18),0)</f>
        <v>54</v>
      </c>
      <c r="Q18" s="36" t="e">
        <f>IF(AND($E18&gt;0,$B18&gt;0),$E18,NA())</f>
        <v>#N/A</v>
      </c>
      <c r="R18" s="36">
        <f>IF(AND($E18&gt;0,$B18&lt;0),$E18,NA())</f>
        <v>43</v>
      </c>
      <c r="S18" s="36" t="e">
        <f>IF(AND($E18&lt;0,$B18&lt;0),$E18,NA())</f>
        <v>#N/A</v>
      </c>
      <c r="T18" s="36" t="e">
        <f>IF(AND($E18&lt;0,$B18&gt;0),$E18,NA())</f>
        <v>#N/A</v>
      </c>
      <c r="U18" s="24" t="e">
        <f>IF(AND($F18&gt;0,$B18&gt;0),$F18,NA())</f>
        <v>#N/A</v>
      </c>
      <c r="V18" s="24">
        <f>IF(AND($F18&gt;0,$B18&lt;0),$F18,NA())</f>
        <v>390.90909090909093</v>
      </c>
      <c r="W18" s="24" t="e">
        <f>IF(AND($F18&lt;0,$B18&lt;0),$F18,NA())</f>
        <v>#N/A</v>
      </c>
      <c r="X18" s="24" t="e">
        <f>IF(AND($F18&lt;0,$B18&gt;0),$F18,NA())</f>
        <v>#N/A</v>
      </c>
      <c r="Y18" s="25"/>
      <c r="Z18" s="25">
        <f>I18/$Y$11</f>
        <v>0.47408105560791708</v>
      </c>
      <c r="AA18" s="25">
        <f>J18/$Y$11</f>
        <v>0</v>
      </c>
      <c r="AB18" s="7" t="str">
        <f>IF(ISNA(J18),"",TEXT(J18,"#,##0"))</f>
        <v>0</v>
      </c>
      <c r="AC18" s="25">
        <f>K18/$Y$11</f>
        <v>1.0367577756833177E-2</v>
      </c>
      <c r="AD18" s="7" t="str">
        <f>IF(ISNA(K18),"",TEXT(K18,"#,##0"))</f>
        <v>11</v>
      </c>
      <c r="AE18" s="25">
        <f>N18/$Y$11</f>
        <v>0.60791705937794538</v>
      </c>
      <c r="AF18" s="25">
        <f>O18/$Y$11</f>
        <v>0</v>
      </c>
      <c r="AG18" s="7" t="str">
        <f>IF(ISNA(O18),"",TEXT(O18,"#,##0"))</f>
        <v>0</v>
      </c>
      <c r="AH18" s="25">
        <f>P18/$Y$11</f>
        <v>5.0895381715362863E-2</v>
      </c>
      <c r="AI18" s="7" t="str">
        <f>IF(ISNA(P18),"",TEXT(P18,"#,##0"))</f>
        <v>54</v>
      </c>
      <c r="AJ18" s="25">
        <f>E18/$Y$11</f>
        <v>4.0527803958529687E-2</v>
      </c>
      <c r="AK18" s="7" t="str">
        <f>IF(ISNA(E18),"",TEXT(E18,"+0;-0"))</f>
        <v>+43</v>
      </c>
      <c r="AL18" s="25" t="e">
        <f>Q18/$Y$11</f>
        <v>#N/A</v>
      </c>
      <c r="AM18" s="25">
        <f>R18/$Y$11</f>
        <v>4.0527803958529687E-2</v>
      </c>
      <c r="AN18" s="25" t="e">
        <f>S18/$Y$11</f>
        <v>#N/A</v>
      </c>
      <c r="AO18" s="25" t="e">
        <f>T18/$Y$11</f>
        <v>#N/A</v>
      </c>
      <c r="AP18" s="7">
        <f>IF(ISNA(F18),NA(),MEDIAN(-31.5,F18,238.5))</f>
        <v>238.5</v>
      </c>
      <c r="AQ18" s="7" t="e">
        <f>IF(ISNA(U18),NA(),MEDIAN(-31.5,U18,238.5))</f>
        <v>#N/A</v>
      </c>
      <c r="AR18" s="7">
        <f>IF(ISNA(V18),NA(),MEDIAN(-31.5,V18,238.5))</f>
        <v>238.5</v>
      </c>
      <c r="AS18" s="7" t="e">
        <f>IF(ISNA(W18),NA(),MEDIAN(-31.5,W18,238.5))</f>
        <v>#N/A</v>
      </c>
      <c r="AT18" s="7" t="e">
        <f>IF(ISNA(X18),NA(),MEDIAN(-31.5,X18,238.5))</f>
        <v>#N/A</v>
      </c>
      <c r="AU18" s="7" t="str">
        <f>IF(ISNA(F18),"",IF(F18&gt;265,TEXT(F18,"+0;-0")&amp;REPT(_xlfn.UNICHAR(9658),MIN(3,MAX(1,INT(F18/265)))),IF(F18&lt;-35,REPT(_xlfn.UNICHAR(9668),MIN(3,MAX(1,INT(-F18/35))))&amp;TEXT(F18,"+0;-0"),TEXT(F18,"+0;-0"))))</f>
        <v>+391►</v>
      </c>
    </row>
    <row r="19" spans="1:47" x14ac:dyDescent="0.35">
      <c r="A19" s="37" t="s">
        <v>248</v>
      </c>
      <c r="B19" s="26">
        <v>-1</v>
      </c>
      <c r="C19" s="31">
        <v>76</v>
      </c>
      <c r="D19" s="31">
        <v>127</v>
      </c>
      <c r="E19" s="36">
        <f>D19-C19</f>
        <v>51</v>
      </c>
      <c r="F19" s="24">
        <f>IF(C19&lt;=0,NA(),(D19-C19)/C19*100)</f>
        <v>67.10526315789474</v>
      </c>
      <c r="G19" s="34">
        <f>G18+B19*C19</f>
        <v>427</v>
      </c>
      <c r="H19" s="34">
        <f>G18</f>
        <v>503</v>
      </c>
      <c r="I19" s="34">
        <f>MIN(H19,G19)</f>
        <v>427</v>
      </c>
      <c r="J19" s="34">
        <f>IF(B19&gt;0,ABS(G19-H19),0)</f>
        <v>0</v>
      </c>
      <c r="K19" s="34">
        <f>IF(B19&lt;0,ABS(G19-H19),0)</f>
        <v>76</v>
      </c>
      <c r="L19" s="34">
        <f>L18+B19*D19</f>
        <v>518</v>
      </c>
      <c r="M19" s="34">
        <f>L18</f>
        <v>645</v>
      </c>
      <c r="N19" s="34">
        <f>MIN(M19,L19)</f>
        <v>518</v>
      </c>
      <c r="O19" s="34">
        <f>IF(B19&gt;0,ABS(L19-M19),0)</f>
        <v>0</v>
      </c>
      <c r="P19" s="34">
        <f>IF(B19&lt;0,ABS(L19-M19),0)</f>
        <v>127</v>
      </c>
      <c r="Q19" s="36" t="e">
        <f>IF(AND($E19&gt;0,$B19&gt;0),$E19,NA())</f>
        <v>#N/A</v>
      </c>
      <c r="R19" s="36">
        <f>IF(AND($E19&gt;0,$B19&lt;0),$E19,NA())</f>
        <v>51</v>
      </c>
      <c r="S19" s="36" t="e">
        <f>IF(AND($E19&lt;0,$B19&lt;0),$E19,NA())</f>
        <v>#N/A</v>
      </c>
      <c r="T19" s="36" t="e">
        <f>IF(AND($E19&lt;0,$B19&gt;0),$E19,NA())</f>
        <v>#N/A</v>
      </c>
      <c r="U19" s="24" t="e">
        <f>IF(AND($F19&gt;0,$B19&gt;0),$F19,NA())</f>
        <v>#N/A</v>
      </c>
      <c r="V19" s="24">
        <f>IF(AND($F19&gt;0,$B19&lt;0),$F19,NA())</f>
        <v>67.10526315789474</v>
      </c>
      <c r="W19" s="24" t="e">
        <f>IF(AND($F19&lt;0,$B19&lt;0),$F19,NA())</f>
        <v>#N/A</v>
      </c>
      <c r="X19" s="24" t="e">
        <f>IF(AND($F19&lt;0,$B19&gt;0),$F19,NA())</f>
        <v>#N/A</v>
      </c>
      <c r="Y19" s="25"/>
      <c r="Z19" s="25">
        <f>I19/$Y$11</f>
        <v>0.40245051837888784</v>
      </c>
      <c r="AA19" s="25">
        <f>J19/$Y$11</f>
        <v>0</v>
      </c>
      <c r="AB19" s="7" t="str">
        <f>IF(ISNA(J19),"",TEXT(J19,"#,##0"))</f>
        <v>0</v>
      </c>
      <c r="AC19" s="25">
        <f>K19/$Y$11</f>
        <v>7.163053722902922E-2</v>
      </c>
      <c r="AD19" s="7" t="str">
        <f>IF(ISNA(K19),"",TEXT(K19,"#,##0"))</f>
        <v>76</v>
      </c>
      <c r="AE19" s="25">
        <f>N19/$Y$11</f>
        <v>0.4882186616399623</v>
      </c>
      <c r="AF19" s="25">
        <f>O19/$Y$11</f>
        <v>0</v>
      </c>
      <c r="AG19" s="7" t="str">
        <f>IF(ISNA(O19),"",TEXT(O19,"#,##0"))</f>
        <v>0</v>
      </c>
      <c r="AH19" s="25">
        <f>P19/$Y$11</f>
        <v>0.11969839773798303</v>
      </c>
      <c r="AI19" s="7" t="str">
        <f>IF(ISNA(P19),"",TEXT(P19,"#,##0"))</f>
        <v>127</v>
      </c>
      <c r="AJ19" s="25">
        <f>E19/$Y$11</f>
        <v>4.8067860508953821E-2</v>
      </c>
      <c r="AK19" s="7" t="str">
        <f>IF(ISNA(E19),"",TEXT(E19,"+0;-0"))</f>
        <v>+51</v>
      </c>
      <c r="AL19" s="25" t="e">
        <f>Q19/$Y$11</f>
        <v>#N/A</v>
      </c>
      <c r="AM19" s="25">
        <f>R19/$Y$11</f>
        <v>4.8067860508953821E-2</v>
      </c>
      <c r="AN19" s="25" t="e">
        <f>S19/$Y$11</f>
        <v>#N/A</v>
      </c>
      <c r="AO19" s="25" t="e">
        <f>T19/$Y$11</f>
        <v>#N/A</v>
      </c>
      <c r="AP19" s="7">
        <f>IF(ISNA(F19),NA(),MEDIAN(-31.5,F19,238.5))</f>
        <v>67.10526315789474</v>
      </c>
      <c r="AQ19" s="7" t="e">
        <f>IF(ISNA(U19),NA(),MEDIAN(-31.5,U19,238.5))</f>
        <v>#N/A</v>
      </c>
      <c r="AR19" s="7">
        <f>IF(ISNA(V19),NA(),MEDIAN(-31.5,V19,238.5))</f>
        <v>67.10526315789474</v>
      </c>
      <c r="AS19" s="7" t="e">
        <f>IF(ISNA(W19),NA(),MEDIAN(-31.5,W19,238.5))</f>
        <v>#N/A</v>
      </c>
      <c r="AT19" s="7" t="e">
        <f>IF(ISNA(X19),NA(),MEDIAN(-31.5,X19,238.5))</f>
        <v>#N/A</v>
      </c>
      <c r="AU19" s="7" t="str">
        <f>IF(ISNA(F19),"",IF(F19&gt;265,TEXT(F19,"+0;-0")&amp;REPT(_xlfn.UNICHAR(9658),MIN(3,MAX(1,INT(F19/265)))),IF(F19&lt;-35,REPT(_xlfn.UNICHAR(9668),MIN(3,MAX(1,INT(-F19/35))))&amp;TEXT(F19,"+0;-0"),TEXT(F19,"+0;-0"))))</f>
        <v>+67</v>
      </c>
    </row>
    <row r="20" spans="1:47" x14ac:dyDescent="0.35">
      <c r="A20" s="37" t="s">
        <v>249</v>
      </c>
      <c r="B20" s="26">
        <v>-1</v>
      </c>
      <c r="C20" s="31">
        <v>56</v>
      </c>
      <c r="D20" s="31">
        <v>40</v>
      </c>
      <c r="E20" s="36">
        <f>D20-C20</f>
        <v>-16</v>
      </c>
      <c r="F20" s="24">
        <f>IF(C20&lt;=0,NA(),(D20-C20)/C20*100)</f>
        <v>-28.571428571428569</v>
      </c>
      <c r="G20" s="34">
        <f>G19+B20*C20</f>
        <v>371</v>
      </c>
      <c r="H20" s="34">
        <f>G19</f>
        <v>427</v>
      </c>
      <c r="I20" s="34">
        <f>MIN(H20,G20)</f>
        <v>371</v>
      </c>
      <c r="J20" s="34">
        <f>IF(B20&gt;0,ABS(G20-H20),0)</f>
        <v>0</v>
      </c>
      <c r="K20" s="34">
        <f>IF(B20&lt;0,ABS(G20-H20),0)</f>
        <v>56</v>
      </c>
      <c r="L20" s="34">
        <f>L19+B20*D20</f>
        <v>478</v>
      </c>
      <c r="M20" s="34">
        <f>L19</f>
        <v>518</v>
      </c>
      <c r="N20" s="34">
        <f>MIN(M20,L20)</f>
        <v>478</v>
      </c>
      <c r="O20" s="34">
        <f>IF(B20&gt;0,ABS(L20-M20),0)</f>
        <v>0</v>
      </c>
      <c r="P20" s="34">
        <f>IF(B20&lt;0,ABS(L20-M20),0)</f>
        <v>40</v>
      </c>
      <c r="Q20" s="36" t="e">
        <f>IF(AND($E20&gt;0,$B20&gt;0),$E20,NA())</f>
        <v>#N/A</v>
      </c>
      <c r="R20" s="36" t="e">
        <f>IF(AND($E20&gt;0,$B20&lt;0),$E20,NA())</f>
        <v>#N/A</v>
      </c>
      <c r="S20" s="36">
        <f>IF(AND($E20&lt;0,$B20&lt;0),$E20,NA())</f>
        <v>-16</v>
      </c>
      <c r="T20" s="36" t="e">
        <f>IF(AND($E20&lt;0,$B20&gt;0),$E20,NA())</f>
        <v>#N/A</v>
      </c>
      <c r="U20" s="24" t="e">
        <f>IF(AND($F20&gt;0,$B20&gt;0),$F20,NA())</f>
        <v>#N/A</v>
      </c>
      <c r="V20" s="24" t="e">
        <f>IF(AND($F20&gt;0,$B20&lt;0),$F20,NA())</f>
        <v>#N/A</v>
      </c>
      <c r="W20" s="24">
        <f>IF(AND($F20&lt;0,$B20&lt;0),$F20,NA())</f>
        <v>-28.571428571428569</v>
      </c>
      <c r="X20" s="24" t="e">
        <f>IF(AND($F20&lt;0,$B20&gt;0),$F20,NA())</f>
        <v>#N/A</v>
      </c>
      <c r="Y20" s="25"/>
      <c r="Z20" s="25">
        <f>I20/$Y$11</f>
        <v>0.34967012252591895</v>
      </c>
      <c r="AA20" s="25">
        <f>J20/$Y$11</f>
        <v>0</v>
      </c>
      <c r="AB20" s="7" t="str">
        <f>IF(ISNA(J20),"",TEXT(J20,"#,##0"))</f>
        <v>0</v>
      </c>
      <c r="AC20" s="25">
        <f>K20/$Y$11</f>
        <v>5.2780395852968898E-2</v>
      </c>
      <c r="AD20" s="7" t="str">
        <f>IF(ISNA(K20),"",TEXT(K20,"#,##0"))</f>
        <v>56</v>
      </c>
      <c r="AE20" s="25">
        <f>N20/$Y$11</f>
        <v>0.45051837888784169</v>
      </c>
      <c r="AF20" s="25">
        <f>O20/$Y$11</f>
        <v>0</v>
      </c>
      <c r="AG20" s="7" t="str">
        <f>IF(ISNA(O20),"",TEXT(O20,"#,##0"))</f>
        <v>0</v>
      </c>
      <c r="AH20" s="25">
        <f>P20/$Y$11</f>
        <v>3.7700282752120638E-2</v>
      </c>
      <c r="AI20" s="7" t="str">
        <f>IF(ISNA(P20),"",TEXT(P20,"#,##0"))</f>
        <v>40</v>
      </c>
      <c r="AJ20" s="25">
        <f>E20/$Y$11</f>
        <v>-1.5080113100848256E-2</v>
      </c>
      <c r="AK20" s="7" t="str">
        <f>IF(ISNA(E20),"",TEXT(E20,"+0;-0"))</f>
        <v>-16</v>
      </c>
      <c r="AL20" s="25" t="e">
        <f>Q20/$Y$11</f>
        <v>#N/A</v>
      </c>
      <c r="AM20" s="25" t="e">
        <f>R20/$Y$11</f>
        <v>#N/A</v>
      </c>
      <c r="AN20" s="25">
        <f>S20/$Y$11</f>
        <v>-1.5080113100848256E-2</v>
      </c>
      <c r="AO20" s="25" t="e">
        <f>T20/$Y$11</f>
        <v>#N/A</v>
      </c>
      <c r="AP20" s="7">
        <f>IF(ISNA(F20),NA(),MEDIAN(-31.5,F20,238.5))</f>
        <v>-28.571428571428569</v>
      </c>
      <c r="AQ20" s="7" t="e">
        <f>IF(ISNA(U20),NA(),MEDIAN(-31.5,U20,238.5))</f>
        <v>#N/A</v>
      </c>
      <c r="AR20" s="7" t="e">
        <f>IF(ISNA(V20),NA(),MEDIAN(-31.5,V20,238.5))</f>
        <v>#N/A</v>
      </c>
      <c r="AS20" s="7">
        <f>IF(ISNA(W20),NA(),MEDIAN(-31.5,W20,238.5))</f>
        <v>-28.571428571428569</v>
      </c>
      <c r="AT20" s="7" t="e">
        <f>IF(ISNA(X20),NA(),MEDIAN(-31.5,X20,238.5))</f>
        <v>#N/A</v>
      </c>
      <c r="AU20" s="7" t="str">
        <f>IF(ISNA(F20),"",IF(F20&gt;265,TEXT(F20,"+0;-0")&amp;REPT(_xlfn.UNICHAR(9658),MIN(3,MAX(1,INT(F20/265)))),IF(F20&lt;-35,REPT(_xlfn.UNICHAR(9668),MIN(3,MAX(1,INT(-F20/35))))&amp;TEXT(F20,"+0;-0"),TEXT(F20,"+0;-0"))))</f>
        <v>-29</v>
      </c>
    </row>
    <row r="21" spans="1:47" x14ac:dyDescent="0.35">
      <c r="A21" s="37" t="s">
        <v>250</v>
      </c>
      <c r="B21" s="26">
        <v>-1</v>
      </c>
      <c r="C21" s="31">
        <v>78</v>
      </c>
      <c r="D21" s="31">
        <v>152</v>
      </c>
      <c r="E21" s="36">
        <f>D21-C21</f>
        <v>74</v>
      </c>
      <c r="F21" s="24">
        <f>IF(C21&lt;=0,NA(),(D21-C21)/C21*100)</f>
        <v>94.871794871794862</v>
      </c>
      <c r="G21" s="34">
        <f>G20+B21*C21</f>
        <v>293</v>
      </c>
      <c r="H21" s="34">
        <f>G20</f>
        <v>371</v>
      </c>
      <c r="I21" s="34">
        <f>MIN(H21,G21)</f>
        <v>293</v>
      </c>
      <c r="J21" s="34">
        <f>IF(B21&gt;0,ABS(G21-H21),0)</f>
        <v>0</v>
      </c>
      <c r="K21" s="34">
        <f>IF(B21&lt;0,ABS(G21-H21),0)</f>
        <v>78</v>
      </c>
      <c r="L21" s="34">
        <f>L20+B21*D21</f>
        <v>326</v>
      </c>
      <c r="M21" s="34">
        <f>L20</f>
        <v>478</v>
      </c>
      <c r="N21" s="34">
        <f>MIN(M21,L21)</f>
        <v>326</v>
      </c>
      <c r="O21" s="34">
        <f>IF(B21&gt;0,ABS(L21-M21),0)</f>
        <v>0</v>
      </c>
      <c r="P21" s="34">
        <f>IF(B21&lt;0,ABS(L21-M21),0)</f>
        <v>152</v>
      </c>
      <c r="Q21" s="36" t="e">
        <f>IF(AND($E21&gt;0,$B21&gt;0),$E21,NA())</f>
        <v>#N/A</v>
      </c>
      <c r="R21" s="36">
        <f>IF(AND($E21&gt;0,$B21&lt;0),$E21,NA())</f>
        <v>74</v>
      </c>
      <c r="S21" s="36" t="e">
        <f>IF(AND($E21&lt;0,$B21&lt;0),$E21,NA())</f>
        <v>#N/A</v>
      </c>
      <c r="T21" s="36" t="e">
        <f>IF(AND($E21&lt;0,$B21&gt;0),$E21,NA())</f>
        <v>#N/A</v>
      </c>
      <c r="U21" s="24" t="e">
        <f>IF(AND($F21&gt;0,$B21&gt;0),$F21,NA())</f>
        <v>#N/A</v>
      </c>
      <c r="V21" s="24">
        <f>IF(AND($F21&gt;0,$B21&lt;0),$F21,NA())</f>
        <v>94.871794871794862</v>
      </c>
      <c r="W21" s="24" t="e">
        <f>IF(AND($F21&lt;0,$B21&lt;0),$F21,NA())</f>
        <v>#N/A</v>
      </c>
      <c r="X21" s="24" t="e">
        <f>IF(AND($F21&lt;0,$B21&gt;0),$F21,NA())</f>
        <v>#N/A</v>
      </c>
      <c r="Y21" s="25"/>
      <c r="Z21" s="25">
        <f>I21/$Y$11</f>
        <v>0.27615457115928371</v>
      </c>
      <c r="AA21" s="25">
        <f>J21/$Y$11</f>
        <v>0</v>
      </c>
      <c r="AB21" s="7" t="str">
        <f>IF(ISNA(J21),"",TEXT(J21,"#,##0"))</f>
        <v>0</v>
      </c>
      <c r="AC21" s="25">
        <f>K21/$Y$11</f>
        <v>7.3515551366635248E-2</v>
      </c>
      <c r="AD21" s="7" t="str">
        <f>IF(ISNA(K21),"",TEXT(K21,"#,##0"))</f>
        <v>78</v>
      </c>
      <c r="AE21" s="25">
        <f>N21/$Y$11</f>
        <v>0.30725730442978322</v>
      </c>
      <c r="AF21" s="25">
        <f>O21/$Y$11</f>
        <v>0</v>
      </c>
      <c r="AG21" s="7" t="str">
        <f>IF(ISNA(O21),"",TEXT(O21,"#,##0"))</f>
        <v>0</v>
      </c>
      <c r="AH21" s="25">
        <f>P21/$Y$11</f>
        <v>0.14326107445805844</v>
      </c>
      <c r="AI21" s="7" t="str">
        <f>IF(ISNA(P21),"",TEXT(P21,"#,##0"))</f>
        <v>152</v>
      </c>
      <c r="AJ21" s="25">
        <f>E21/$Y$11</f>
        <v>6.9745523091423192E-2</v>
      </c>
      <c r="AK21" s="7" t="str">
        <f>IF(ISNA(E21),"",TEXT(E21,"+0;-0"))</f>
        <v>+74</v>
      </c>
      <c r="AL21" s="25" t="e">
        <f>Q21/$Y$11</f>
        <v>#N/A</v>
      </c>
      <c r="AM21" s="25">
        <f>R21/$Y$11</f>
        <v>6.9745523091423192E-2</v>
      </c>
      <c r="AN21" s="25" t="e">
        <f>S21/$Y$11</f>
        <v>#N/A</v>
      </c>
      <c r="AO21" s="25" t="e">
        <f>T21/$Y$11</f>
        <v>#N/A</v>
      </c>
      <c r="AP21" s="7">
        <f>IF(ISNA(F21),NA(),MEDIAN(-31.5,F21,238.5))</f>
        <v>94.871794871794862</v>
      </c>
      <c r="AQ21" s="7" t="e">
        <f>IF(ISNA(U21),NA(),MEDIAN(-31.5,U21,238.5))</f>
        <v>#N/A</v>
      </c>
      <c r="AR21" s="7">
        <f>IF(ISNA(V21),NA(),MEDIAN(-31.5,V21,238.5))</f>
        <v>94.871794871794862</v>
      </c>
      <c r="AS21" s="7" t="e">
        <f>IF(ISNA(W21),NA(),MEDIAN(-31.5,W21,238.5))</f>
        <v>#N/A</v>
      </c>
      <c r="AT21" s="7" t="e">
        <f>IF(ISNA(X21),NA(),MEDIAN(-31.5,X21,238.5))</f>
        <v>#N/A</v>
      </c>
      <c r="AU21" s="7" t="str">
        <f>IF(ISNA(F21),"",IF(F21&gt;265,TEXT(F21,"+0;-0")&amp;REPT(_xlfn.UNICHAR(9658),MIN(3,MAX(1,INT(F21/265)))),IF(F21&lt;-35,REPT(_xlfn.UNICHAR(9668),MIN(3,MAX(1,INT(-F21/35))))&amp;TEXT(F21,"+0;-0"),TEXT(F21,"+0;-0"))))</f>
        <v>+95</v>
      </c>
    </row>
    <row r="22" spans="1:47" x14ac:dyDescent="0.35">
      <c r="A22" s="11" t="s">
        <v>251</v>
      </c>
      <c r="B22" s="26">
        <v>-1</v>
      </c>
      <c r="C22" s="32">
        <f>ABS(G21-G16)</f>
        <v>565</v>
      </c>
      <c r="D22" s="32">
        <f>ABS(L21-L16)</f>
        <v>752</v>
      </c>
      <c r="E22" s="36">
        <f>D22-C22</f>
        <v>187</v>
      </c>
      <c r="F22" s="24">
        <f>IF(C22&lt;=0,NA(),(D22-C22)/C22*100)</f>
        <v>33.097345132743364</v>
      </c>
      <c r="G22" s="34">
        <f>G21</f>
        <v>293</v>
      </c>
      <c r="H22" s="34">
        <f>G16</f>
        <v>858</v>
      </c>
      <c r="I22" s="34">
        <f>MIN(H22,G22)</f>
        <v>293</v>
      </c>
      <c r="J22" s="34">
        <f>IF(B22&gt;0,ABS(G22-H22),0)</f>
        <v>0</v>
      </c>
      <c r="K22" s="34">
        <f>IF(B22&lt;0,ABS(G22-H22),0)</f>
        <v>565</v>
      </c>
      <c r="L22" s="34">
        <f>L21</f>
        <v>326</v>
      </c>
      <c r="M22" s="34">
        <f>L16</f>
        <v>1078</v>
      </c>
      <c r="N22" s="34">
        <f>MIN(M22,L22)</f>
        <v>326</v>
      </c>
      <c r="O22" s="34">
        <f>IF(B22&gt;0,ABS(L22-M22),0)</f>
        <v>0</v>
      </c>
      <c r="P22" s="34">
        <f>IF(B22&lt;0,ABS(L22-M22),0)</f>
        <v>752</v>
      </c>
      <c r="Q22" s="36" t="e">
        <f>IF(AND($E22&gt;0,$B22&gt;0),$E22,NA())</f>
        <v>#N/A</v>
      </c>
      <c r="R22" s="36">
        <f>IF(AND($E22&gt;0,$B22&lt;0),$E22,NA())</f>
        <v>187</v>
      </c>
      <c r="S22" s="36" t="e">
        <f>IF(AND($E22&lt;0,$B22&lt;0),$E22,NA())</f>
        <v>#N/A</v>
      </c>
      <c r="T22" s="36" t="e">
        <f>IF(AND($E22&lt;0,$B22&gt;0),$E22,NA())</f>
        <v>#N/A</v>
      </c>
      <c r="U22" s="24" t="e">
        <f>IF(AND($F22&gt;0,$B22&gt;0),$F22,NA())</f>
        <v>#N/A</v>
      </c>
      <c r="V22" s="24">
        <f>IF(AND($F22&gt;0,$B22&lt;0),$F22,NA())</f>
        <v>33.097345132743364</v>
      </c>
      <c r="W22" s="24" t="e">
        <f>IF(AND($F22&lt;0,$B22&lt;0),$F22,NA())</f>
        <v>#N/A</v>
      </c>
      <c r="X22" s="24" t="e">
        <f>IF(AND($F22&lt;0,$B22&gt;0),$F22,NA())</f>
        <v>#N/A</v>
      </c>
      <c r="Y22" s="25"/>
      <c r="Z22" s="25">
        <f>I22/$Y$11</f>
        <v>0.27615457115928371</v>
      </c>
      <c r="AA22" s="25">
        <f>J22/$Y$11</f>
        <v>0</v>
      </c>
      <c r="AB22" s="7" t="str">
        <f>IF(ISNA(J22),"",TEXT(J22,"#,##0"))</f>
        <v>0</v>
      </c>
      <c r="AC22" s="25">
        <f>K22/$Y$11</f>
        <v>0.53251649387370403</v>
      </c>
      <c r="AD22" s="7" t="str">
        <f>IF(ISNA(K22),"",TEXT(K22,"#,##0"))</f>
        <v>565</v>
      </c>
      <c r="AE22" s="25">
        <f>N22/$Y$11</f>
        <v>0.30725730442978322</v>
      </c>
      <c r="AF22" s="25">
        <f>O22/$Y$11</f>
        <v>0</v>
      </c>
      <c r="AG22" s="7" t="str">
        <f>IF(ISNA(O22),"",TEXT(O22,"#,##0"))</f>
        <v>0</v>
      </c>
      <c r="AH22" s="25">
        <f>P22/$Y$11</f>
        <v>0.70876531573986801</v>
      </c>
      <c r="AI22" s="7" t="str">
        <f>IF(ISNA(P22),"",TEXT(P22,"#,##0"))</f>
        <v>752</v>
      </c>
      <c r="AJ22" s="25">
        <f>E22/$Y$11</f>
        <v>0.176248821866164</v>
      </c>
      <c r="AK22" s="7" t="str">
        <f>IF(ISNA(E22),"",TEXT(E22,"+0;-0"))</f>
        <v>+187</v>
      </c>
      <c r="AL22" s="25" t="e">
        <f>Q22/$Y$11</f>
        <v>#N/A</v>
      </c>
      <c r="AM22" s="25">
        <f>R22/$Y$11</f>
        <v>0.176248821866164</v>
      </c>
      <c r="AN22" s="25" t="e">
        <f>S22/$Y$11</f>
        <v>#N/A</v>
      </c>
      <c r="AO22" s="25" t="e">
        <f>T22/$Y$11</f>
        <v>#N/A</v>
      </c>
      <c r="AP22" s="7">
        <f>IF(ISNA(F22),NA(),MEDIAN(-31.5,F22,238.5))</f>
        <v>33.097345132743364</v>
      </c>
      <c r="AQ22" s="7" t="e">
        <f>IF(ISNA(U22),NA(),MEDIAN(-31.5,U22,238.5))</f>
        <v>#N/A</v>
      </c>
      <c r="AR22" s="7">
        <f>IF(ISNA(V22),NA(),MEDIAN(-31.5,V22,238.5))</f>
        <v>33.097345132743364</v>
      </c>
      <c r="AS22" s="7" t="e">
        <f>IF(ISNA(W22),NA(),MEDIAN(-31.5,W22,238.5))</f>
        <v>#N/A</v>
      </c>
      <c r="AT22" s="7" t="e">
        <f>IF(ISNA(X22),NA(),MEDIAN(-31.5,X22,238.5))</f>
        <v>#N/A</v>
      </c>
      <c r="AU22" s="7" t="str">
        <f>IF(ISNA(F22),"",IF(F22&gt;265,TEXT(F22,"+0;-0")&amp;REPT(_xlfn.UNICHAR(9658),MIN(3,MAX(1,INT(F22/265)))),IF(F22&lt;-35,REPT(_xlfn.UNICHAR(9668),MIN(3,MAX(1,INT(-F22/35))))&amp;TEXT(F22,"+0;-0"),TEXT(F22,"+0;-0"))))</f>
        <v>+33</v>
      </c>
    </row>
    <row r="23" spans="1:47" x14ac:dyDescent="0.35">
      <c r="A23" s="11" t="s">
        <v>252</v>
      </c>
      <c r="B23" s="26">
        <v>1</v>
      </c>
      <c r="C23" s="32">
        <f>G22</f>
        <v>293</v>
      </c>
      <c r="D23" s="32">
        <f>L22</f>
        <v>326</v>
      </c>
      <c r="E23" s="36">
        <f>D23-C23</f>
        <v>33</v>
      </c>
      <c r="F23" s="24">
        <f>IF(C23&lt;=0,NA(),(D23-C23)/C23*100)</f>
        <v>11.262798634812286</v>
      </c>
      <c r="G23" s="34">
        <f>G22</f>
        <v>293</v>
      </c>
      <c r="H23" s="34">
        <f>0</f>
        <v>0</v>
      </c>
      <c r="I23" s="34">
        <f>MIN(H23,G23)</f>
        <v>0</v>
      </c>
      <c r="J23" s="34">
        <f>IF(B23&gt;0,ABS(G23-H23),0)</f>
        <v>293</v>
      </c>
      <c r="K23" s="34">
        <f>IF(B23&lt;0,ABS(G23-H23),0)</f>
        <v>0</v>
      </c>
      <c r="L23" s="34">
        <f>L22</f>
        <v>326</v>
      </c>
      <c r="M23" s="34">
        <f>0</f>
        <v>0</v>
      </c>
      <c r="N23" s="34">
        <f>MIN(M23,L23)</f>
        <v>0</v>
      </c>
      <c r="O23" s="34">
        <f>IF(B23&gt;0,ABS(L23-M23),0)</f>
        <v>326</v>
      </c>
      <c r="P23" s="34">
        <f>IF(B23&lt;0,ABS(L23-M23),0)</f>
        <v>0</v>
      </c>
      <c r="Q23" s="36">
        <f>IF(AND($E23&gt;0,$B23&gt;0),$E23,NA())</f>
        <v>33</v>
      </c>
      <c r="R23" s="36" t="e">
        <f>IF(AND($E23&gt;0,$B23&lt;0),$E23,NA())</f>
        <v>#N/A</v>
      </c>
      <c r="S23" s="36" t="e">
        <f>IF(AND($E23&lt;0,$B23&lt;0),$E23,NA())</f>
        <v>#N/A</v>
      </c>
      <c r="T23" s="36" t="e">
        <f>IF(AND($E23&lt;0,$B23&gt;0),$E23,NA())</f>
        <v>#N/A</v>
      </c>
      <c r="U23" s="24">
        <f>IF(AND($F23&gt;0,$B23&gt;0),$F23,NA())</f>
        <v>11.262798634812286</v>
      </c>
      <c r="V23" s="24" t="e">
        <f>IF(AND($F23&gt;0,$B23&lt;0),$F23,NA())</f>
        <v>#N/A</v>
      </c>
      <c r="W23" s="24" t="e">
        <f>IF(AND($F23&lt;0,$B23&lt;0),$F23,NA())</f>
        <v>#N/A</v>
      </c>
      <c r="X23" s="24" t="e">
        <f>IF(AND($F23&lt;0,$B23&gt;0),$F23,NA())</f>
        <v>#N/A</v>
      </c>
      <c r="Y23" s="25"/>
      <c r="Z23" s="25">
        <f>I23/$Y$11</f>
        <v>0</v>
      </c>
      <c r="AA23" s="25">
        <f>J23/$Y$11</f>
        <v>0.27615457115928371</v>
      </c>
      <c r="AB23" s="7" t="str">
        <f>IF(ISNA(J23),"",TEXT(J23,"#,##0"))</f>
        <v>293</v>
      </c>
      <c r="AC23" s="25">
        <f>K23/$Y$11</f>
        <v>0</v>
      </c>
      <c r="AD23" s="7" t="str">
        <f>IF(ISNA(K23),"",TEXT(K23,"#,##0"))</f>
        <v>0</v>
      </c>
      <c r="AE23" s="25">
        <f>N23/$Y$11</f>
        <v>0</v>
      </c>
      <c r="AF23" s="25">
        <f>O23/$Y$11</f>
        <v>0.30725730442978322</v>
      </c>
      <c r="AG23" s="7" t="str">
        <f>IF(ISNA(O23),"",TEXT(O23,"#,##0"))</f>
        <v>326</v>
      </c>
      <c r="AH23" s="25">
        <f>P23/$Y$11</f>
        <v>0</v>
      </c>
      <c r="AI23" s="7" t="str">
        <f>IF(ISNA(P23),"",TEXT(P23,"#,##0"))</f>
        <v>0</v>
      </c>
      <c r="AJ23" s="25">
        <f>E23/$Y$11</f>
        <v>3.1102733270499529E-2</v>
      </c>
      <c r="AK23" s="7" t="str">
        <f>IF(ISNA(E23),"",TEXT(E23,"+0;-0"))</f>
        <v>+33</v>
      </c>
      <c r="AL23" s="25">
        <f>Q23/$Y$11</f>
        <v>3.1102733270499529E-2</v>
      </c>
      <c r="AM23" s="25" t="e">
        <f>R23/$Y$11</f>
        <v>#N/A</v>
      </c>
      <c r="AN23" s="25" t="e">
        <f>S23/$Y$11</f>
        <v>#N/A</v>
      </c>
      <c r="AO23" s="25" t="e">
        <f>T23/$Y$11</f>
        <v>#N/A</v>
      </c>
      <c r="AP23" s="7">
        <f>IF(ISNA(F23),NA(),MEDIAN(-31.5,F23,238.5))</f>
        <v>11.262798634812286</v>
      </c>
      <c r="AQ23" s="7">
        <f>IF(ISNA(U23),NA(),MEDIAN(-31.5,U23,238.5))</f>
        <v>11.262798634812286</v>
      </c>
      <c r="AR23" s="7" t="e">
        <f>IF(ISNA(V23),NA(),MEDIAN(-31.5,V23,238.5))</f>
        <v>#N/A</v>
      </c>
      <c r="AS23" s="7" t="e">
        <f>IF(ISNA(W23),NA(),MEDIAN(-31.5,W23,238.5))</f>
        <v>#N/A</v>
      </c>
      <c r="AT23" s="7" t="e">
        <f>IF(ISNA(X23),NA(),MEDIAN(-31.5,X23,238.5))</f>
        <v>#N/A</v>
      </c>
      <c r="AU23" s="7" t="str">
        <f>IF(ISNA(F23),"",IF(F23&gt;265,TEXT(F23,"+0;-0")&amp;REPT(_xlfn.UNICHAR(9658),MIN(3,MAX(1,INT(F23/265)))),IF(F23&lt;-35,REPT(_xlfn.UNICHAR(9668),MIN(3,MAX(1,INT(-F23/35))))&amp;TEXT(F23,"+0;-0"),TEXT(F23,"+0;-0"))))</f>
        <v>+11</v>
      </c>
    </row>
    <row r="24" spans="1:47" x14ac:dyDescent="0.35">
      <c r="A24" s="11" t="s">
        <v>253</v>
      </c>
      <c r="B24" s="26">
        <v>1</v>
      </c>
      <c r="C24" s="31">
        <v>43</v>
      </c>
      <c r="D24" s="31">
        <v>53</v>
      </c>
      <c r="E24" s="36">
        <f>D24-C24</f>
        <v>10</v>
      </c>
      <c r="F24" s="24">
        <f>IF(C24&lt;=0,NA(),(D24-C24)/C24*100)</f>
        <v>23.255813953488371</v>
      </c>
      <c r="G24" s="34">
        <f>G23+B24*C24</f>
        <v>336</v>
      </c>
      <c r="H24" s="34">
        <f>G23</f>
        <v>293</v>
      </c>
      <c r="I24" s="34">
        <f>MIN(H24,G24)</f>
        <v>293</v>
      </c>
      <c r="J24" s="34">
        <f>IF(B24&gt;0,ABS(G24-H24),0)</f>
        <v>43</v>
      </c>
      <c r="K24" s="34">
        <f>IF(B24&lt;0,ABS(G24-H24),0)</f>
        <v>0</v>
      </c>
      <c r="L24" s="34">
        <f>L23+B24*D24</f>
        <v>379</v>
      </c>
      <c r="M24" s="34">
        <f>L23</f>
        <v>326</v>
      </c>
      <c r="N24" s="34">
        <f>MIN(M24,L24)</f>
        <v>326</v>
      </c>
      <c r="O24" s="34">
        <f>IF(B24&gt;0,ABS(L24-M24),0)</f>
        <v>53</v>
      </c>
      <c r="P24" s="34">
        <f>IF(B24&lt;0,ABS(L24-M24),0)</f>
        <v>0</v>
      </c>
      <c r="Q24" s="36">
        <f>IF(AND($E24&gt;0,$B24&gt;0),$E24,NA())</f>
        <v>10</v>
      </c>
      <c r="R24" s="36" t="e">
        <f>IF(AND($E24&gt;0,$B24&lt;0),$E24,NA())</f>
        <v>#N/A</v>
      </c>
      <c r="S24" s="36" t="e">
        <f>IF(AND($E24&lt;0,$B24&lt;0),$E24,NA())</f>
        <v>#N/A</v>
      </c>
      <c r="T24" s="36" t="e">
        <f>IF(AND($E24&lt;0,$B24&gt;0),$E24,NA())</f>
        <v>#N/A</v>
      </c>
      <c r="U24" s="24">
        <f>IF(AND($F24&gt;0,$B24&gt;0),$F24,NA())</f>
        <v>23.255813953488371</v>
      </c>
      <c r="V24" s="24" t="e">
        <f>IF(AND($F24&gt;0,$B24&lt;0),$F24,NA())</f>
        <v>#N/A</v>
      </c>
      <c r="W24" s="24" t="e">
        <f>IF(AND($F24&lt;0,$B24&lt;0),$F24,NA())</f>
        <v>#N/A</v>
      </c>
      <c r="X24" s="24" t="e">
        <f>IF(AND($F24&lt;0,$B24&gt;0),$F24,NA())</f>
        <v>#N/A</v>
      </c>
      <c r="Y24" s="25"/>
      <c r="Z24" s="25">
        <f>I24/$Y$11</f>
        <v>0.27615457115928371</v>
      </c>
      <c r="AA24" s="25">
        <f>J24/$Y$11</f>
        <v>4.0527803958529687E-2</v>
      </c>
      <c r="AB24" s="7" t="str">
        <f>IF(ISNA(J24),"",TEXT(J24,"#,##0"))</f>
        <v>43</v>
      </c>
      <c r="AC24" s="25">
        <f>K24/$Y$11</f>
        <v>0</v>
      </c>
      <c r="AD24" s="7" t="str">
        <f>IF(ISNA(K24),"",TEXT(K24,"#,##0"))</f>
        <v>0</v>
      </c>
      <c r="AE24" s="25">
        <f>N24/$Y$11</f>
        <v>0.30725730442978322</v>
      </c>
      <c r="AF24" s="25">
        <f>O24/$Y$11</f>
        <v>4.9952874646559849E-2</v>
      </c>
      <c r="AG24" s="7" t="str">
        <f>IF(ISNA(O24),"",TEXT(O24,"#,##0"))</f>
        <v>53</v>
      </c>
      <c r="AH24" s="25">
        <f>P24/$Y$11</f>
        <v>0</v>
      </c>
      <c r="AI24" s="7" t="str">
        <f>IF(ISNA(P24),"",TEXT(P24,"#,##0"))</f>
        <v>0</v>
      </c>
      <c r="AJ24" s="25">
        <f>E24/$Y$11</f>
        <v>9.4250706880301596E-3</v>
      </c>
      <c r="AK24" s="7" t="str">
        <f>IF(ISNA(E24),"",TEXT(E24,"+0;-0"))</f>
        <v>+10</v>
      </c>
      <c r="AL24" s="25">
        <f>Q24/$Y$11</f>
        <v>9.4250706880301596E-3</v>
      </c>
      <c r="AM24" s="25" t="e">
        <f>R24/$Y$11</f>
        <v>#N/A</v>
      </c>
      <c r="AN24" s="25" t="e">
        <f>S24/$Y$11</f>
        <v>#N/A</v>
      </c>
      <c r="AO24" s="25" t="e">
        <f>T24/$Y$11</f>
        <v>#N/A</v>
      </c>
      <c r="AP24" s="7">
        <f>IF(ISNA(F24),NA(),MEDIAN(-31.5,F24,238.5))</f>
        <v>23.255813953488371</v>
      </c>
      <c r="AQ24" s="7">
        <f>IF(ISNA(U24),NA(),MEDIAN(-31.5,U24,238.5))</f>
        <v>23.255813953488371</v>
      </c>
      <c r="AR24" s="7" t="e">
        <f>IF(ISNA(V24),NA(),MEDIAN(-31.5,V24,238.5))</f>
        <v>#N/A</v>
      </c>
      <c r="AS24" s="7" t="e">
        <f>IF(ISNA(W24),NA(),MEDIAN(-31.5,W24,238.5))</f>
        <v>#N/A</v>
      </c>
      <c r="AT24" s="7" t="e">
        <f>IF(ISNA(X24),NA(),MEDIAN(-31.5,X24,238.5))</f>
        <v>#N/A</v>
      </c>
      <c r="AU24" s="7" t="str">
        <f>IF(ISNA(F24),"",IF(F24&gt;265,TEXT(F24,"+0;-0")&amp;REPT(_xlfn.UNICHAR(9658),MIN(3,MAX(1,INT(F24/265)))),IF(F24&lt;-35,REPT(_xlfn.UNICHAR(9668),MIN(3,MAX(1,INT(-F24/35))))&amp;TEXT(F24,"+0;-0"),TEXT(F24,"+0;-0"))))</f>
        <v>+23</v>
      </c>
    </row>
    <row r="25" spans="1:47" x14ac:dyDescent="0.35">
      <c r="A25" s="11" t="s">
        <v>254</v>
      </c>
      <c r="B25" s="26">
        <v>1</v>
      </c>
      <c r="C25" s="31">
        <v>73</v>
      </c>
      <c r="D25" s="31">
        <v>66</v>
      </c>
      <c r="E25" s="36">
        <f>D25-C25</f>
        <v>-7</v>
      </c>
      <c r="F25" s="24">
        <f>IF(C25&lt;=0,NA(),(D25-C25)/C25*100)</f>
        <v>-9.5890410958904102</v>
      </c>
      <c r="G25" s="34">
        <f>G24+B25*C25</f>
        <v>409</v>
      </c>
      <c r="H25" s="34">
        <f>G24</f>
        <v>336</v>
      </c>
      <c r="I25" s="34">
        <f>MIN(H25,G25)</f>
        <v>336</v>
      </c>
      <c r="J25" s="34">
        <f>IF(B25&gt;0,ABS(G25-H25),0)</f>
        <v>73</v>
      </c>
      <c r="K25" s="34">
        <f>IF(B25&lt;0,ABS(G25-H25),0)</f>
        <v>0</v>
      </c>
      <c r="L25" s="34">
        <f>L24+B25*D25</f>
        <v>445</v>
      </c>
      <c r="M25" s="34">
        <f>L24</f>
        <v>379</v>
      </c>
      <c r="N25" s="34">
        <f>MIN(M25,L25)</f>
        <v>379</v>
      </c>
      <c r="O25" s="34">
        <f>IF(B25&gt;0,ABS(L25-M25),0)</f>
        <v>66</v>
      </c>
      <c r="P25" s="34">
        <f>IF(B25&lt;0,ABS(L25-M25),0)</f>
        <v>0</v>
      </c>
      <c r="Q25" s="36" t="e">
        <f>IF(AND($E25&gt;0,$B25&gt;0),$E25,NA())</f>
        <v>#N/A</v>
      </c>
      <c r="R25" s="36" t="e">
        <f>IF(AND($E25&gt;0,$B25&lt;0),$E25,NA())</f>
        <v>#N/A</v>
      </c>
      <c r="S25" s="36" t="e">
        <f>IF(AND($E25&lt;0,$B25&lt;0),$E25,NA())</f>
        <v>#N/A</v>
      </c>
      <c r="T25" s="36">
        <f>IF(AND($E25&lt;0,$B25&gt;0),$E25,NA())</f>
        <v>-7</v>
      </c>
      <c r="U25" s="24" t="e">
        <f>IF(AND($F25&gt;0,$B25&gt;0),$F25,NA())</f>
        <v>#N/A</v>
      </c>
      <c r="V25" s="24" t="e">
        <f>IF(AND($F25&gt;0,$B25&lt;0),$F25,NA())</f>
        <v>#N/A</v>
      </c>
      <c r="W25" s="24" t="e">
        <f>IF(AND($F25&lt;0,$B25&lt;0),$F25,NA())</f>
        <v>#N/A</v>
      </c>
      <c r="X25" s="24">
        <f>IF(AND($F25&lt;0,$B25&gt;0),$F25,NA())</f>
        <v>-9.5890410958904102</v>
      </c>
      <c r="Y25" s="25"/>
      <c r="Z25" s="25">
        <f>I25/$Y$11</f>
        <v>0.31668237511781339</v>
      </c>
      <c r="AA25" s="25">
        <f>J25/$Y$11</f>
        <v>6.8803016022620164E-2</v>
      </c>
      <c r="AB25" s="7" t="str">
        <f>IF(ISNA(J25),"",TEXT(J25,"#,##0"))</f>
        <v>73</v>
      </c>
      <c r="AC25" s="25">
        <f>K25/$Y$11</f>
        <v>0</v>
      </c>
      <c r="AD25" s="7" t="str">
        <f>IF(ISNA(K25),"",TEXT(K25,"#,##0"))</f>
        <v>0</v>
      </c>
      <c r="AE25" s="25">
        <f>N25/$Y$11</f>
        <v>0.35721017907634306</v>
      </c>
      <c r="AF25" s="25">
        <f>O25/$Y$11</f>
        <v>6.2205466540999059E-2</v>
      </c>
      <c r="AG25" s="7" t="str">
        <f>IF(ISNA(O25),"",TEXT(O25,"#,##0"))</f>
        <v>66</v>
      </c>
      <c r="AH25" s="25">
        <f>P25/$Y$11</f>
        <v>0</v>
      </c>
      <c r="AI25" s="7" t="str">
        <f>IF(ISNA(P25),"",TEXT(P25,"#,##0"))</f>
        <v>0</v>
      </c>
      <c r="AJ25" s="25">
        <f>E25/$Y$11</f>
        <v>-6.5975494816211122E-3</v>
      </c>
      <c r="AK25" s="7" t="str">
        <f>IF(ISNA(E25),"",TEXT(E25,"+0;-0"))</f>
        <v>-7</v>
      </c>
      <c r="AL25" s="25" t="e">
        <f>Q25/$Y$11</f>
        <v>#N/A</v>
      </c>
      <c r="AM25" s="25" t="e">
        <f>R25/$Y$11</f>
        <v>#N/A</v>
      </c>
      <c r="AN25" s="25" t="e">
        <f>S25/$Y$11</f>
        <v>#N/A</v>
      </c>
      <c r="AO25" s="25">
        <f>T25/$Y$11</f>
        <v>-6.5975494816211122E-3</v>
      </c>
      <c r="AP25" s="7">
        <f>IF(ISNA(F25),NA(),MEDIAN(-31.5,F25,238.5))</f>
        <v>-9.5890410958904102</v>
      </c>
      <c r="AQ25" s="7" t="e">
        <f>IF(ISNA(U25),NA(),MEDIAN(-31.5,U25,238.5))</f>
        <v>#N/A</v>
      </c>
      <c r="AR25" s="7" t="e">
        <f>IF(ISNA(V25),NA(),MEDIAN(-31.5,V25,238.5))</f>
        <v>#N/A</v>
      </c>
      <c r="AS25" s="7" t="e">
        <f>IF(ISNA(W25),NA(),MEDIAN(-31.5,W25,238.5))</f>
        <v>#N/A</v>
      </c>
      <c r="AT25" s="7">
        <f>IF(ISNA(X25),NA(),MEDIAN(-31.5,X25,238.5))</f>
        <v>-9.5890410958904102</v>
      </c>
      <c r="AU25" s="7" t="str">
        <f>IF(ISNA(F25),"",IF(F25&gt;265,TEXT(F25,"+0;-0")&amp;REPT(_xlfn.UNICHAR(9658),MIN(3,MAX(1,INT(F25/265)))),IF(F25&lt;-35,REPT(_xlfn.UNICHAR(9668),MIN(3,MAX(1,INT(-F25/35))))&amp;TEXT(F25,"+0;-0"),TEXT(F25,"+0;-0"))))</f>
        <v>-10</v>
      </c>
    </row>
    <row r="26" spans="1:47" x14ac:dyDescent="0.35">
      <c r="A26" s="11" t="s">
        <v>255</v>
      </c>
      <c r="B26" s="26">
        <v>1</v>
      </c>
      <c r="C26" s="32">
        <f>G25</f>
        <v>409</v>
      </c>
      <c r="D26" s="32">
        <f>L25</f>
        <v>445</v>
      </c>
      <c r="E26" s="36">
        <f>D26-C26</f>
        <v>36</v>
      </c>
      <c r="F26" s="24">
        <f>IF(C26&lt;=0,NA(),(D26-C26)/C26*100)</f>
        <v>8.8019559902200495</v>
      </c>
      <c r="G26" s="34">
        <f>G25</f>
        <v>409</v>
      </c>
      <c r="H26" s="34">
        <f>0</f>
        <v>0</v>
      </c>
      <c r="I26" s="34">
        <f>MIN(H26,G26)</f>
        <v>0</v>
      </c>
      <c r="J26" s="34">
        <f>IF(B26&gt;0,ABS(G26-H26),0)</f>
        <v>409</v>
      </c>
      <c r="K26" s="34">
        <f>IF(B26&lt;0,ABS(G26-H26),0)</f>
        <v>0</v>
      </c>
      <c r="L26" s="34">
        <f>L25</f>
        <v>445</v>
      </c>
      <c r="M26" s="34">
        <f>0</f>
        <v>0</v>
      </c>
      <c r="N26" s="34">
        <f>MIN(M26,L26)</f>
        <v>0</v>
      </c>
      <c r="O26" s="34">
        <f>IF(B26&gt;0,ABS(L26-M26),0)</f>
        <v>445</v>
      </c>
      <c r="P26" s="34">
        <f>IF(B26&lt;0,ABS(L26-M26),0)</f>
        <v>0</v>
      </c>
      <c r="Q26" s="36">
        <f>IF(AND($E26&gt;0,$B26&gt;0),$E26,NA())</f>
        <v>36</v>
      </c>
      <c r="R26" s="36" t="e">
        <f>IF(AND($E26&gt;0,$B26&lt;0),$E26,NA())</f>
        <v>#N/A</v>
      </c>
      <c r="S26" s="36" t="e">
        <f>IF(AND($E26&lt;0,$B26&lt;0),$E26,NA())</f>
        <v>#N/A</v>
      </c>
      <c r="T26" s="36" t="e">
        <f>IF(AND($E26&lt;0,$B26&gt;0),$E26,NA())</f>
        <v>#N/A</v>
      </c>
      <c r="U26" s="24">
        <f>IF(AND($F26&gt;0,$B26&gt;0),$F26,NA())</f>
        <v>8.8019559902200495</v>
      </c>
      <c r="V26" s="24" t="e">
        <f>IF(AND($F26&gt;0,$B26&lt;0),$F26,NA())</f>
        <v>#N/A</v>
      </c>
      <c r="W26" s="24" t="e">
        <f>IF(AND($F26&lt;0,$B26&lt;0),$F26,NA())</f>
        <v>#N/A</v>
      </c>
      <c r="X26" s="24" t="e">
        <f>IF(AND($F26&lt;0,$B26&gt;0),$F26,NA())</f>
        <v>#N/A</v>
      </c>
      <c r="Y26" s="25"/>
      <c r="Z26" s="25">
        <f>I26/$Y$11</f>
        <v>0</v>
      </c>
      <c r="AA26" s="25">
        <f>J26/$Y$11</f>
        <v>0.38548539114043356</v>
      </c>
      <c r="AB26" s="7" t="str">
        <f>IF(ISNA(J26),"",TEXT(J26,"#,##0"))</f>
        <v>409</v>
      </c>
      <c r="AC26" s="25">
        <f>K26/$Y$11</f>
        <v>0</v>
      </c>
      <c r="AD26" s="7" t="str">
        <f>IF(ISNA(K26),"",TEXT(K26,"#,##0"))</f>
        <v>0</v>
      </c>
      <c r="AE26" s="25">
        <f>N26/$Y$11</f>
        <v>0</v>
      </c>
      <c r="AF26" s="25">
        <f>O26/$Y$11</f>
        <v>0.41941564561734213</v>
      </c>
      <c r="AG26" s="7" t="str">
        <f>IF(ISNA(O26),"",TEXT(O26,"#,##0"))</f>
        <v>445</v>
      </c>
      <c r="AH26" s="25">
        <f>P26/$Y$11</f>
        <v>0</v>
      </c>
      <c r="AI26" s="7" t="str">
        <f>IF(ISNA(P26),"",TEXT(P26,"#,##0"))</f>
        <v>0</v>
      </c>
      <c r="AJ26" s="25">
        <f>E26/$Y$11</f>
        <v>3.3930254476908575E-2</v>
      </c>
      <c r="AK26" s="7" t="str">
        <f>IF(ISNA(E26),"",TEXT(E26,"+0;-0"))</f>
        <v>+36</v>
      </c>
      <c r="AL26" s="25">
        <f>Q26/$Y$11</f>
        <v>3.3930254476908575E-2</v>
      </c>
      <c r="AM26" s="25" t="e">
        <f>R26/$Y$11</f>
        <v>#N/A</v>
      </c>
      <c r="AN26" s="25" t="e">
        <f>S26/$Y$11</f>
        <v>#N/A</v>
      </c>
      <c r="AO26" s="25" t="e">
        <f>T26/$Y$11</f>
        <v>#N/A</v>
      </c>
      <c r="AP26" s="7">
        <f>IF(ISNA(F26),NA(),MEDIAN(-31.5,F26,238.5))</f>
        <v>8.8019559902200495</v>
      </c>
      <c r="AQ26" s="7">
        <f>IF(ISNA(U26),NA(),MEDIAN(-31.5,U26,238.5))</f>
        <v>8.8019559902200495</v>
      </c>
      <c r="AR26" s="7" t="e">
        <f>IF(ISNA(V26),NA(),MEDIAN(-31.5,V26,238.5))</f>
        <v>#N/A</v>
      </c>
      <c r="AS26" s="7" t="e">
        <f>IF(ISNA(W26),NA(),MEDIAN(-31.5,W26,238.5))</f>
        <v>#N/A</v>
      </c>
      <c r="AT26" s="7" t="e">
        <f>IF(ISNA(X26),NA(),MEDIAN(-31.5,X26,238.5))</f>
        <v>#N/A</v>
      </c>
      <c r="AU26" s="7" t="str">
        <f>IF(ISNA(F26),"",IF(F26&gt;265,TEXT(F26,"+0;-0")&amp;REPT(_xlfn.UNICHAR(9658),MIN(3,MAX(1,INT(F26/265)))),IF(F26&lt;-35,REPT(_xlfn.UNICHAR(9668),MIN(3,MAX(1,INT(-F26/35))))&amp;TEXT(F26,"+0;-0"),TEXT(F26,"+0;-0"))))</f>
        <v>+9</v>
      </c>
    </row>
    <row r="27" spans="1:47" x14ac:dyDescent="0.35">
      <c r="A27" s="11" t="s">
        <v>256</v>
      </c>
      <c r="B27" s="26">
        <v>-1</v>
      </c>
      <c r="C27" s="31">
        <v>132</v>
      </c>
      <c r="D27" s="31">
        <v>111</v>
      </c>
      <c r="E27" s="36">
        <f>D27-C27</f>
        <v>-21</v>
      </c>
      <c r="F27" s="24">
        <f>IF(C27&lt;=0,NA(),(D27-C27)/C27*100)</f>
        <v>-15.909090909090908</v>
      </c>
      <c r="G27" s="34">
        <f>G26+B27*C27</f>
        <v>277</v>
      </c>
      <c r="H27" s="34">
        <f>G26</f>
        <v>409</v>
      </c>
      <c r="I27" s="34">
        <f>MIN(H27,G27)</f>
        <v>277</v>
      </c>
      <c r="J27" s="34">
        <f>IF(B27&gt;0,ABS(G27-H27),0)</f>
        <v>0</v>
      </c>
      <c r="K27" s="34">
        <f>IF(B27&lt;0,ABS(G27-H27),0)</f>
        <v>132</v>
      </c>
      <c r="L27" s="34">
        <f>L26+B27*D27</f>
        <v>334</v>
      </c>
      <c r="M27" s="34">
        <f>L26</f>
        <v>445</v>
      </c>
      <c r="N27" s="34">
        <f>MIN(M27,L27)</f>
        <v>334</v>
      </c>
      <c r="O27" s="34">
        <f>IF(B27&gt;0,ABS(L27-M27),0)</f>
        <v>0</v>
      </c>
      <c r="P27" s="34">
        <f>IF(B27&lt;0,ABS(L27-M27),0)</f>
        <v>111</v>
      </c>
      <c r="Q27" s="36" t="e">
        <f>IF(AND($E27&gt;0,$B27&gt;0),$E27,NA())</f>
        <v>#N/A</v>
      </c>
      <c r="R27" s="36" t="e">
        <f>IF(AND($E27&gt;0,$B27&lt;0),$E27,NA())</f>
        <v>#N/A</v>
      </c>
      <c r="S27" s="36">
        <f>IF(AND($E27&lt;0,$B27&lt;0),$E27,NA())</f>
        <v>-21</v>
      </c>
      <c r="T27" s="36" t="e">
        <f>IF(AND($E27&lt;0,$B27&gt;0),$E27,NA())</f>
        <v>#N/A</v>
      </c>
      <c r="U27" s="24" t="e">
        <f>IF(AND($F27&gt;0,$B27&gt;0),$F27,NA())</f>
        <v>#N/A</v>
      </c>
      <c r="V27" s="24" t="e">
        <f>IF(AND($F27&gt;0,$B27&lt;0),$F27,NA())</f>
        <v>#N/A</v>
      </c>
      <c r="W27" s="24">
        <f>IF(AND($F27&lt;0,$B27&lt;0),$F27,NA())</f>
        <v>-15.909090909090908</v>
      </c>
      <c r="X27" s="24" t="e">
        <f>IF(AND($F27&lt;0,$B27&gt;0),$F27,NA())</f>
        <v>#N/A</v>
      </c>
      <c r="Y27" s="25"/>
      <c r="Z27" s="25">
        <f>I27/$Y$11</f>
        <v>0.26107445805843543</v>
      </c>
      <c r="AA27" s="25">
        <f>J27/$Y$11</f>
        <v>0</v>
      </c>
      <c r="AB27" s="7" t="str">
        <f>IF(ISNA(J27),"",TEXT(J27,"#,##0"))</f>
        <v>0</v>
      </c>
      <c r="AC27" s="25">
        <f>K27/$Y$11</f>
        <v>0.12441093308199812</v>
      </c>
      <c r="AD27" s="7" t="str">
        <f>IF(ISNA(K27),"",TEXT(K27,"#,##0"))</f>
        <v>132</v>
      </c>
      <c r="AE27" s="25">
        <f>N27/$Y$11</f>
        <v>0.31479736098020733</v>
      </c>
      <c r="AF27" s="25">
        <f>O27/$Y$11</f>
        <v>0</v>
      </c>
      <c r="AG27" s="7" t="str">
        <f>IF(ISNA(O27),"",TEXT(O27,"#,##0"))</f>
        <v>0</v>
      </c>
      <c r="AH27" s="25">
        <f>P27/$Y$11</f>
        <v>0.10461828463713478</v>
      </c>
      <c r="AI27" s="7" t="str">
        <f>IF(ISNA(P27),"",TEXT(P27,"#,##0"))</f>
        <v>111</v>
      </c>
      <c r="AJ27" s="25">
        <f>E27/$Y$11</f>
        <v>-1.9792648444863337E-2</v>
      </c>
      <c r="AK27" s="7" t="str">
        <f>IF(ISNA(E27),"",TEXT(E27,"+0;-0"))</f>
        <v>-21</v>
      </c>
      <c r="AL27" s="25" t="e">
        <f>Q27/$Y$11</f>
        <v>#N/A</v>
      </c>
      <c r="AM27" s="25" t="e">
        <f>R27/$Y$11</f>
        <v>#N/A</v>
      </c>
      <c r="AN27" s="25">
        <f>S27/$Y$11</f>
        <v>-1.9792648444863337E-2</v>
      </c>
      <c r="AO27" s="25" t="e">
        <f>T27/$Y$11</f>
        <v>#N/A</v>
      </c>
      <c r="AP27" s="7">
        <f>IF(ISNA(F27),NA(),MEDIAN(-31.5,F27,238.5))</f>
        <v>-15.909090909090908</v>
      </c>
      <c r="AQ27" s="7" t="e">
        <f>IF(ISNA(U27),NA(),MEDIAN(-31.5,U27,238.5))</f>
        <v>#N/A</v>
      </c>
      <c r="AR27" s="7" t="e">
        <f>IF(ISNA(V27),NA(),MEDIAN(-31.5,V27,238.5))</f>
        <v>#N/A</v>
      </c>
      <c r="AS27" s="7">
        <f>IF(ISNA(W27),NA(),MEDIAN(-31.5,W27,238.5))</f>
        <v>-15.909090909090908</v>
      </c>
      <c r="AT27" s="7" t="e">
        <f>IF(ISNA(X27),NA(),MEDIAN(-31.5,X27,238.5))</f>
        <v>#N/A</v>
      </c>
      <c r="AU27" s="7" t="str">
        <f>IF(ISNA(F27),"",IF(F27&gt;265,TEXT(F27,"+0;-0")&amp;REPT(_xlfn.UNICHAR(9658),MIN(3,MAX(1,INT(F27/265)))),IF(F27&lt;-35,REPT(_xlfn.UNICHAR(9668),MIN(3,MAX(1,INT(-F27/35))))&amp;TEXT(F27,"+0;-0"),TEXT(F27,"+0;-0"))))</f>
        <v>-16</v>
      </c>
    </row>
    <row r="28" spans="1:47" x14ac:dyDescent="0.35">
      <c r="A28" s="11" t="s">
        <v>257</v>
      </c>
      <c r="B28" s="26">
        <v>1</v>
      </c>
      <c r="C28" s="32">
        <f>G27</f>
        <v>277</v>
      </c>
      <c r="D28" s="32">
        <f>L27</f>
        <v>334</v>
      </c>
      <c r="E28" s="36">
        <f>D28-C28</f>
        <v>57</v>
      </c>
      <c r="F28" s="24">
        <f>IF(C28&lt;=0,NA(),(D28-C28)/C28*100)</f>
        <v>20.577617328519857</v>
      </c>
      <c r="G28" s="34">
        <f>G27</f>
        <v>277</v>
      </c>
      <c r="H28" s="34">
        <f>0</f>
        <v>0</v>
      </c>
      <c r="I28" s="34">
        <f>MIN(H28,G28)</f>
        <v>0</v>
      </c>
      <c r="J28" s="34">
        <f>IF(B28&gt;0,ABS(G28-H28),0)</f>
        <v>277</v>
      </c>
      <c r="K28" s="34">
        <f>IF(B28&lt;0,ABS(G28-H28),0)</f>
        <v>0</v>
      </c>
      <c r="L28" s="34">
        <f>L27</f>
        <v>334</v>
      </c>
      <c r="M28" s="34">
        <f>0</f>
        <v>0</v>
      </c>
      <c r="N28" s="34">
        <f>MIN(M28,L28)</f>
        <v>0</v>
      </c>
      <c r="O28" s="34">
        <f>IF(B28&gt;0,ABS(L28-M28),0)</f>
        <v>334</v>
      </c>
      <c r="P28" s="34">
        <f>IF(B28&lt;0,ABS(L28-M28),0)</f>
        <v>0</v>
      </c>
      <c r="Q28" s="36">
        <f>IF(AND($E28&gt;0,$B28&gt;0),$E28,NA())</f>
        <v>57</v>
      </c>
      <c r="R28" s="36" t="e">
        <f>IF(AND($E28&gt;0,$B28&lt;0),$E28,NA())</f>
        <v>#N/A</v>
      </c>
      <c r="S28" s="36" t="e">
        <f>IF(AND($E28&lt;0,$B28&lt;0),$E28,NA())</f>
        <v>#N/A</v>
      </c>
      <c r="T28" s="36" t="e">
        <f>IF(AND($E28&lt;0,$B28&gt;0),$E28,NA())</f>
        <v>#N/A</v>
      </c>
      <c r="U28" s="24">
        <f>IF(AND($F28&gt;0,$B28&gt;0),$F28,NA())</f>
        <v>20.577617328519857</v>
      </c>
      <c r="V28" s="24" t="e">
        <f>IF(AND($F28&gt;0,$B28&lt;0),$F28,NA())</f>
        <v>#N/A</v>
      </c>
      <c r="W28" s="24" t="e">
        <f>IF(AND($F28&lt;0,$B28&lt;0),$F28,NA())</f>
        <v>#N/A</v>
      </c>
      <c r="X28" s="24" t="e">
        <f>IF(AND($F28&lt;0,$B28&gt;0),$F28,NA())</f>
        <v>#N/A</v>
      </c>
      <c r="Y28" s="25"/>
      <c r="Z28" s="25">
        <f>I28/$Y$11</f>
        <v>0</v>
      </c>
      <c r="AA28" s="25">
        <f>J28/$Y$11</f>
        <v>0.26107445805843543</v>
      </c>
      <c r="AB28" s="7" t="str">
        <f>IF(ISNA(J28),"",TEXT(J28,"#,##0"))</f>
        <v>277</v>
      </c>
      <c r="AC28" s="25">
        <f>K28/$Y$11</f>
        <v>0</v>
      </c>
      <c r="AD28" s="7" t="str">
        <f>IF(ISNA(K28),"",TEXT(K28,"#,##0"))</f>
        <v>0</v>
      </c>
      <c r="AE28" s="25">
        <f>N28/$Y$11</f>
        <v>0</v>
      </c>
      <c r="AF28" s="25">
        <f>O28/$Y$11</f>
        <v>0.31479736098020733</v>
      </c>
      <c r="AG28" s="7" t="str">
        <f>IF(ISNA(O28),"",TEXT(O28,"#,##0"))</f>
        <v>334</v>
      </c>
      <c r="AH28" s="25">
        <f>P28/$Y$11</f>
        <v>0</v>
      </c>
      <c r="AI28" s="7" t="str">
        <f>IF(ISNA(P28),"",TEXT(P28,"#,##0"))</f>
        <v>0</v>
      </c>
      <c r="AJ28" s="25">
        <f>E28/$Y$11</f>
        <v>5.3722902921771912E-2</v>
      </c>
      <c r="AK28" s="7" t="str">
        <f>IF(ISNA(E28),"",TEXT(E28,"+0;-0"))</f>
        <v>+57</v>
      </c>
      <c r="AL28" s="25">
        <f>Q28/$Y$11</f>
        <v>5.3722902921771912E-2</v>
      </c>
      <c r="AM28" s="25" t="e">
        <f>R28/$Y$11</f>
        <v>#N/A</v>
      </c>
      <c r="AN28" s="25" t="e">
        <f>S28/$Y$11</f>
        <v>#N/A</v>
      </c>
      <c r="AO28" s="25" t="e">
        <f>T28/$Y$11</f>
        <v>#N/A</v>
      </c>
      <c r="AP28" s="7">
        <f>IF(ISNA(F28),NA(),MEDIAN(-31.5,F28,238.5))</f>
        <v>20.577617328519857</v>
      </c>
      <c r="AQ28" s="7">
        <f>IF(ISNA(U28),NA(),MEDIAN(-31.5,U28,238.5))</f>
        <v>20.577617328519857</v>
      </c>
      <c r="AR28" s="7" t="e">
        <f>IF(ISNA(V28),NA(),MEDIAN(-31.5,V28,238.5))</f>
        <v>#N/A</v>
      </c>
      <c r="AS28" s="7" t="e">
        <f>IF(ISNA(W28),NA(),MEDIAN(-31.5,W28,238.5))</f>
        <v>#N/A</v>
      </c>
      <c r="AT28" s="7" t="e">
        <f>IF(ISNA(X28),NA(),MEDIAN(-31.5,X28,238.5))</f>
        <v>#N/A</v>
      </c>
      <c r="AU28" s="7" t="str">
        <f>IF(ISNA(F28),"",IF(F28&gt;265,TEXT(F28,"+0;-0")&amp;REPT(_xlfn.UNICHAR(9658),MIN(3,MAX(1,INT(F28/265)))),IF(F28&lt;-35,REPT(_xlfn.UNICHAR(9668),MIN(3,MAX(1,INT(-F28/35))))&amp;TEXT(F28,"+0;-0"),TEXT(F28,"+0;-0"))))</f>
        <v>+21</v>
      </c>
    </row>
    <row r="29" spans="1:47" x14ac:dyDescent="0.35">
      <c r="A29" s="11" t="s">
        <v>258</v>
      </c>
      <c r="B29" s="26">
        <v>-1</v>
      </c>
      <c r="C29" s="31">
        <v>89</v>
      </c>
      <c r="D29" s="31">
        <v>55</v>
      </c>
      <c r="E29" s="36">
        <f>D29-C29</f>
        <v>-34</v>
      </c>
      <c r="F29" s="24">
        <f>IF(C29&lt;=0,NA(),(D29-C29)/C29*100)</f>
        <v>-38.202247191011232</v>
      </c>
      <c r="G29" s="34">
        <f>G28+B29*C29</f>
        <v>188</v>
      </c>
      <c r="H29" s="34">
        <f>G28</f>
        <v>277</v>
      </c>
      <c r="I29" s="34">
        <f>MIN(H29,G29)</f>
        <v>188</v>
      </c>
      <c r="J29" s="34">
        <f>IF(B29&gt;0,ABS(G29-H29),0)</f>
        <v>0</v>
      </c>
      <c r="K29" s="34">
        <f>IF(B29&lt;0,ABS(G29-H29),0)</f>
        <v>89</v>
      </c>
      <c r="L29" s="34">
        <f>L28+B29*D29</f>
        <v>279</v>
      </c>
      <c r="M29" s="34">
        <f>L28</f>
        <v>334</v>
      </c>
      <c r="N29" s="34">
        <f>MIN(M29,L29)</f>
        <v>279</v>
      </c>
      <c r="O29" s="34">
        <f>IF(B29&gt;0,ABS(L29-M29),0)</f>
        <v>0</v>
      </c>
      <c r="P29" s="34">
        <f>IF(B29&lt;0,ABS(L29-M29),0)</f>
        <v>55</v>
      </c>
      <c r="Q29" s="36" t="e">
        <f>IF(AND($E29&gt;0,$B29&gt;0),$E29,NA())</f>
        <v>#N/A</v>
      </c>
      <c r="R29" s="36" t="e">
        <f>IF(AND($E29&gt;0,$B29&lt;0),$E29,NA())</f>
        <v>#N/A</v>
      </c>
      <c r="S29" s="36">
        <f>IF(AND($E29&lt;0,$B29&lt;0),$E29,NA())</f>
        <v>-34</v>
      </c>
      <c r="T29" s="36" t="e">
        <f>IF(AND($E29&lt;0,$B29&gt;0),$E29,NA())</f>
        <v>#N/A</v>
      </c>
      <c r="U29" s="24" t="e">
        <f>IF(AND($F29&gt;0,$B29&gt;0),$F29,NA())</f>
        <v>#N/A</v>
      </c>
      <c r="V29" s="24" t="e">
        <f>IF(AND($F29&gt;0,$B29&lt;0),$F29,NA())</f>
        <v>#N/A</v>
      </c>
      <c r="W29" s="24">
        <f>IF(AND($F29&lt;0,$B29&lt;0),$F29,NA())</f>
        <v>-38.202247191011232</v>
      </c>
      <c r="X29" s="24" t="e">
        <f>IF(AND($F29&lt;0,$B29&gt;0),$F29,NA())</f>
        <v>#N/A</v>
      </c>
      <c r="Y29" s="25"/>
      <c r="Z29" s="25">
        <f>I29/$Y$11</f>
        <v>0.177191328934967</v>
      </c>
      <c r="AA29" s="25">
        <f>J29/$Y$11</f>
        <v>0</v>
      </c>
      <c r="AB29" s="7" t="str">
        <f>IF(ISNA(J29),"",TEXT(J29,"#,##0"))</f>
        <v>0</v>
      </c>
      <c r="AC29" s="25">
        <f>K29/$Y$11</f>
        <v>8.3883129123468431E-2</v>
      </c>
      <c r="AD29" s="7" t="str">
        <f>IF(ISNA(K29),"",TEXT(K29,"#,##0"))</f>
        <v>89</v>
      </c>
      <c r="AE29" s="25">
        <f>N29/$Y$11</f>
        <v>0.26295947219604149</v>
      </c>
      <c r="AF29" s="25">
        <f>O29/$Y$11</f>
        <v>0</v>
      </c>
      <c r="AG29" s="7" t="str">
        <f>IF(ISNA(O29),"",TEXT(O29,"#,##0"))</f>
        <v>0</v>
      </c>
      <c r="AH29" s="25">
        <f>P29/$Y$11</f>
        <v>5.1837888784165884E-2</v>
      </c>
      <c r="AI29" s="7" t="str">
        <f>IF(ISNA(P29),"",TEXT(P29,"#,##0"))</f>
        <v>55</v>
      </c>
      <c r="AJ29" s="25">
        <f>E29/$Y$11</f>
        <v>-3.2045240339302547E-2</v>
      </c>
      <c r="AK29" s="7" t="str">
        <f>IF(ISNA(E29),"",TEXT(E29,"+0;-0"))</f>
        <v>-34</v>
      </c>
      <c r="AL29" s="25" t="e">
        <f>Q29/$Y$11</f>
        <v>#N/A</v>
      </c>
      <c r="AM29" s="25" t="e">
        <f>R29/$Y$11</f>
        <v>#N/A</v>
      </c>
      <c r="AN29" s="25">
        <f>S29/$Y$11</f>
        <v>-3.2045240339302547E-2</v>
      </c>
      <c r="AO29" s="25" t="e">
        <f>T29/$Y$11</f>
        <v>#N/A</v>
      </c>
      <c r="AP29" s="7">
        <f>IF(ISNA(F29),NA(),MEDIAN(-31.5,F29,238.5))</f>
        <v>-31.5</v>
      </c>
      <c r="AQ29" s="7" t="e">
        <f>IF(ISNA(U29),NA(),MEDIAN(-31.5,U29,238.5))</f>
        <v>#N/A</v>
      </c>
      <c r="AR29" s="7" t="e">
        <f>IF(ISNA(V29),NA(),MEDIAN(-31.5,V29,238.5))</f>
        <v>#N/A</v>
      </c>
      <c r="AS29" s="7">
        <f>IF(ISNA(W29),NA(),MEDIAN(-31.5,W29,238.5))</f>
        <v>-31.5</v>
      </c>
      <c r="AT29" s="7" t="e">
        <f>IF(ISNA(X29),NA(),MEDIAN(-31.5,X29,238.5))</f>
        <v>#N/A</v>
      </c>
      <c r="AU29" s="7" t="str">
        <f>IF(ISNA(F29),"",IF(F29&gt;265,TEXT(F29,"+0;-0")&amp;REPT(_xlfn.UNICHAR(9658),MIN(3,MAX(1,INT(F29/265)))),IF(F29&lt;-35,REPT(_xlfn.UNICHAR(9668),MIN(3,MAX(1,INT(-F29/35))))&amp;TEXT(F29,"+0;-0"),TEXT(F29,"+0;-0"))))</f>
        <v>◄-38</v>
      </c>
    </row>
    <row r="30" spans="1:47" x14ac:dyDescent="0.35">
      <c r="A30" s="11" t="s">
        <v>259</v>
      </c>
      <c r="B30" s="26">
        <v>1</v>
      </c>
      <c r="C30" s="32">
        <f>G29</f>
        <v>188</v>
      </c>
      <c r="D30" s="32">
        <f>L29</f>
        <v>279</v>
      </c>
      <c r="E30" s="36">
        <f>D30-C30</f>
        <v>91</v>
      </c>
      <c r="F30" s="24">
        <f>IF(C30&lt;=0,NA(),(D30-C30)/C30*100)</f>
        <v>48.404255319148938</v>
      </c>
      <c r="G30" s="34">
        <f>G29</f>
        <v>188</v>
      </c>
      <c r="H30" s="34">
        <f>0</f>
        <v>0</v>
      </c>
      <c r="I30" s="34">
        <f>MIN(H30,G30)</f>
        <v>0</v>
      </c>
      <c r="J30" s="34">
        <f>IF(B30&gt;0,ABS(G30-H30),0)</f>
        <v>188</v>
      </c>
      <c r="K30" s="34">
        <f>IF(B30&lt;0,ABS(G30-H30),0)</f>
        <v>0</v>
      </c>
      <c r="L30" s="34">
        <f>L29</f>
        <v>279</v>
      </c>
      <c r="M30" s="34">
        <f>0</f>
        <v>0</v>
      </c>
      <c r="N30" s="34">
        <f>MIN(M30,L30)</f>
        <v>0</v>
      </c>
      <c r="O30" s="34">
        <f>IF(B30&gt;0,ABS(L30-M30),0)</f>
        <v>279</v>
      </c>
      <c r="P30" s="34">
        <f>IF(B30&lt;0,ABS(L30-M30),0)</f>
        <v>0</v>
      </c>
      <c r="Q30" s="36">
        <f>IF(AND($E30&gt;0,$B30&gt;0),$E30,NA())</f>
        <v>91</v>
      </c>
      <c r="R30" s="36" t="e">
        <f>IF(AND($E30&gt;0,$B30&lt;0),$E30,NA())</f>
        <v>#N/A</v>
      </c>
      <c r="S30" s="36" t="e">
        <f>IF(AND($E30&lt;0,$B30&lt;0),$E30,NA())</f>
        <v>#N/A</v>
      </c>
      <c r="T30" s="36" t="e">
        <f>IF(AND($E30&lt;0,$B30&gt;0),$E30,NA())</f>
        <v>#N/A</v>
      </c>
      <c r="U30" s="24">
        <f>IF(AND($F30&gt;0,$B30&gt;0),$F30,NA())</f>
        <v>48.404255319148938</v>
      </c>
      <c r="V30" s="24" t="e">
        <f>IF(AND($F30&gt;0,$B30&lt;0),$F30,NA())</f>
        <v>#N/A</v>
      </c>
      <c r="W30" s="24" t="e">
        <f>IF(AND($F30&lt;0,$B30&lt;0),$F30,NA())</f>
        <v>#N/A</v>
      </c>
      <c r="X30" s="24" t="e">
        <f>IF(AND($F30&lt;0,$B30&gt;0),$F30,NA())</f>
        <v>#N/A</v>
      </c>
      <c r="Y30" s="25"/>
      <c r="Z30" s="25">
        <f>I30/$Y$11</f>
        <v>0</v>
      </c>
      <c r="AA30" s="25">
        <f>J30/$Y$11</f>
        <v>0.177191328934967</v>
      </c>
      <c r="AB30" s="7" t="str">
        <f>IF(ISNA(J30),"",TEXT(J30,"#,##0"))</f>
        <v>188</v>
      </c>
      <c r="AC30" s="25">
        <f>K30/$Y$11</f>
        <v>0</v>
      </c>
      <c r="AD30" s="7" t="str">
        <f>IF(ISNA(K30),"",TEXT(K30,"#,##0"))</f>
        <v>0</v>
      </c>
      <c r="AE30" s="25">
        <f>N30/$Y$11</f>
        <v>0</v>
      </c>
      <c r="AF30" s="25">
        <f>O30/$Y$11</f>
        <v>0.26295947219604149</v>
      </c>
      <c r="AG30" s="7" t="str">
        <f>IF(ISNA(O30),"",TEXT(O30,"#,##0"))</f>
        <v>279</v>
      </c>
      <c r="AH30" s="25">
        <f>P30/$Y$11</f>
        <v>0</v>
      </c>
      <c r="AI30" s="7" t="str">
        <f>IF(ISNA(P30),"",TEXT(P30,"#,##0"))</f>
        <v>0</v>
      </c>
      <c r="AJ30" s="25">
        <f>E30/$Y$11</f>
        <v>8.5768143261074459E-2</v>
      </c>
      <c r="AK30" s="7" t="str">
        <f>IF(ISNA(E30),"",TEXT(E30,"+0;-0"))</f>
        <v>+91</v>
      </c>
      <c r="AL30" s="25">
        <f>Q30/$Y$11</f>
        <v>8.5768143261074459E-2</v>
      </c>
      <c r="AM30" s="25" t="e">
        <f>R30/$Y$11</f>
        <v>#N/A</v>
      </c>
      <c r="AN30" s="25" t="e">
        <f>S30/$Y$11</f>
        <v>#N/A</v>
      </c>
      <c r="AO30" s="25" t="e">
        <f>T30/$Y$11</f>
        <v>#N/A</v>
      </c>
      <c r="AP30" s="7">
        <f>IF(ISNA(F30),NA(),MEDIAN(-31.5,F30,238.5))</f>
        <v>48.404255319148938</v>
      </c>
      <c r="AQ30" s="7">
        <f>IF(ISNA(U30),NA(),MEDIAN(-31.5,U30,238.5))</f>
        <v>48.404255319148938</v>
      </c>
      <c r="AR30" s="7" t="e">
        <f>IF(ISNA(V30),NA(),MEDIAN(-31.5,V30,238.5))</f>
        <v>#N/A</v>
      </c>
      <c r="AS30" s="7" t="e">
        <f>IF(ISNA(W30),NA(),MEDIAN(-31.5,W30,238.5))</f>
        <v>#N/A</v>
      </c>
      <c r="AT30" s="7" t="e">
        <f>IF(ISNA(X30),NA(),MEDIAN(-31.5,X30,238.5))</f>
        <v>#N/A</v>
      </c>
      <c r="AU30" s="7" t="str">
        <f>IF(ISNA(F30),"",IF(F30&gt;265,TEXT(F30,"+0;-0")&amp;REPT(_xlfn.UNICHAR(9658),MIN(3,MAX(1,INT(F30/265)))),IF(F30&lt;-35,REPT(_xlfn.UNICHAR(9668),MIN(3,MAX(1,INT(-F30/35))))&amp;TEXT(F30,"+0;-0"),TEXT(F30,"+0;-0"))))</f>
        <v>+48</v>
      </c>
    </row>
  </sheetData>
  <mergeCells count="7">
    <mergeCell ref="B7:AU7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Read me</vt:lpstr>
      <vt:lpstr>C01A</vt:lpstr>
      <vt:lpstr>C02A</vt:lpstr>
      <vt:lpstr>C03A</vt:lpstr>
      <vt:lpstr>C04A</vt:lpstr>
      <vt:lpstr>C05X</vt:lpstr>
      <vt:lpstr>C06F</vt:lpstr>
      <vt:lpstr>C12A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'C12A'!Print_Area</vt:lpstr>
      <vt:lpstr>'Read me'!Print_Area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2026-08-21T04:57:06Z</dcterms:created>
  <dcterms:modified xsi:type="dcterms:W3CDTF">2026-08-21T04:58:14Z</dcterms:modified>
</cp:coreProperties>
</file>