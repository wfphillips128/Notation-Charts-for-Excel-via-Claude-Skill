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hi\AppData\Local\Temp\tmp_y_1s3au\"/>
    </mc:Choice>
  </mc:AlternateContent>
  <xr:revisionPtr revIDLastSave="0" documentId="8_{A77FD1F6-8336-4DA9-AEDA-9C8160732746}" xr6:coauthVersionLast="47" xr6:coauthVersionMax="47" xr10:uidLastSave="{00000000-0000-0000-0000-000000000000}"/>
  <bookViews>
    <workbookView xWindow="-110" yWindow="-110" windowWidth="38620" windowHeight="21100" xr2:uid="{A2C3C371-4DAF-4FA9-A957-BBB120686E7E}"/>
  </bookViews>
  <sheets>
    <sheet name="Read me" sheetId="1" r:id="rId1"/>
    <sheet name="Sources" sheetId="2" r:id="rId2"/>
    <sheet name="C01A" sheetId="3" r:id="rId3"/>
    <sheet name="C02A" sheetId="4" r:id="rId4"/>
    <sheet name="C03A" sheetId="5" r:id="rId5"/>
    <sheet name="C04A" sheetId="6" r:id="rId6"/>
    <sheet name="C05X" sheetId="7" r:id="rId7"/>
    <sheet name="C06F" sheetId="8" r:id="rId8"/>
    <sheet name="C12A" sheetId="9" r:id="rId9"/>
  </sheets>
  <definedNames>
    <definedName name="_xlnm.Print_Area" localSheetId="2">'C01A'!$G$1:$M$68</definedName>
    <definedName name="_xlnm.Print_Area" localSheetId="3">'C02A'!$W$1:$AI$10</definedName>
    <definedName name="_xlnm.Print_Area" localSheetId="4">'C03A'!$AD$1:$AO$21</definedName>
    <definedName name="_xlnm.Print_Area" localSheetId="5">'C04A'!$Z$1:$AI$30</definedName>
    <definedName name="_xlnm.Print_Area" localSheetId="6">'C05X'!$AV$1:$BI$34</definedName>
    <definedName name="_xlnm.Print_Area" localSheetId="7">'C06F'!$AN$1:$BC$34</definedName>
    <definedName name="_xlnm.Print_Area" localSheetId="8">'C12A'!$AV$1:$BD$33</definedName>
    <definedName name="_xlnm.Print_Area" localSheetId="0">'Read me'!$A$2:$A$28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Y11" i="9" l="1"/>
  <c r="AF20" i="9" s="1"/>
  <c r="P20" i="9"/>
  <c r="O20" i="9"/>
  <c r="N20" i="9"/>
  <c r="M20" i="9"/>
  <c r="L20" i="9"/>
  <c r="K20" i="9"/>
  <c r="J20" i="9"/>
  <c r="I20" i="9"/>
  <c r="H20" i="9"/>
  <c r="G20" i="9"/>
  <c r="AT20" i="9"/>
  <c r="AS20" i="9"/>
  <c r="AR20" i="9"/>
  <c r="AQ20" i="9"/>
  <c r="AP20" i="9"/>
  <c r="AK20" i="9"/>
  <c r="AI20" i="9"/>
  <c r="AG20" i="9"/>
  <c r="AD20" i="9"/>
  <c r="AB20" i="9"/>
  <c r="X20" i="9"/>
  <c r="W20" i="9"/>
  <c r="V20" i="9"/>
  <c r="U20" i="9"/>
  <c r="T20" i="9"/>
  <c r="S20" i="9"/>
  <c r="R20" i="9"/>
  <c r="Q20" i="9"/>
  <c r="AU20" i="9"/>
  <c r="F20" i="9"/>
  <c r="E20" i="9"/>
  <c r="D20" i="9"/>
  <c r="C20" i="9"/>
  <c r="P19" i="9"/>
  <c r="O19" i="9"/>
  <c r="N19" i="9"/>
  <c r="M19" i="9"/>
  <c r="L19" i="9"/>
  <c r="K19" i="9"/>
  <c r="J19" i="9"/>
  <c r="I19" i="9"/>
  <c r="H19" i="9"/>
  <c r="G19" i="9"/>
  <c r="AT19" i="9"/>
  <c r="AS19" i="9"/>
  <c r="AR19" i="9"/>
  <c r="AQ19" i="9"/>
  <c r="AP19" i="9"/>
  <c r="AK19" i="9"/>
  <c r="AI19" i="9"/>
  <c r="AG19" i="9"/>
  <c r="AD19" i="9"/>
  <c r="AB19" i="9"/>
  <c r="X19" i="9"/>
  <c r="W19" i="9"/>
  <c r="V19" i="9"/>
  <c r="U19" i="9"/>
  <c r="T19" i="9"/>
  <c r="S19" i="9"/>
  <c r="R19" i="9"/>
  <c r="Q19" i="9"/>
  <c r="AU19" i="9"/>
  <c r="F19" i="9"/>
  <c r="E19" i="9"/>
  <c r="P18" i="9"/>
  <c r="O18" i="9"/>
  <c r="N18" i="9"/>
  <c r="M18" i="9"/>
  <c r="L18" i="9"/>
  <c r="K18" i="9"/>
  <c r="J18" i="9"/>
  <c r="I18" i="9"/>
  <c r="H18" i="9"/>
  <c r="G18" i="9"/>
  <c r="AT18" i="9"/>
  <c r="AS18" i="9"/>
  <c r="AR18" i="9"/>
  <c r="AQ18" i="9"/>
  <c r="AP18" i="9"/>
  <c r="AK18" i="9"/>
  <c r="AI18" i="9"/>
  <c r="AG18" i="9"/>
  <c r="AD18" i="9"/>
  <c r="AB18" i="9"/>
  <c r="X18" i="9"/>
  <c r="W18" i="9"/>
  <c r="V18" i="9"/>
  <c r="U18" i="9"/>
  <c r="T18" i="9"/>
  <c r="S18" i="9"/>
  <c r="R18" i="9"/>
  <c r="Q18" i="9"/>
  <c r="AU18" i="9"/>
  <c r="F18" i="9"/>
  <c r="E18" i="9"/>
  <c r="D18" i="9"/>
  <c r="C18" i="9"/>
  <c r="P17" i="9"/>
  <c r="O17" i="9"/>
  <c r="N17" i="9"/>
  <c r="M17" i="9"/>
  <c r="L17" i="9"/>
  <c r="K17" i="9"/>
  <c r="J17" i="9"/>
  <c r="I17" i="9"/>
  <c r="H17" i="9"/>
  <c r="G17" i="9"/>
  <c r="AT17" i="9"/>
  <c r="AS17" i="9"/>
  <c r="AR17" i="9"/>
  <c r="AQ17" i="9"/>
  <c r="AP17" i="9"/>
  <c r="AK17" i="9"/>
  <c r="AI17" i="9"/>
  <c r="AG17" i="9"/>
  <c r="AD17" i="9"/>
  <c r="AB17" i="9"/>
  <c r="X17" i="9"/>
  <c r="W17" i="9"/>
  <c r="V17" i="9"/>
  <c r="U17" i="9"/>
  <c r="T17" i="9"/>
  <c r="S17" i="9"/>
  <c r="R17" i="9"/>
  <c r="Q17" i="9"/>
  <c r="AU17" i="9"/>
  <c r="F17" i="9"/>
  <c r="E17" i="9"/>
  <c r="P16" i="9"/>
  <c r="O16" i="9"/>
  <c r="N16" i="9"/>
  <c r="M16" i="9"/>
  <c r="L16" i="9"/>
  <c r="K16" i="9"/>
  <c r="J16" i="9"/>
  <c r="I16" i="9"/>
  <c r="H16" i="9"/>
  <c r="G16" i="9"/>
  <c r="AT16" i="9"/>
  <c r="AS16" i="9"/>
  <c r="AR16" i="9"/>
  <c r="AQ16" i="9"/>
  <c r="AP16" i="9"/>
  <c r="AK16" i="9"/>
  <c r="AI16" i="9"/>
  <c r="AG16" i="9"/>
  <c r="AD16" i="9"/>
  <c r="AB16" i="9"/>
  <c r="X16" i="9"/>
  <c r="W16" i="9"/>
  <c r="V16" i="9"/>
  <c r="U16" i="9"/>
  <c r="T16" i="9"/>
  <c r="S16" i="9"/>
  <c r="R16" i="9"/>
  <c r="Q16" i="9"/>
  <c r="AU16" i="9"/>
  <c r="F16" i="9"/>
  <c r="E16" i="9"/>
  <c r="P15" i="9"/>
  <c r="O15" i="9"/>
  <c r="N15" i="9"/>
  <c r="M15" i="9"/>
  <c r="L15" i="9"/>
  <c r="K15" i="9"/>
  <c r="J15" i="9"/>
  <c r="I15" i="9"/>
  <c r="H15" i="9"/>
  <c r="G15" i="9"/>
  <c r="AT15" i="9"/>
  <c r="AS15" i="9"/>
  <c r="AR15" i="9"/>
  <c r="AQ15" i="9"/>
  <c r="AP15" i="9"/>
  <c r="AK15" i="9"/>
  <c r="AI15" i="9"/>
  <c r="AG15" i="9"/>
  <c r="AD15" i="9"/>
  <c r="AB15" i="9"/>
  <c r="X15" i="9"/>
  <c r="W15" i="9"/>
  <c r="V15" i="9"/>
  <c r="U15" i="9"/>
  <c r="T15" i="9"/>
  <c r="S15" i="9"/>
  <c r="R15" i="9"/>
  <c r="Q15" i="9"/>
  <c r="AU15" i="9"/>
  <c r="F15" i="9"/>
  <c r="E15" i="9"/>
  <c r="P14" i="9"/>
  <c r="O14" i="9"/>
  <c r="N14" i="9"/>
  <c r="M14" i="9"/>
  <c r="L14" i="9"/>
  <c r="K14" i="9"/>
  <c r="J14" i="9"/>
  <c r="I14" i="9"/>
  <c r="H14" i="9"/>
  <c r="G14" i="9"/>
  <c r="AT14" i="9"/>
  <c r="AS14" i="9"/>
  <c r="AR14" i="9"/>
  <c r="AQ14" i="9"/>
  <c r="AP14" i="9"/>
  <c r="AK14" i="9"/>
  <c r="AI14" i="9"/>
  <c r="AG14" i="9"/>
  <c r="AD14" i="9"/>
  <c r="AB14" i="9"/>
  <c r="X14" i="9"/>
  <c r="W14" i="9"/>
  <c r="V14" i="9"/>
  <c r="U14" i="9"/>
  <c r="T14" i="9"/>
  <c r="S14" i="9"/>
  <c r="R14" i="9"/>
  <c r="Q14" i="9"/>
  <c r="AU14" i="9"/>
  <c r="F14" i="9"/>
  <c r="E14" i="9"/>
  <c r="D14" i="9"/>
  <c r="C14" i="9"/>
  <c r="P13" i="9"/>
  <c r="O13" i="9"/>
  <c r="N13" i="9"/>
  <c r="M13" i="9"/>
  <c r="L13" i="9"/>
  <c r="K13" i="9"/>
  <c r="J13" i="9"/>
  <c r="I13" i="9"/>
  <c r="H13" i="9"/>
  <c r="G13" i="9"/>
  <c r="AT13" i="9"/>
  <c r="AS13" i="9"/>
  <c r="AR13" i="9"/>
  <c r="AQ13" i="9"/>
  <c r="AP13" i="9"/>
  <c r="AK13" i="9"/>
  <c r="AI13" i="9"/>
  <c r="AG13" i="9"/>
  <c r="AD13" i="9"/>
  <c r="AB13" i="9"/>
  <c r="X13" i="9"/>
  <c r="W13" i="9"/>
  <c r="V13" i="9"/>
  <c r="U13" i="9"/>
  <c r="T13" i="9"/>
  <c r="S13" i="9"/>
  <c r="R13" i="9"/>
  <c r="Q13" i="9"/>
  <c r="AU13" i="9"/>
  <c r="F13" i="9"/>
  <c r="E13" i="9"/>
  <c r="P12" i="9"/>
  <c r="O12" i="9"/>
  <c r="N12" i="9"/>
  <c r="M12" i="9"/>
  <c r="L12" i="9"/>
  <c r="K12" i="9"/>
  <c r="J12" i="9"/>
  <c r="I12" i="9"/>
  <c r="H12" i="9"/>
  <c r="G12" i="9"/>
  <c r="AT12" i="9"/>
  <c r="AS12" i="9"/>
  <c r="AR12" i="9"/>
  <c r="AQ12" i="9"/>
  <c r="AP12" i="9"/>
  <c r="AK12" i="9"/>
  <c r="AI12" i="9"/>
  <c r="AG12" i="9"/>
  <c r="AD12" i="9"/>
  <c r="AB12" i="9"/>
  <c r="X12" i="9"/>
  <c r="W12" i="9"/>
  <c r="V12" i="9"/>
  <c r="U12" i="9"/>
  <c r="T12" i="9"/>
  <c r="S12" i="9"/>
  <c r="R12" i="9"/>
  <c r="Q12" i="9"/>
  <c r="AU12" i="9"/>
  <c r="F12" i="9"/>
  <c r="E12" i="9"/>
  <c r="P11" i="9"/>
  <c r="O11" i="9"/>
  <c r="N11" i="9"/>
  <c r="M11" i="9"/>
  <c r="L11" i="9"/>
  <c r="K11" i="9"/>
  <c r="J11" i="9"/>
  <c r="I11" i="9"/>
  <c r="H11" i="9"/>
  <c r="G11" i="9"/>
  <c r="AT11" i="9"/>
  <c r="AS11" i="9"/>
  <c r="AR11" i="9"/>
  <c r="AQ11" i="9"/>
  <c r="AP11" i="9"/>
  <c r="AK11" i="9"/>
  <c r="AI11" i="9"/>
  <c r="AG11" i="9"/>
  <c r="AD11" i="9"/>
  <c r="AB11" i="9"/>
  <c r="X11" i="9"/>
  <c r="W11" i="9"/>
  <c r="V11" i="9"/>
  <c r="U11" i="9"/>
  <c r="T11" i="9"/>
  <c r="S11" i="9"/>
  <c r="R11" i="9"/>
  <c r="Q11" i="9"/>
  <c r="AU11" i="9"/>
  <c r="F11" i="9"/>
  <c r="E11" i="9"/>
  <c r="B7" i="9"/>
  <c r="U11" i="8"/>
  <c r="T11" i="8"/>
  <c r="AC24" i="8" s="1"/>
  <c r="M24" i="8"/>
  <c r="N24" i="8"/>
  <c r="G24" i="8"/>
  <c r="O24" i="8"/>
  <c r="S24" i="8"/>
  <c r="R24" i="8"/>
  <c r="F24" i="8"/>
  <c r="Q24" i="8"/>
  <c r="P24" i="8"/>
  <c r="L24" i="8"/>
  <c r="K24" i="8"/>
  <c r="J24" i="8"/>
  <c r="I24" i="8"/>
  <c r="H24" i="8"/>
  <c r="AM24" i="8"/>
  <c r="AL24" i="8"/>
  <c r="AK24" i="8"/>
  <c r="AJ24" i="8"/>
  <c r="AI24" i="8"/>
  <c r="AH24" i="8"/>
  <c r="AG24" i="8"/>
  <c r="AD24" i="8"/>
  <c r="AB24" i="8"/>
  <c r="Z24" i="8"/>
  <c r="W24" i="8"/>
  <c r="G23" i="8"/>
  <c r="N23" i="8"/>
  <c r="M23" i="8"/>
  <c r="O23" i="8"/>
  <c r="S23" i="8"/>
  <c r="R23" i="8"/>
  <c r="F23" i="8"/>
  <c r="Q23" i="8"/>
  <c r="P23" i="8"/>
  <c r="L23" i="8"/>
  <c r="K23" i="8"/>
  <c r="J23" i="8"/>
  <c r="I23" i="8"/>
  <c r="H23" i="8"/>
  <c r="AM23" i="8"/>
  <c r="AL23" i="8"/>
  <c r="AK23" i="8"/>
  <c r="AJ23" i="8"/>
  <c r="AI23" i="8"/>
  <c r="AG23" i="8"/>
  <c r="AD23" i="8"/>
  <c r="AB23" i="8"/>
  <c r="Z23" i="8"/>
  <c r="W23" i="8"/>
  <c r="D23" i="8"/>
  <c r="S22" i="8"/>
  <c r="R22" i="8"/>
  <c r="Q22" i="8"/>
  <c r="P22" i="8"/>
  <c r="O22" i="8"/>
  <c r="M22" i="8"/>
  <c r="N22" i="8"/>
  <c r="L22" i="8"/>
  <c r="K22" i="8"/>
  <c r="J22" i="8"/>
  <c r="I22" i="8"/>
  <c r="H22" i="8"/>
  <c r="G22" i="8"/>
  <c r="F22" i="8"/>
  <c r="AM22" i="8"/>
  <c r="AL22" i="8"/>
  <c r="AK22" i="8"/>
  <c r="AJ22" i="8"/>
  <c r="AI22" i="8"/>
  <c r="AG22" i="8"/>
  <c r="AF22" i="8"/>
  <c r="AD22" i="8"/>
  <c r="AC22" i="8"/>
  <c r="AB22" i="8"/>
  <c r="AA22" i="8"/>
  <c r="Z22" i="8"/>
  <c r="W22" i="8"/>
  <c r="S21" i="8"/>
  <c r="R21" i="8"/>
  <c r="Q21" i="8"/>
  <c r="P21" i="8"/>
  <c r="L21" i="8"/>
  <c r="K21" i="8"/>
  <c r="J21" i="8"/>
  <c r="I21" i="8"/>
  <c r="H21" i="8"/>
  <c r="G21" i="8"/>
  <c r="F21" i="8"/>
  <c r="AM21" i="8"/>
  <c r="AL21" i="8"/>
  <c r="AK21" i="8"/>
  <c r="AJ21" i="8"/>
  <c r="AI21" i="8"/>
  <c r="AH21" i="8"/>
  <c r="AG21" i="8"/>
  <c r="AF21" i="8"/>
  <c r="AD21" i="8"/>
  <c r="AB21" i="8"/>
  <c r="AA21" i="8"/>
  <c r="Z21" i="8"/>
  <c r="W21" i="8"/>
  <c r="S20" i="8"/>
  <c r="R20" i="8"/>
  <c r="Q20" i="8"/>
  <c r="P20" i="8"/>
  <c r="L20" i="8"/>
  <c r="K20" i="8"/>
  <c r="J20" i="8"/>
  <c r="I20" i="8"/>
  <c r="H20" i="8"/>
  <c r="G20" i="8"/>
  <c r="F20" i="8"/>
  <c r="AM20" i="8"/>
  <c r="AL20" i="8"/>
  <c r="AK20" i="8"/>
  <c r="AJ20" i="8"/>
  <c r="AI20" i="8"/>
  <c r="AG20" i="8"/>
  <c r="AF20" i="8"/>
  <c r="AD20" i="8"/>
  <c r="AB20" i="8"/>
  <c r="Z20" i="8"/>
  <c r="W20" i="8"/>
  <c r="S19" i="8"/>
  <c r="R19" i="8"/>
  <c r="Q19" i="8"/>
  <c r="P19" i="8"/>
  <c r="L19" i="8"/>
  <c r="K19" i="8"/>
  <c r="J19" i="8"/>
  <c r="I19" i="8"/>
  <c r="H19" i="8"/>
  <c r="G19" i="8"/>
  <c r="F19" i="8"/>
  <c r="AM19" i="8"/>
  <c r="AL19" i="8"/>
  <c r="AK19" i="8"/>
  <c r="AJ19" i="8"/>
  <c r="AI19" i="8"/>
  <c r="AG19" i="8"/>
  <c r="AD19" i="8"/>
  <c r="AB19" i="8"/>
  <c r="Z19" i="8"/>
  <c r="W19" i="8"/>
  <c r="S18" i="8"/>
  <c r="R18" i="8"/>
  <c r="Q18" i="8"/>
  <c r="P18" i="8"/>
  <c r="L18" i="8"/>
  <c r="K18" i="8"/>
  <c r="J18" i="8"/>
  <c r="I18" i="8"/>
  <c r="H18" i="8"/>
  <c r="G18" i="8"/>
  <c r="F18" i="8"/>
  <c r="AM18" i="8"/>
  <c r="AL18" i="8"/>
  <c r="AK18" i="8"/>
  <c r="AJ18" i="8"/>
  <c r="AI18" i="8"/>
  <c r="AG18" i="8"/>
  <c r="AD18" i="8"/>
  <c r="AB18" i="8"/>
  <c r="Z18" i="8"/>
  <c r="X18" i="8"/>
  <c r="W18" i="8"/>
  <c r="V18" i="8"/>
  <c r="S17" i="8"/>
  <c r="R17" i="8"/>
  <c r="Q17" i="8"/>
  <c r="P17" i="8"/>
  <c r="L17" i="8"/>
  <c r="K17" i="8"/>
  <c r="J17" i="8"/>
  <c r="I17" i="8"/>
  <c r="H17" i="8"/>
  <c r="G17" i="8"/>
  <c r="F17" i="8"/>
  <c r="AM17" i="8"/>
  <c r="AL17" i="8"/>
  <c r="AK17" i="8"/>
  <c r="AJ17" i="8"/>
  <c r="AI17" i="8"/>
  <c r="AG17" i="8"/>
  <c r="AD17" i="8"/>
  <c r="AB17" i="8"/>
  <c r="Z17" i="8"/>
  <c r="Y17" i="8"/>
  <c r="X17" i="8"/>
  <c r="W17" i="8"/>
  <c r="S16" i="8"/>
  <c r="R16" i="8"/>
  <c r="Q16" i="8"/>
  <c r="P16" i="8"/>
  <c r="L16" i="8"/>
  <c r="K16" i="8"/>
  <c r="J16" i="8"/>
  <c r="I16" i="8"/>
  <c r="H16" i="8"/>
  <c r="G16" i="8"/>
  <c r="F16" i="8"/>
  <c r="AM16" i="8"/>
  <c r="AL16" i="8"/>
  <c r="AK16" i="8"/>
  <c r="AJ16" i="8"/>
  <c r="AI16" i="8"/>
  <c r="AG16" i="8"/>
  <c r="AD16" i="8"/>
  <c r="AC16" i="8"/>
  <c r="AB16" i="8"/>
  <c r="AA16" i="8"/>
  <c r="Z16" i="8"/>
  <c r="W16" i="8"/>
  <c r="S15" i="8"/>
  <c r="R15" i="8"/>
  <c r="Q15" i="8"/>
  <c r="P15" i="8"/>
  <c r="L15" i="8"/>
  <c r="K15" i="8"/>
  <c r="J15" i="8"/>
  <c r="I15" i="8"/>
  <c r="H15" i="8"/>
  <c r="G15" i="8"/>
  <c r="F15" i="8"/>
  <c r="AM15" i="8"/>
  <c r="AL15" i="8"/>
  <c r="AK15" i="8"/>
  <c r="AJ15" i="8"/>
  <c r="AI15" i="8"/>
  <c r="AH15" i="8"/>
  <c r="AG15" i="8"/>
  <c r="AF15" i="8"/>
  <c r="AD15" i="8"/>
  <c r="AB15" i="8"/>
  <c r="AA15" i="8"/>
  <c r="Z15" i="8"/>
  <c r="W15" i="8"/>
  <c r="S14" i="8"/>
  <c r="R14" i="8"/>
  <c r="Q14" i="8"/>
  <c r="P14" i="8"/>
  <c r="L14" i="8"/>
  <c r="K14" i="8"/>
  <c r="J14" i="8"/>
  <c r="I14" i="8"/>
  <c r="H14" i="8"/>
  <c r="G14" i="8"/>
  <c r="F14" i="8"/>
  <c r="AM14" i="8"/>
  <c r="AL14" i="8"/>
  <c r="AK14" i="8"/>
  <c r="AJ14" i="8"/>
  <c r="AI14" i="8"/>
  <c r="AH14" i="8"/>
  <c r="AG14" i="8"/>
  <c r="AF14" i="8"/>
  <c r="AD14" i="8"/>
  <c r="AB14" i="8"/>
  <c r="Z14" i="8"/>
  <c r="W14" i="8"/>
  <c r="S13" i="8"/>
  <c r="R13" i="8"/>
  <c r="Q13" i="8"/>
  <c r="P13" i="8"/>
  <c r="L13" i="8"/>
  <c r="K13" i="8"/>
  <c r="J13" i="8"/>
  <c r="I13" i="8"/>
  <c r="H13" i="8"/>
  <c r="G13" i="8"/>
  <c r="F13" i="8"/>
  <c r="AM13" i="8"/>
  <c r="AL13" i="8"/>
  <c r="AK13" i="8"/>
  <c r="AJ13" i="8"/>
  <c r="AI13" i="8"/>
  <c r="AG13" i="8"/>
  <c r="AD13" i="8"/>
  <c r="AB13" i="8"/>
  <c r="Z13" i="8"/>
  <c r="W13" i="8"/>
  <c r="S12" i="8"/>
  <c r="R12" i="8"/>
  <c r="Q12" i="8"/>
  <c r="P12" i="8"/>
  <c r="L12" i="8"/>
  <c r="K12" i="8"/>
  <c r="J12" i="8"/>
  <c r="I12" i="8"/>
  <c r="H12" i="8"/>
  <c r="G12" i="8"/>
  <c r="F12" i="8"/>
  <c r="AM12" i="8"/>
  <c r="AL12" i="8"/>
  <c r="AK12" i="8"/>
  <c r="AJ12" i="8"/>
  <c r="AI12" i="8"/>
  <c r="AG12" i="8"/>
  <c r="AD12" i="8"/>
  <c r="AB12" i="8"/>
  <c r="Z12" i="8"/>
  <c r="W12" i="8"/>
  <c r="V12" i="8"/>
  <c r="O11" i="8"/>
  <c r="S11" i="8"/>
  <c r="R11" i="8"/>
  <c r="F11" i="8"/>
  <c r="Q11" i="8"/>
  <c r="P11" i="8"/>
  <c r="L11" i="8"/>
  <c r="J11" i="8"/>
  <c r="I11" i="8"/>
  <c r="H11" i="8"/>
  <c r="AM11" i="8"/>
  <c r="AL11" i="8"/>
  <c r="AK11" i="8"/>
  <c r="AJ11" i="8"/>
  <c r="AI11" i="8"/>
  <c r="AG11" i="8"/>
  <c r="AD11" i="8"/>
  <c r="Z11" i="8"/>
  <c r="Y11" i="8"/>
  <c r="X11" i="8"/>
  <c r="W11" i="8"/>
  <c r="V11" i="8"/>
  <c r="D11" i="8"/>
  <c r="K11" i="8" s="1"/>
  <c r="B7" i="8"/>
  <c r="X11" i="7"/>
  <c r="AP27" i="7" s="1"/>
  <c r="W11" i="7"/>
  <c r="AJ22" i="7" s="1"/>
  <c r="L27" i="7"/>
  <c r="E27" i="7"/>
  <c r="M27" i="7"/>
  <c r="N27" i="7"/>
  <c r="T27" i="7"/>
  <c r="S27" i="7"/>
  <c r="G27" i="7"/>
  <c r="F27" i="7"/>
  <c r="R27" i="7"/>
  <c r="Q27" i="7"/>
  <c r="P27" i="7"/>
  <c r="AK27" i="7" s="1"/>
  <c r="O27" i="7"/>
  <c r="AI27" i="7" s="1"/>
  <c r="K27" i="7"/>
  <c r="J27" i="7"/>
  <c r="I27" i="7"/>
  <c r="H27" i="7"/>
  <c r="V27" i="7"/>
  <c r="U27" i="7"/>
  <c r="AU27" i="7"/>
  <c r="AT27" i="7"/>
  <c r="AS27" i="7"/>
  <c r="AR27" i="7"/>
  <c r="AQ27" i="7"/>
  <c r="AO27" i="7"/>
  <c r="AM27" i="7"/>
  <c r="AF27" i="7"/>
  <c r="AD27" i="7"/>
  <c r="AB27" i="7"/>
  <c r="Z27" i="7"/>
  <c r="L26" i="7"/>
  <c r="E26" i="7"/>
  <c r="M26" i="7"/>
  <c r="N26" i="7"/>
  <c r="T26" i="7"/>
  <c r="S26" i="7"/>
  <c r="G26" i="7"/>
  <c r="F26" i="7"/>
  <c r="R26" i="7"/>
  <c r="Q26" i="7"/>
  <c r="P26" i="7"/>
  <c r="AK26" i="7" s="1"/>
  <c r="O26" i="7"/>
  <c r="AI26" i="7" s="1"/>
  <c r="K26" i="7"/>
  <c r="J26" i="7"/>
  <c r="I26" i="7"/>
  <c r="H26" i="7"/>
  <c r="V26" i="7"/>
  <c r="U26" i="7"/>
  <c r="AS26" i="7"/>
  <c r="AQ26" i="7"/>
  <c r="AO26" i="7"/>
  <c r="AM26" i="7"/>
  <c r="AF26" i="7"/>
  <c r="AD26" i="7"/>
  <c r="AB26" i="7"/>
  <c r="Z26" i="7"/>
  <c r="E25" i="7"/>
  <c r="L25" i="7"/>
  <c r="M25" i="7"/>
  <c r="N25" i="7"/>
  <c r="G25" i="7"/>
  <c r="S25" i="7" s="1"/>
  <c r="F25" i="7"/>
  <c r="R25" i="7"/>
  <c r="Q25" i="7"/>
  <c r="P25" i="7"/>
  <c r="O25" i="7"/>
  <c r="K25" i="7"/>
  <c r="J25" i="7"/>
  <c r="AD25" i="7" s="1"/>
  <c r="I25" i="7"/>
  <c r="H25" i="7"/>
  <c r="V25" i="7"/>
  <c r="U25" i="7"/>
  <c r="AO25" i="7"/>
  <c r="AM25" i="7"/>
  <c r="AK25" i="7"/>
  <c r="AI25" i="7"/>
  <c r="AF25" i="7"/>
  <c r="AB25" i="7"/>
  <c r="Z25" i="7"/>
  <c r="D25" i="7"/>
  <c r="V24" i="7"/>
  <c r="U24" i="7"/>
  <c r="T24" i="7"/>
  <c r="S24" i="7"/>
  <c r="R24" i="7"/>
  <c r="Q24" i="7"/>
  <c r="P24" i="7"/>
  <c r="O24" i="7"/>
  <c r="N24" i="7"/>
  <c r="L24" i="7"/>
  <c r="M24" i="7"/>
  <c r="K24" i="7"/>
  <c r="J24" i="7"/>
  <c r="I24" i="7"/>
  <c r="H24" i="7"/>
  <c r="G24" i="7"/>
  <c r="F24" i="7"/>
  <c r="AS24" i="7"/>
  <c r="AR24" i="7"/>
  <c r="AQ24" i="7"/>
  <c r="AP24" i="7"/>
  <c r="AO24" i="7"/>
  <c r="AM24" i="7"/>
  <c r="AK24" i="7"/>
  <c r="AI24" i="7"/>
  <c r="AF24" i="7"/>
  <c r="AD24" i="7"/>
  <c r="AB24" i="7"/>
  <c r="Z24" i="7"/>
  <c r="V23" i="7"/>
  <c r="U23" i="7"/>
  <c r="T23" i="7"/>
  <c r="S23" i="7"/>
  <c r="R23" i="7"/>
  <c r="Q23" i="7"/>
  <c r="P23" i="7"/>
  <c r="O23" i="7"/>
  <c r="N23" i="7"/>
  <c r="L23" i="7"/>
  <c r="M23" i="7"/>
  <c r="K23" i="7"/>
  <c r="J23" i="7"/>
  <c r="I23" i="7"/>
  <c r="H23" i="7"/>
  <c r="G23" i="7"/>
  <c r="F23" i="7"/>
  <c r="AU23" i="7"/>
  <c r="AT23" i="7"/>
  <c r="AS23" i="7"/>
  <c r="AR23" i="7"/>
  <c r="AQ23" i="7"/>
  <c r="AP23" i="7"/>
  <c r="AO23" i="7"/>
  <c r="AM23" i="7"/>
  <c r="AK23" i="7"/>
  <c r="AI23" i="7"/>
  <c r="AF23" i="7"/>
  <c r="AD23" i="7"/>
  <c r="AB23" i="7"/>
  <c r="Z23" i="7"/>
  <c r="V22" i="7"/>
  <c r="U22" i="7"/>
  <c r="T22" i="7"/>
  <c r="S22" i="7"/>
  <c r="R22" i="7"/>
  <c r="Q22" i="7"/>
  <c r="P22" i="7"/>
  <c r="O22" i="7"/>
  <c r="N22" i="7"/>
  <c r="L22" i="7"/>
  <c r="M22" i="7"/>
  <c r="K22" i="7"/>
  <c r="J22" i="7"/>
  <c r="I22" i="7"/>
  <c r="H22" i="7"/>
  <c r="G22" i="7"/>
  <c r="F22" i="7"/>
  <c r="AU22" i="7"/>
  <c r="AT22" i="7"/>
  <c r="AS22" i="7"/>
  <c r="AQ22" i="7"/>
  <c r="AO22" i="7"/>
  <c r="AM22" i="7"/>
  <c r="AK22" i="7"/>
  <c r="AI22" i="7"/>
  <c r="AF22" i="7"/>
  <c r="AD22" i="7"/>
  <c r="AB22" i="7"/>
  <c r="Z22" i="7"/>
  <c r="V21" i="7"/>
  <c r="U21" i="7"/>
  <c r="T21" i="7"/>
  <c r="S21" i="7"/>
  <c r="R21" i="7"/>
  <c r="Q21" i="7"/>
  <c r="P21" i="7"/>
  <c r="O21" i="7"/>
  <c r="N21" i="7"/>
  <c r="L21" i="7"/>
  <c r="M21" i="7"/>
  <c r="K21" i="7"/>
  <c r="J21" i="7"/>
  <c r="I21" i="7"/>
  <c r="H21" i="7"/>
  <c r="G21" i="7"/>
  <c r="F21" i="7"/>
  <c r="AS21" i="7"/>
  <c r="AQ21" i="7"/>
  <c r="AP21" i="7"/>
  <c r="AO21" i="7"/>
  <c r="AM21" i="7"/>
  <c r="AK21" i="7"/>
  <c r="AI21" i="7"/>
  <c r="AF21" i="7"/>
  <c r="AD21" i="7"/>
  <c r="AB21" i="7"/>
  <c r="Z21" i="7"/>
  <c r="V20" i="7"/>
  <c r="U20" i="7"/>
  <c r="T20" i="7"/>
  <c r="S20" i="7"/>
  <c r="R20" i="7"/>
  <c r="Q20" i="7"/>
  <c r="P20" i="7"/>
  <c r="O20" i="7"/>
  <c r="N20" i="7"/>
  <c r="L20" i="7"/>
  <c r="M20" i="7"/>
  <c r="K20" i="7"/>
  <c r="J20" i="7"/>
  <c r="I20" i="7"/>
  <c r="H20" i="7"/>
  <c r="G20" i="7"/>
  <c r="F20" i="7"/>
  <c r="AU20" i="7"/>
  <c r="AT20" i="7"/>
  <c r="AS20" i="7"/>
  <c r="AR20" i="7"/>
  <c r="AQ20" i="7"/>
  <c r="AP20" i="7"/>
  <c r="AO20" i="7"/>
  <c r="AM20" i="7"/>
  <c r="AK20" i="7"/>
  <c r="AI20" i="7"/>
  <c r="AF20" i="7"/>
  <c r="AD20" i="7"/>
  <c r="AB20" i="7"/>
  <c r="Z20" i="7"/>
  <c r="V19" i="7"/>
  <c r="U19" i="7"/>
  <c r="T19" i="7"/>
  <c r="S19" i="7"/>
  <c r="R19" i="7"/>
  <c r="Q19" i="7"/>
  <c r="P19" i="7"/>
  <c r="O19" i="7"/>
  <c r="N19" i="7"/>
  <c r="L19" i="7"/>
  <c r="M19" i="7"/>
  <c r="K19" i="7"/>
  <c r="J19" i="7"/>
  <c r="I19" i="7"/>
  <c r="H19" i="7"/>
  <c r="G19" i="7"/>
  <c r="F19" i="7"/>
  <c r="AU19" i="7"/>
  <c r="AT19" i="7"/>
  <c r="AS19" i="7"/>
  <c r="AR19" i="7"/>
  <c r="AQ19" i="7"/>
  <c r="AO19" i="7"/>
  <c r="AN19" i="7"/>
  <c r="AM19" i="7"/>
  <c r="AK19" i="7"/>
  <c r="AI19" i="7"/>
  <c r="AF19" i="7"/>
  <c r="AD19" i="7"/>
  <c r="AB19" i="7"/>
  <c r="Z19" i="7"/>
  <c r="V18" i="7"/>
  <c r="U18" i="7"/>
  <c r="T18" i="7"/>
  <c r="S18" i="7"/>
  <c r="R18" i="7"/>
  <c r="Q18" i="7"/>
  <c r="P18" i="7"/>
  <c r="O18" i="7"/>
  <c r="N18" i="7"/>
  <c r="L18" i="7"/>
  <c r="M18" i="7"/>
  <c r="K18" i="7"/>
  <c r="J18" i="7"/>
  <c r="I18" i="7"/>
  <c r="H18" i="7"/>
  <c r="G18" i="7"/>
  <c r="F18" i="7"/>
  <c r="AS18" i="7"/>
  <c r="AQ18" i="7"/>
  <c r="AO18" i="7"/>
  <c r="AM18" i="7"/>
  <c r="AK18" i="7"/>
  <c r="AI18" i="7"/>
  <c r="AG18" i="7"/>
  <c r="AF18" i="7"/>
  <c r="AD18" i="7"/>
  <c r="AB18" i="7"/>
  <c r="Z18" i="7"/>
  <c r="V17" i="7"/>
  <c r="U17" i="7"/>
  <c r="T17" i="7"/>
  <c r="S17" i="7"/>
  <c r="R17" i="7"/>
  <c r="Q17" i="7"/>
  <c r="P17" i="7"/>
  <c r="O17" i="7"/>
  <c r="N17" i="7"/>
  <c r="L17" i="7"/>
  <c r="M17" i="7"/>
  <c r="K17" i="7"/>
  <c r="J17" i="7"/>
  <c r="I17" i="7"/>
  <c r="H17" i="7"/>
  <c r="G17" i="7"/>
  <c r="F17" i="7"/>
  <c r="AU17" i="7"/>
  <c r="AT17" i="7"/>
  <c r="AS17" i="7"/>
  <c r="AR17" i="7"/>
  <c r="AQ17" i="7"/>
  <c r="AP17" i="7"/>
  <c r="AO17" i="7"/>
  <c r="AM17" i="7"/>
  <c r="AK17" i="7"/>
  <c r="AI17" i="7"/>
  <c r="AF17" i="7"/>
  <c r="AD17" i="7"/>
  <c r="AB17" i="7"/>
  <c r="Z17" i="7"/>
  <c r="V16" i="7"/>
  <c r="U16" i="7"/>
  <c r="T16" i="7"/>
  <c r="S16" i="7"/>
  <c r="R16" i="7"/>
  <c r="Q16" i="7"/>
  <c r="P16" i="7"/>
  <c r="O16" i="7"/>
  <c r="N16" i="7"/>
  <c r="L16" i="7"/>
  <c r="M16" i="7"/>
  <c r="K16" i="7"/>
  <c r="J16" i="7"/>
  <c r="I16" i="7"/>
  <c r="H16" i="7"/>
  <c r="G16" i="7"/>
  <c r="F16" i="7"/>
  <c r="AU16" i="7"/>
  <c r="AT16" i="7"/>
  <c r="AS16" i="7"/>
  <c r="AR16" i="7"/>
  <c r="AQ16" i="7"/>
  <c r="AP16" i="7"/>
  <c r="AO16" i="7"/>
  <c r="AN16" i="7"/>
  <c r="AM16" i="7"/>
  <c r="AK16" i="7"/>
  <c r="AI16" i="7"/>
  <c r="AF16" i="7"/>
  <c r="AD16" i="7"/>
  <c r="AB16" i="7"/>
  <c r="Z16" i="7"/>
  <c r="V15" i="7"/>
  <c r="U15" i="7"/>
  <c r="T15" i="7"/>
  <c r="S15" i="7"/>
  <c r="R15" i="7"/>
  <c r="Q15" i="7"/>
  <c r="P15" i="7"/>
  <c r="O15" i="7"/>
  <c r="N15" i="7"/>
  <c r="L15" i="7"/>
  <c r="M15" i="7"/>
  <c r="K15" i="7"/>
  <c r="J15" i="7"/>
  <c r="I15" i="7"/>
  <c r="H15" i="7"/>
  <c r="G15" i="7"/>
  <c r="F15" i="7"/>
  <c r="AS15" i="7"/>
  <c r="AQ15" i="7"/>
  <c r="AO15" i="7"/>
  <c r="AM15" i="7"/>
  <c r="AK15" i="7"/>
  <c r="AI15" i="7"/>
  <c r="AF15" i="7"/>
  <c r="AE15" i="7"/>
  <c r="AD15" i="7"/>
  <c r="AB15" i="7"/>
  <c r="Z15" i="7"/>
  <c r="V14" i="7"/>
  <c r="U14" i="7"/>
  <c r="T14" i="7"/>
  <c r="S14" i="7"/>
  <c r="R14" i="7"/>
  <c r="Q14" i="7"/>
  <c r="P14" i="7"/>
  <c r="O14" i="7"/>
  <c r="N14" i="7"/>
  <c r="L14" i="7"/>
  <c r="M14" i="7"/>
  <c r="K14" i="7"/>
  <c r="J14" i="7"/>
  <c r="I14" i="7"/>
  <c r="H14" i="7"/>
  <c r="G14" i="7"/>
  <c r="F14" i="7"/>
  <c r="AU14" i="7"/>
  <c r="AT14" i="7"/>
  <c r="AS14" i="7"/>
  <c r="AR14" i="7"/>
  <c r="AQ14" i="7"/>
  <c r="AP14" i="7"/>
  <c r="AO14" i="7"/>
  <c r="AM14" i="7"/>
  <c r="AK14" i="7"/>
  <c r="AI14" i="7"/>
  <c r="AF14" i="7"/>
  <c r="AD14" i="7"/>
  <c r="AB14" i="7"/>
  <c r="Z14" i="7"/>
  <c r="V13" i="7"/>
  <c r="U13" i="7"/>
  <c r="T13" i="7"/>
  <c r="S13" i="7"/>
  <c r="R13" i="7"/>
  <c r="Q13" i="7"/>
  <c r="P13" i="7"/>
  <c r="O13" i="7"/>
  <c r="N13" i="7"/>
  <c r="L13" i="7"/>
  <c r="M13" i="7"/>
  <c r="K13" i="7"/>
  <c r="J13" i="7"/>
  <c r="I13" i="7"/>
  <c r="H13" i="7"/>
  <c r="G13" i="7"/>
  <c r="F13" i="7"/>
  <c r="AU13" i="7"/>
  <c r="AT13" i="7"/>
  <c r="AS13" i="7"/>
  <c r="AR13" i="7"/>
  <c r="AQ13" i="7"/>
  <c r="AP13" i="7"/>
  <c r="AO13" i="7"/>
  <c r="AM13" i="7"/>
  <c r="AL13" i="7"/>
  <c r="AK13" i="7"/>
  <c r="AI13" i="7"/>
  <c r="AF13" i="7"/>
  <c r="AD13" i="7"/>
  <c r="AB13" i="7"/>
  <c r="Z13" i="7"/>
  <c r="L12" i="7"/>
  <c r="M12" i="7"/>
  <c r="N12" i="7"/>
  <c r="T12" i="7"/>
  <c r="S12" i="7"/>
  <c r="G12" i="7"/>
  <c r="F12" i="7"/>
  <c r="R12" i="7"/>
  <c r="Q12" i="7"/>
  <c r="P12" i="7"/>
  <c r="O12" i="7"/>
  <c r="K12" i="7"/>
  <c r="J12" i="7"/>
  <c r="I12" i="7"/>
  <c r="H12" i="7"/>
  <c r="V12" i="7"/>
  <c r="U12" i="7"/>
  <c r="AS12" i="7"/>
  <c r="AQ12" i="7"/>
  <c r="AO12" i="7"/>
  <c r="AM12" i="7"/>
  <c r="AK12" i="7"/>
  <c r="AI12" i="7"/>
  <c r="AF12" i="7"/>
  <c r="AD12" i="7"/>
  <c r="AC12" i="7"/>
  <c r="AB12" i="7"/>
  <c r="Z12" i="7"/>
  <c r="L11" i="7"/>
  <c r="M11" i="7"/>
  <c r="N11" i="7"/>
  <c r="T11" i="7"/>
  <c r="S11" i="7"/>
  <c r="G11" i="7"/>
  <c r="F11" i="7"/>
  <c r="R11" i="7"/>
  <c r="Q11" i="7"/>
  <c r="P11" i="7"/>
  <c r="O11" i="7"/>
  <c r="K11" i="7"/>
  <c r="J11" i="7"/>
  <c r="H11" i="7"/>
  <c r="V11" i="7"/>
  <c r="U11" i="7"/>
  <c r="AS11" i="7"/>
  <c r="AR11" i="7"/>
  <c r="AQ11" i="7"/>
  <c r="AP11" i="7"/>
  <c r="AO11" i="7"/>
  <c r="AM11" i="7"/>
  <c r="AK11" i="7"/>
  <c r="AI11" i="7"/>
  <c r="AF11" i="7"/>
  <c r="AD11" i="7"/>
  <c r="Z11" i="7"/>
  <c r="D11" i="7"/>
  <c r="I11" i="7" s="1"/>
  <c r="AB11" i="7" s="1"/>
  <c r="B7" i="7"/>
  <c r="N11" i="6"/>
  <c r="X17" i="6" s="1"/>
  <c r="M11" i="6"/>
  <c r="T21" i="6" s="1"/>
  <c r="W22" i="6"/>
  <c r="S22" i="6"/>
  <c r="Q22" i="6"/>
  <c r="L22" i="6"/>
  <c r="K22" i="6"/>
  <c r="J22" i="6"/>
  <c r="I22" i="6"/>
  <c r="H22" i="6"/>
  <c r="G22" i="6"/>
  <c r="F22" i="6"/>
  <c r="E22" i="6"/>
  <c r="W21" i="6"/>
  <c r="S21" i="6"/>
  <c r="Q21" i="6"/>
  <c r="L21" i="6"/>
  <c r="K21" i="6"/>
  <c r="J21" i="6"/>
  <c r="I21" i="6"/>
  <c r="H21" i="6"/>
  <c r="G21" i="6"/>
  <c r="F21" i="6"/>
  <c r="E21" i="6"/>
  <c r="W20" i="6"/>
  <c r="S20" i="6"/>
  <c r="Q20" i="6"/>
  <c r="L20" i="6"/>
  <c r="K20" i="6"/>
  <c r="J20" i="6"/>
  <c r="I20" i="6"/>
  <c r="H20" i="6"/>
  <c r="G20" i="6"/>
  <c r="F20" i="6"/>
  <c r="E20" i="6"/>
  <c r="W19" i="6"/>
  <c r="S19" i="6"/>
  <c r="Q19" i="6"/>
  <c r="L19" i="6"/>
  <c r="K19" i="6"/>
  <c r="J19" i="6"/>
  <c r="I19" i="6"/>
  <c r="H19" i="6"/>
  <c r="G19" i="6"/>
  <c r="F19" i="6"/>
  <c r="E19" i="6"/>
  <c r="W18" i="6"/>
  <c r="S18" i="6"/>
  <c r="Q18" i="6"/>
  <c r="L18" i="6"/>
  <c r="K18" i="6"/>
  <c r="J18" i="6"/>
  <c r="I18" i="6"/>
  <c r="H18" i="6"/>
  <c r="G18" i="6"/>
  <c r="F18" i="6"/>
  <c r="E18" i="6"/>
  <c r="W17" i="6"/>
  <c r="S17" i="6"/>
  <c r="Q17" i="6"/>
  <c r="L17" i="6"/>
  <c r="K17" i="6"/>
  <c r="J17" i="6"/>
  <c r="I17" i="6"/>
  <c r="H17" i="6"/>
  <c r="G17" i="6"/>
  <c r="F17" i="6"/>
  <c r="E17" i="6"/>
  <c r="W16" i="6"/>
  <c r="S16" i="6"/>
  <c r="Q16" i="6"/>
  <c r="L16" i="6"/>
  <c r="K16" i="6"/>
  <c r="J16" i="6"/>
  <c r="I16" i="6"/>
  <c r="H16" i="6"/>
  <c r="G16" i="6"/>
  <c r="F16" i="6"/>
  <c r="E16" i="6"/>
  <c r="W15" i="6"/>
  <c r="S15" i="6"/>
  <c r="Q15" i="6"/>
  <c r="L15" i="6"/>
  <c r="K15" i="6"/>
  <c r="J15" i="6"/>
  <c r="I15" i="6"/>
  <c r="H15" i="6"/>
  <c r="G15" i="6"/>
  <c r="F15" i="6"/>
  <c r="E15" i="6"/>
  <c r="W14" i="6"/>
  <c r="S14" i="6"/>
  <c r="Q14" i="6"/>
  <c r="L14" i="6"/>
  <c r="K14" i="6"/>
  <c r="J14" i="6"/>
  <c r="I14" i="6"/>
  <c r="H14" i="6"/>
  <c r="G14" i="6"/>
  <c r="F14" i="6"/>
  <c r="E14" i="6"/>
  <c r="W13" i="6"/>
  <c r="S13" i="6"/>
  <c r="Q13" i="6"/>
  <c r="L13" i="6"/>
  <c r="K13" i="6"/>
  <c r="J13" i="6"/>
  <c r="I13" i="6"/>
  <c r="H13" i="6"/>
  <c r="G13" i="6"/>
  <c r="F13" i="6"/>
  <c r="E13" i="6"/>
  <c r="W12" i="6"/>
  <c r="S12" i="6"/>
  <c r="Q12" i="6"/>
  <c r="L12" i="6"/>
  <c r="K12" i="6"/>
  <c r="J12" i="6"/>
  <c r="I12" i="6"/>
  <c r="H12" i="6"/>
  <c r="G12" i="6"/>
  <c r="F12" i="6"/>
  <c r="E12" i="6"/>
  <c r="W11" i="6"/>
  <c r="S11" i="6"/>
  <c r="Q11" i="6"/>
  <c r="L11" i="6"/>
  <c r="K11" i="6"/>
  <c r="J11" i="6"/>
  <c r="I11" i="6"/>
  <c r="H11" i="6"/>
  <c r="G11" i="6"/>
  <c r="F11" i="6"/>
  <c r="E11" i="6"/>
  <c r="B7" i="6"/>
  <c r="P11" i="5"/>
  <c r="X21" i="5" s="1"/>
  <c r="O11" i="5"/>
  <c r="W16" i="5" s="1"/>
  <c r="AA22" i="5"/>
  <c r="Y22" i="5"/>
  <c r="U22" i="5"/>
  <c r="S22" i="5"/>
  <c r="N22" i="5"/>
  <c r="M22" i="5"/>
  <c r="L22" i="5"/>
  <c r="K22" i="5"/>
  <c r="J22" i="5"/>
  <c r="I22" i="5"/>
  <c r="H22" i="5"/>
  <c r="G22" i="5"/>
  <c r="F22" i="5"/>
  <c r="E22" i="5"/>
  <c r="AA21" i="5"/>
  <c r="Y21" i="5"/>
  <c r="U21" i="5"/>
  <c r="S21" i="5"/>
  <c r="N21" i="5"/>
  <c r="M21" i="5"/>
  <c r="L21" i="5"/>
  <c r="K21" i="5"/>
  <c r="J21" i="5"/>
  <c r="I21" i="5"/>
  <c r="H21" i="5"/>
  <c r="G21" i="5"/>
  <c r="F21" i="5"/>
  <c r="E21" i="5"/>
  <c r="AA20" i="5"/>
  <c r="Y20" i="5"/>
  <c r="U20" i="5"/>
  <c r="S20" i="5"/>
  <c r="N20" i="5"/>
  <c r="M20" i="5"/>
  <c r="L20" i="5"/>
  <c r="K20" i="5"/>
  <c r="J20" i="5"/>
  <c r="I20" i="5"/>
  <c r="H20" i="5"/>
  <c r="G20" i="5"/>
  <c r="F20" i="5"/>
  <c r="E20" i="5"/>
  <c r="AA19" i="5"/>
  <c r="Y19" i="5"/>
  <c r="U19" i="5"/>
  <c r="S19" i="5"/>
  <c r="N19" i="5"/>
  <c r="M19" i="5"/>
  <c r="L19" i="5"/>
  <c r="K19" i="5"/>
  <c r="J19" i="5"/>
  <c r="I19" i="5"/>
  <c r="H19" i="5"/>
  <c r="G19" i="5"/>
  <c r="F19" i="5"/>
  <c r="E19" i="5"/>
  <c r="AA18" i="5"/>
  <c r="Y18" i="5"/>
  <c r="U18" i="5"/>
  <c r="S18" i="5"/>
  <c r="N18" i="5"/>
  <c r="M18" i="5"/>
  <c r="L18" i="5"/>
  <c r="K18" i="5"/>
  <c r="J18" i="5"/>
  <c r="I18" i="5"/>
  <c r="H18" i="5"/>
  <c r="G18" i="5"/>
  <c r="F18" i="5"/>
  <c r="E18" i="5"/>
  <c r="AA17" i="5"/>
  <c r="Y17" i="5"/>
  <c r="U17" i="5"/>
  <c r="S17" i="5"/>
  <c r="N17" i="5"/>
  <c r="M17" i="5"/>
  <c r="L17" i="5"/>
  <c r="K17" i="5"/>
  <c r="J17" i="5"/>
  <c r="I17" i="5"/>
  <c r="H17" i="5"/>
  <c r="G17" i="5"/>
  <c r="F17" i="5"/>
  <c r="E17" i="5"/>
  <c r="AA16" i="5"/>
  <c r="Y16" i="5"/>
  <c r="U16" i="5"/>
  <c r="S16" i="5"/>
  <c r="N16" i="5"/>
  <c r="M16" i="5"/>
  <c r="L16" i="5"/>
  <c r="K16" i="5"/>
  <c r="J16" i="5"/>
  <c r="I16" i="5"/>
  <c r="H16" i="5"/>
  <c r="G16" i="5"/>
  <c r="F16" i="5"/>
  <c r="E16" i="5"/>
  <c r="AA15" i="5"/>
  <c r="Y15" i="5"/>
  <c r="U15" i="5"/>
  <c r="S15" i="5"/>
  <c r="N15" i="5"/>
  <c r="M15" i="5"/>
  <c r="L15" i="5"/>
  <c r="K15" i="5"/>
  <c r="J15" i="5"/>
  <c r="I15" i="5"/>
  <c r="H15" i="5"/>
  <c r="G15" i="5"/>
  <c r="F15" i="5"/>
  <c r="E15" i="5"/>
  <c r="AA14" i="5"/>
  <c r="Y14" i="5"/>
  <c r="U14" i="5"/>
  <c r="S14" i="5"/>
  <c r="N14" i="5"/>
  <c r="M14" i="5"/>
  <c r="L14" i="5"/>
  <c r="K14" i="5"/>
  <c r="J14" i="5"/>
  <c r="I14" i="5"/>
  <c r="H14" i="5"/>
  <c r="G14" i="5"/>
  <c r="F14" i="5"/>
  <c r="E14" i="5"/>
  <c r="AA13" i="5"/>
  <c r="Y13" i="5"/>
  <c r="U13" i="5"/>
  <c r="S13" i="5"/>
  <c r="N13" i="5"/>
  <c r="M13" i="5"/>
  <c r="L13" i="5"/>
  <c r="K13" i="5"/>
  <c r="J13" i="5"/>
  <c r="I13" i="5"/>
  <c r="H13" i="5"/>
  <c r="G13" i="5"/>
  <c r="F13" i="5"/>
  <c r="E13" i="5"/>
  <c r="AA12" i="5"/>
  <c r="Y12" i="5"/>
  <c r="U12" i="5"/>
  <c r="S12" i="5"/>
  <c r="N12" i="5"/>
  <c r="M12" i="5"/>
  <c r="L12" i="5"/>
  <c r="K12" i="5"/>
  <c r="J12" i="5"/>
  <c r="I12" i="5"/>
  <c r="H12" i="5"/>
  <c r="G12" i="5"/>
  <c r="F12" i="5"/>
  <c r="E12" i="5"/>
  <c r="AA11" i="5"/>
  <c r="Y11" i="5"/>
  <c r="U11" i="5"/>
  <c r="S11" i="5"/>
  <c r="N11" i="5"/>
  <c r="M11" i="5"/>
  <c r="L11" i="5"/>
  <c r="K11" i="5"/>
  <c r="J11" i="5"/>
  <c r="I11" i="5"/>
  <c r="H11" i="5"/>
  <c r="G11" i="5"/>
  <c r="F11" i="5"/>
  <c r="E11" i="5"/>
  <c r="B7" i="5"/>
  <c r="E47" i="4"/>
  <c r="E30" i="4"/>
  <c r="D47" i="4"/>
  <c r="D30" i="4"/>
  <c r="C47" i="4"/>
  <c r="C30" i="4"/>
  <c r="B47" i="4"/>
  <c r="B30" i="4"/>
  <c r="E46" i="4"/>
  <c r="E29" i="4"/>
  <c r="D46" i="4"/>
  <c r="D29" i="4"/>
  <c r="C46" i="4"/>
  <c r="C29" i="4"/>
  <c r="B46" i="4"/>
  <c r="B29" i="4"/>
  <c r="E45" i="4"/>
  <c r="E28" i="4"/>
  <c r="D45" i="4"/>
  <c r="D28" i="4"/>
  <c r="C45" i="4"/>
  <c r="C28" i="4"/>
  <c r="B45" i="4"/>
  <c r="B28" i="4"/>
  <c r="E44" i="4"/>
  <c r="E27" i="4"/>
  <c r="D44" i="4"/>
  <c r="D27" i="4"/>
  <c r="C44" i="4"/>
  <c r="C27" i="4"/>
  <c r="B44" i="4"/>
  <c r="B27" i="4"/>
  <c r="B15" i="4"/>
  <c r="E13" i="4"/>
  <c r="D13" i="4"/>
  <c r="C13" i="4"/>
  <c r="B13" i="4"/>
  <c r="B7" i="4"/>
  <c r="F53" i="3"/>
  <c r="F34" i="3"/>
  <c r="E53" i="3"/>
  <c r="E34" i="3"/>
  <c r="D53" i="3"/>
  <c r="D34" i="3"/>
  <c r="C53" i="3"/>
  <c r="C34" i="3"/>
  <c r="B53" i="3"/>
  <c r="B34" i="3"/>
  <c r="F52" i="3"/>
  <c r="F33" i="3"/>
  <c r="E52" i="3"/>
  <c r="E33" i="3"/>
  <c r="D52" i="3"/>
  <c r="D33" i="3"/>
  <c r="C52" i="3"/>
  <c r="C33" i="3"/>
  <c r="B52" i="3"/>
  <c r="B33" i="3"/>
  <c r="F51" i="3"/>
  <c r="F32" i="3"/>
  <c r="E51" i="3"/>
  <c r="E32" i="3"/>
  <c r="D51" i="3"/>
  <c r="D32" i="3"/>
  <c r="C51" i="3"/>
  <c r="C32" i="3"/>
  <c r="B51" i="3"/>
  <c r="B32" i="3"/>
  <c r="F50" i="3"/>
  <c r="F31" i="3"/>
  <c r="E50" i="3"/>
  <c r="E31" i="3"/>
  <c r="D50" i="3"/>
  <c r="D31" i="3"/>
  <c r="C50" i="3"/>
  <c r="C31" i="3"/>
  <c r="B50" i="3"/>
  <c r="B31" i="3"/>
  <c r="F49" i="3"/>
  <c r="F30" i="3"/>
  <c r="E49" i="3"/>
  <c r="E30" i="3"/>
  <c r="D49" i="3"/>
  <c r="D30" i="3"/>
  <c r="C49" i="3"/>
  <c r="C30" i="3"/>
  <c r="B49" i="3"/>
  <c r="B30" i="3"/>
  <c r="F48" i="3"/>
  <c r="F29" i="3"/>
  <c r="E48" i="3"/>
  <c r="E29" i="3"/>
  <c r="D48" i="3"/>
  <c r="D29" i="3"/>
  <c r="C48" i="3"/>
  <c r="C29" i="3"/>
  <c r="B48" i="3"/>
  <c r="B29" i="3"/>
  <c r="B17" i="3"/>
  <c r="F15" i="3"/>
  <c r="E15" i="3"/>
  <c r="D15" i="3"/>
  <c r="C15" i="3"/>
  <c r="B15" i="3"/>
  <c r="B7" i="3"/>
  <c r="AF12" i="9" l="1"/>
  <c r="AO18" i="9"/>
  <c r="AA15" i="9"/>
  <c r="AC19" i="9"/>
  <c r="AH11" i="9"/>
  <c r="AN12" i="9"/>
  <c r="Z14" i="9"/>
  <c r="AF15" i="9"/>
  <c r="AL16" i="9"/>
  <c r="AH20" i="9"/>
  <c r="AE16" i="9"/>
  <c r="AH12" i="9"/>
  <c r="AL12" i="9"/>
  <c r="AM12" i="9"/>
  <c r="AE15" i="9"/>
  <c r="AO12" i="9"/>
  <c r="AA14" i="9"/>
  <c r="AM16" i="9"/>
  <c r="AE19" i="9"/>
  <c r="AF11" i="9"/>
  <c r="AJ11" i="9"/>
  <c r="AH15" i="9"/>
  <c r="AN16" i="9"/>
  <c r="Z18" i="9"/>
  <c r="AF19" i="9"/>
  <c r="AJ20" i="9"/>
  <c r="AL13" i="9"/>
  <c r="AM13" i="9"/>
  <c r="AC14" i="9"/>
  <c r="AL11" i="9"/>
  <c r="Z13" i="9"/>
  <c r="AJ15" i="9"/>
  <c r="AH19" i="9"/>
  <c r="AL20" i="9"/>
  <c r="AM11" i="9"/>
  <c r="AA13" i="9"/>
  <c r="AE14" i="9"/>
  <c r="AC18" i="9"/>
  <c r="AM20" i="9"/>
  <c r="AN11" i="9"/>
  <c r="AF14" i="9"/>
  <c r="AL15" i="9"/>
  <c r="Z17" i="9"/>
  <c r="AJ19" i="9"/>
  <c r="AN20" i="9"/>
  <c r="AO11" i="9"/>
  <c r="AC13" i="9"/>
  <c r="AM15" i="9"/>
  <c r="AA17" i="9"/>
  <c r="AE18" i="9"/>
  <c r="AO20" i="9"/>
  <c r="AJ17" i="9"/>
  <c r="AA11" i="9"/>
  <c r="Z15" i="9"/>
  <c r="AC11" i="9"/>
  <c r="AL19" i="9"/>
  <c r="AE13" i="9"/>
  <c r="AC17" i="9"/>
  <c r="AH18" i="9"/>
  <c r="AO19" i="9"/>
  <c r="AH13" i="9"/>
  <c r="AL14" i="9"/>
  <c r="Z16" i="9"/>
  <c r="AF17" i="9"/>
  <c r="AJ18" i="9"/>
  <c r="AN18" i="9"/>
  <c r="AM17" i="9"/>
  <c r="AA18" i="9"/>
  <c r="AH14" i="9"/>
  <c r="AO15" i="9"/>
  <c r="Z12" i="9"/>
  <c r="AN19" i="9"/>
  <c r="AE17" i="9"/>
  <c r="AC12" i="9"/>
  <c r="AM14" i="9"/>
  <c r="AA16" i="9"/>
  <c r="Z11" i="9"/>
  <c r="AN13" i="9"/>
  <c r="AN15" i="9"/>
  <c r="AM19" i="9"/>
  <c r="AJ14" i="9"/>
  <c r="AJ13" i="9"/>
  <c r="AN14" i="9"/>
  <c r="AH17" i="9"/>
  <c r="AL18" i="9"/>
  <c r="AO13" i="9"/>
  <c r="AO16" i="9"/>
  <c r="AF18" i="9"/>
  <c r="AF13" i="9"/>
  <c r="AA12" i="9"/>
  <c r="AE12" i="9"/>
  <c r="AO14" i="9"/>
  <c r="AC16" i="9"/>
  <c r="AM18" i="9"/>
  <c r="Z20" i="9"/>
  <c r="AA20" i="9"/>
  <c r="AF16" i="9"/>
  <c r="AL17" i="9"/>
  <c r="AC20" i="9"/>
  <c r="AJ12" i="9"/>
  <c r="AH16" i="9"/>
  <c r="AN17" i="9"/>
  <c r="Z19" i="9"/>
  <c r="AE11" i="9"/>
  <c r="AC15" i="9"/>
  <c r="AO17" i="9"/>
  <c r="AA19" i="9"/>
  <c r="AE20" i="9"/>
  <c r="AJ16" i="9"/>
  <c r="X16" i="8"/>
  <c r="X22" i="8"/>
  <c r="AE24" i="8"/>
  <c r="AC15" i="8"/>
  <c r="Y16" i="8"/>
  <c r="AH20" i="8"/>
  <c r="AC21" i="8"/>
  <c r="Y22" i="8"/>
  <c r="AF24" i="8"/>
  <c r="V17" i="8"/>
  <c r="AF16" i="8"/>
  <c r="AE22" i="8"/>
  <c r="Y12" i="8"/>
  <c r="Y18" i="8"/>
  <c r="V19" i="8"/>
  <c r="AA12" i="8"/>
  <c r="AA18" i="8"/>
  <c r="X13" i="8"/>
  <c r="AC12" i="8"/>
  <c r="Y13" i="8"/>
  <c r="AH17" i="8"/>
  <c r="AC18" i="8"/>
  <c r="Y19" i="8"/>
  <c r="AA17" i="8"/>
  <c r="AH16" i="8"/>
  <c r="X23" i="8"/>
  <c r="Y23" i="8"/>
  <c r="AE11" i="8"/>
  <c r="AF17" i="8"/>
  <c r="X19" i="8"/>
  <c r="AH11" i="8"/>
  <c r="V14" i="8"/>
  <c r="V20" i="8"/>
  <c r="AC23" i="8"/>
  <c r="V23" i="8"/>
  <c r="X12" i="8"/>
  <c r="AC11" i="8"/>
  <c r="AC17" i="8"/>
  <c r="V13" i="8"/>
  <c r="AF11" i="8"/>
  <c r="AA23" i="8"/>
  <c r="AF12" i="8"/>
  <c r="AA13" i="8"/>
  <c r="AF18" i="8"/>
  <c r="AA19" i="8"/>
  <c r="V24" i="8"/>
  <c r="X14" i="8"/>
  <c r="X20" i="8"/>
  <c r="AE23" i="8"/>
  <c r="AH22" i="8"/>
  <c r="AH12" i="8"/>
  <c r="AC13" i="8"/>
  <c r="Y14" i="8"/>
  <c r="AH18" i="8"/>
  <c r="AC19" i="8"/>
  <c r="Y20" i="8"/>
  <c r="AF23" i="8"/>
  <c r="X24" i="8"/>
  <c r="V15" i="8"/>
  <c r="V21" i="8"/>
  <c r="Y24" i="8"/>
  <c r="AF19" i="8"/>
  <c r="AA20" i="8"/>
  <c r="AH23" i="8"/>
  <c r="AF13" i="8"/>
  <c r="X15" i="8"/>
  <c r="X21" i="8"/>
  <c r="AA24" i="8"/>
  <c r="AA14" i="8"/>
  <c r="AH13" i="8"/>
  <c r="AC14" i="8"/>
  <c r="Y15" i="8"/>
  <c r="AH19" i="8"/>
  <c r="AC20" i="8"/>
  <c r="Y21" i="8"/>
  <c r="V16" i="8"/>
  <c r="V22" i="8"/>
  <c r="M11" i="8"/>
  <c r="AA11" i="8"/>
  <c r="AB11" i="8"/>
  <c r="AU24" i="7"/>
  <c r="AP18" i="7"/>
  <c r="AR21" i="7"/>
  <c r="AP15" i="7"/>
  <c r="AT11" i="7"/>
  <c r="AU11" i="7"/>
  <c r="AP12" i="7"/>
  <c r="AR18" i="7"/>
  <c r="AT21" i="7"/>
  <c r="AT25" i="7"/>
  <c r="AP26" i="7"/>
  <c r="AR15" i="7"/>
  <c r="AU21" i="7"/>
  <c r="AU25" i="7"/>
  <c r="AR26" i="7"/>
  <c r="AT18" i="7"/>
  <c r="AT15" i="7"/>
  <c r="AU18" i="7"/>
  <c r="AP22" i="7"/>
  <c r="AT24" i="7"/>
  <c r="AR12" i="7"/>
  <c r="AT12" i="7"/>
  <c r="AU15" i="7"/>
  <c r="AT26" i="7"/>
  <c r="AU12" i="7"/>
  <c r="AR22" i="7"/>
  <c r="AU26" i="7"/>
  <c r="AP19" i="7"/>
  <c r="AH13" i="7"/>
  <c r="AJ16" i="7"/>
  <c r="AC18" i="7"/>
  <c r="AC24" i="7"/>
  <c r="AL25" i="7"/>
  <c r="AA26" i="7"/>
  <c r="AA12" i="7"/>
  <c r="AL19" i="7"/>
  <c r="AL22" i="7"/>
  <c r="AA15" i="7"/>
  <c r="AC21" i="7"/>
  <c r="AJ13" i="7"/>
  <c r="AC15" i="7"/>
  <c r="AL16" i="7"/>
  <c r="AE18" i="7"/>
  <c r="AE21" i="7"/>
  <c r="AE24" i="7"/>
  <c r="AN25" i="7"/>
  <c r="AC26" i="7"/>
  <c r="AN22" i="7"/>
  <c r="AE26" i="7"/>
  <c r="AG15" i="7"/>
  <c r="AA23" i="7"/>
  <c r="AG12" i="7"/>
  <c r="AJ18" i="7"/>
  <c r="AJ21" i="7"/>
  <c r="AA14" i="7"/>
  <c r="AC23" i="7"/>
  <c r="AE20" i="7"/>
  <c r="AN24" i="7"/>
  <c r="AE14" i="7"/>
  <c r="Y22" i="7"/>
  <c r="AN15" i="7"/>
  <c r="AG17" i="7"/>
  <c r="AH20" i="7"/>
  <c r="AH23" i="7"/>
  <c r="Y25" i="7"/>
  <c r="AA27" i="7"/>
  <c r="AG21" i="7"/>
  <c r="AE12" i="7"/>
  <c r="AH18" i="7"/>
  <c r="AN13" i="7"/>
  <c r="AG26" i="7"/>
  <c r="Y14" i="7"/>
  <c r="AC20" i="7"/>
  <c r="AL18" i="7"/>
  <c r="AL21" i="7"/>
  <c r="AE23" i="7"/>
  <c r="AN18" i="7"/>
  <c r="AL12" i="7"/>
  <c r="Y19" i="7"/>
  <c r="AE11" i="7"/>
  <c r="AN12" i="7"/>
  <c r="AG14" i="7"/>
  <c r="Y16" i="7"/>
  <c r="AH17" i="7"/>
  <c r="AA19" i="7"/>
  <c r="AA22" i="7"/>
  <c r="Y20" i="7"/>
  <c r="AG24" i="7"/>
  <c r="Y17" i="7"/>
  <c r="AA20" i="7"/>
  <c r="AA17" i="7"/>
  <c r="AC17" i="7"/>
  <c r="AC14" i="7"/>
  <c r="AE17" i="7"/>
  <c r="AN21" i="7"/>
  <c r="AC11" i="7"/>
  <c r="AG23" i="7"/>
  <c r="Y13" i="7"/>
  <c r="AH14" i="7"/>
  <c r="AA16" i="7"/>
  <c r="AJ20" i="7"/>
  <c r="AJ23" i="7"/>
  <c r="AA25" i="7"/>
  <c r="AC27" i="7"/>
  <c r="Y23" i="7"/>
  <c r="AH21" i="7"/>
  <c r="AH15" i="7"/>
  <c r="AL26" i="7"/>
  <c r="AH12" i="7"/>
  <c r="AJ15" i="7"/>
  <c r="AN26" i="7"/>
  <c r="Y11" i="7"/>
  <c r="AJ12" i="7"/>
  <c r="Y27" i="7"/>
  <c r="AG20" i="7"/>
  <c r="AG11" i="7"/>
  <c r="AJ17" i="7"/>
  <c r="AC19" i="7"/>
  <c r="AC22" i="7"/>
  <c r="AH11" i="7"/>
  <c r="AA13" i="7"/>
  <c r="AE27" i="7"/>
  <c r="AL17" i="7"/>
  <c r="AJ11" i="7"/>
  <c r="AC13" i="7"/>
  <c r="AL14" i="7"/>
  <c r="AE16" i="7"/>
  <c r="AN20" i="7"/>
  <c r="AN23" i="7"/>
  <c r="AG25" i="7"/>
  <c r="AG27" i="7"/>
  <c r="AJ24" i="7"/>
  <c r="AL20" i="7"/>
  <c r="AE25" i="7"/>
  <c r="AE22" i="7"/>
  <c r="AN17" i="7"/>
  <c r="AG19" i="7"/>
  <c r="Y21" i="7"/>
  <c r="AG22" i="7"/>
  <c r="Y24" i="7"/>
  <c r="AH25" i="7"/>
  <c r="AL27" i="7"/>
  <c r="AH24" i="7"/>
  <c r="AL24" i="7"/>
  <c r="AC16" i="7"/>
  <c r="AL11" i="7"/>
  <c r="AE13" i="7"/>
  <c r="AN14" i="7"/>
  <c r="AG16" i="7"/>
  <c r="Y18" i="7"/>
  <c r="AH19" i="7"/>
  <c r="AH22" i="7"/>
  <c r="AJ14" i="7"/>
  <c r="AL23" i="7"/>
  <c r="AE19" i="7"/>
  <c r="Y15" i="7"/>
  <c r="AH16" i="7"/>
  <c r="AA18" i="7"/>
  <c r="AA21" i="7"/>
  <c r="AA24" i="7"/>
  <c r="AJ25" i="7"/>
  <c r="Y26" i="7"/>
  <c r="AN27" i="7"/>
  <c r="AL15" i="7"/>
  <c r="AN11" i="7"/>
  <c r="Y12" i="7"/>
  <c r="AG13" i="7"/>
  <c r="AJ19" i="7"/>
  <c r="AH27" i="7"/>
  <c r="AJ27" i="7"/>
  <c r="AH26" i="7"/>
  <c r="AJ26" i="7"/>
  <c r="AQ25" i="7"/>
  <c r="AP25" i="7"/>
  <c r="T25" i="7"/>
  <c r="AC25" i="7"/>
  <c r="AA11" i="7"/>
  <c r="Y12" i="6"/>
  <c r="Y17" i="6"/>
  <c r="X12" i="6"/>
  <c r="V19" i="6"/>
  <c r="X19" i="6"/>
  <c r="V21" i="6"/>
  <c r="V16" i="6"/>
  <c r="V11" i="6"/>
  <c r="Y11" i="6"/>
  <c r="Y14" i="6"/>
  <c r="X16" i="6"/>
  <c r="Y16" i="6"/>
  <c r="V18" i="6"/>
  <c r="V13" i="6"/>
  <c r="Y18" i="6"/>
  <c r="X21" i="6"/>
  <c r="X18" i="6"/>
  <c r="X13" i="6"/>
  <c r="V20" i="6"/>
  <c r="Y19" i="6"/>
  <c r="Y21" i="6"/>
  <c r="X11" i="6"/>
  <c r="Y13" i="6"/>
  <c r="V15" i="6"/>
  <c r="X15" i="6"/>
  <c r="Y15" i="6"/>
  <c r="V17" i="6"/>
  <c r="X22" i="6"/>
  <c r="V14" i="6"/>
  <c r="X14" i="6"/>
  <c r="X20" i="6"/>
  <c r="Y20" i="6"/>
  <c r="V22" i="6"/>
  <c r="Y22" i="6"/>
  <c r="V12" i="6"/>
  <c r="P20" i="6"/>
  <c r="P15" i="6"/>
  <c r="U11" i="6"/>
  <c r="O19" i="6"/>
  <c r="O14" i="6"/>
  <c r="O18" i="6"/>
  <c r="U19" i="6"/>
  <c r="U14" i="6"/>
  <c r="O22" i="6"/>
  <c r="O17" i="6"/>
  <c r="T18" i="6"/>
  <c r="P22" i="6"/>
  <c r="U21" i="6"/>
  <c r="R15" i="6"/>
  <c r="T20" i="6"/>
  <c r="U20" i="6"/>
  <c r="R19" i="6"/>
  <c r="R14" i="6"/>
  <c r="O13" i="6"/>
  <c r="P18" i="6"/>
  <c r="P13" i="6"/>
  <c r="R13" i="6"/>
  <c r="O12" i="6"/>
  <c r="T13" i="6"/>
  <c r="P17" i="6"/>
  <c r="U18" i="6"/>
  <c r="T11" i="6"/>
  <c r="R20" i="6"/>
  <c r="P19" i="6"/>
  <c r="U15" i="6"/>
  <c r="T19" i="6"/>
  <c r="T14" i="6"/>
  <c r="R18" i="6"/>
  <c r="P12" i="6"/>
  <c r="U13" i="6"/>
  <c r="R22" i="6"/>
  <c r="P14" i="6"/>
  <c r="R17" i="6"/>
  <c r="U16" i="6"/>
  <c r="T22" i="6"/>
  <c r="O16" i="6"/>
  <c r="U22" i="6"/>
  <c r="O11" i="6"/>
  <c r="U17" i="6"/>
  <c r="P11" i="6"/>
  <c r="U12" i="6"/>
  <c r="R21" i="6"/>
  <c r="O15" i="6"/>
  <c r="R12" i="6"/>
  <c r="O21" i="6"/>
  <c r="T17" i="6"/>
  <c r="P21" i="6"/>
  <c r="T12" i="6"/>
  <c r="P16" i="6"/>
  <c r="R16" i="6"/>
  <c r="T16" i="6"/>
  <c r="T15" i="6"/>
  <c r="R11" i="6"/>
  <c r="O20" i="6"/>
  <c r="AC17" i="5"/>
  <c r="X12" i="5"/>
  <c r="Z12" i="5"/>
  <c r="AB20" i="5"/>
  <c r="X15" i="5"/>
  <c r="Z15" i="5"/>
  <c r="Z21" i="5"/>
  <c r="AB21" i="5"/>
  <c r="AC21" i="5"/>
  <c r="Z20" i="5"/>
  <c r="X11" i="5"/>
  <c r="Z17" i="5"/>
  <c r="AC13" i="5"/>
  <c r="AB12" i="5"/>
  <c r="AC16" i="5"/>
  <c r="X19" i="5"/>
  <c r="AB15" i="5"/>
  <c r="AC11" i="5"/>
  <c r="X22" i="5"/>
  <c r="Z14" i="5"/>
  <c r="Z22" i="5"/>
  <c r="Z13" i="5"/>
  <c r="X20" i="5"/>
  <c r="Z16" i="5"/>
  <c r="AC12" i="5"/>
  <c r="Z11" i="5"/>
  <c r="AB11" i="5"/>
  <c r="AC15" i="5"/>
  <c r="Z18" i="5"/>
  <c r="AB17" i="5"/>
  <c r="AB16" i="5"/>
  <c r="AB19" i="5"/>
  <c r="AC19" i="5"/>
  <c r="X14" i="5"/>
  <c r="AB14" i="5"/>
  <c r="AB18" i="5"/>
  <c r="AB22" i="5"/>
  <c r="AB13" i="5"/>
  <c r="X16" i="5"/>
  <c r="AC20" i="5"/>
  <c r="Z19" i="5"/>
  <c r="X18" i="5"/>
  <c r="AC14" i="5"/>
  <c r="AC18" i="5"/>
  <c r="AC22" i="5"/>
  <c r="X13" i="5"/>
  <c r="X17" i="5"/>
  <c r="T12" i="5"/>
  <c r="V13" i="5"/>
  <c r="W13" i="5"/>
  <c r="W11" i="5"/>
  <c r="R22" i="5"/>
  <c r="Q20" i="5"/>
  <c r="R21" i="5"/>
  <c r="W14" i="5"/>
  <c r="V12" i="5"/>
  <c r="Q19" i="5"/>
  <c r="R20" i="5"/>
  <c r="T22" i="5"/>
  <c r="V14" i="5"/>
  <c r="W12" i="5"/>
  <c r="Q22" i="5"/>
  <c r="Q21" i="5"/>
  <c r="Q18" i="5"/>
  <c r="R19" i="5"/>
  <c r="T21" i="5"/>
  <c r="W15" i="5"/>
  <c r="T11" i="5"/>
  <c r="V11" i="5"/>
  <c r="Q17" i="5"/>
  <c r="R18" i="5"/>
  <c r="T20" i="5"/>
  <c r="V22" i="5"/>
  <c r="W22" i="5"/>
  <c r="W21" i="5"/>
  <c r="T18" i="5"/>
  <c r="Q14" i="5"/>
  <c r="R15" i="5"/>
  <c r="T17" i="5"/>
  <c r="V19" i="5"/>
  <c r="W20" i="5"/>
  <c r="Q16" i="5"/>
  <c r="V20" i="5"/>
  <c r="Q13" i="5"/>
  <c r="R14" i="5"/>
  <c r="T16" i="5"/>
  <c r="V18" i="5"/>
  <c r="W19" i="5"/>
  <c r="T19" i="5"/>
  <c r="Q15" i="5"/>
  <c r="Q12" i="5"/>
  <c r="R13" i="5"/>
  <c r="T15" i="5"/>
  <c r="V17" i="5"/>
  <c r="W18" i="5"/>
  <c r="V21" i="5"/>
  <c r="R16" i="5"/>
  <c r="Q11" i="5"/>
  <c r="R12" i="5"/>
  <c r="T14" i="5"/>
  <c r="V16" i="5"/>
  <c r="W17" i="5"/>
  <c r="R17" i="5"/>
  <c r="R11" i="5"/>
  <c r="T13" i="5"/>
  <c r="V15" i="5"/>
  <c r="N11" i="8" l="1"/>
  <c r="N12" i="8"/>
  <c r="AS25" i="7"/>
  <c r="AR25" i="7"/>
  <c r="M12" i="8" l="1"/>
  <c r="N13" i="8" s="1"/>
  <c r="O12" i="8"/>
  <c r="AE12" i="8" s="1"/>
  <c r="M13" i="8" l="1"/>
  <c r="N14" i="8" s="1"/>
  <c r="O13" i="8"/>
  <c r="AE13" i="8" s="1"/>
  <c r="M14" i="8" l="1"/>
  <c r="N15" i="8" s="1"/>
  <c r="O14" i="8" l="1"/>
  <c r="AE14" i="8" s="1"/>
  <c r="M15" i="8"/>
  <c r="N16" i="8" s="1"/>
  <c r="O15" i="8" l="1"/>
  <c r="AE15" i="8" s="1"/>
  <c r="M16" i="8"/>
  <c r="N17" i="8" s="1"/>
  <c r="O16" i="8" l="1"/>
  <c r="AE16" i="8" s="1"/>
  <c r="M17" i="8"/>
  <c r="N18" i="8" s="1"/>
  <c r="O17" i="8" l="1"/>
  <c r="AE17" i="8" s="1"/>
  <c r="M18" i="8"/>
  <c r="N19" i="8" s="1"/>
  <c r="O18" i="8" l="1"/>
  <c r="AE18" i="8" s="1"/>
  <c r="M19" i="8"/>
  <c r="N20" i="8" s="1"/>
  <c r="M20" i="8" l="1"/>
  <c r="N21" i="8" s="1"/>
  <c r="O20" i="8"/>
  <c r="AE20" i="8" s="1"/>
  <c r="O19" i="8"/>
  <c r="AE19" i="8" s="1"/>
  <c r="M21" i="8" l="1"/>
  <c r="O21" i="8"/>
  <c r="AE2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7D41DC64-D350-4A4C-B1D2-5BAC3E0E26B3}">
      <text>
        <r>
          <rPr>
            <b/>
            <sz val="9"/>
            <color indexed="81"/>
            <rFont val="Tahoma"/>
            <family val="2"/>
          </rPr>
          <t>Typed input. PY and Measure are the only typed columns; every other number on this sheet is a formula and will follow.</t>
        </r>
      </text>
    </comment>
    <comment ref="D10" authorId="0" shapeId="0" xr:uid="{5EB89895-0AC9-45C7-A268-289239B41911}">
      <text>
        <r>
          <rPr>
            <b/>
            <sz val="9"/>
            <color indexed="81"/>
            <rFont val="Tahoma"/>
            <family val="2"/>
          </rPr>
          <t>Typed input. PY and Measure are the only typed columns; every other number on this sheet is a formula and will follow.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BA3D1AE5-A7A2-4946-B8DD-E16C77A08624}">
      <text>
        <r>
          <rPr>
            <b/>
            <sz val="9"/>
            <color indexed="81"/>
            <rFont val="Tahoma"/>
            <family val="2"/>
          </rPr>
          <t>Typed input. Measure and ΔPL are the only typed columns; every other number on this sheet is a formula and will follow.</t>
        </r>
      </text>
    </comment>
    <comment ref="D10" authorId="0" shapeId="0" xr:uid="{D647687A-AFE6-489E-9F3F-5CD8467C8185}">
      <text>
        <r>
          <rPr>
            <b/>
            <sz val="9"/>
            <color indexed="81"/>
            <rFont val="Tahoma"/>
            <family val="2"/>
          </rPr>
          <t>Typed input. Measure and ΔPL are the only typed columns; every other number on this sheet is a formula and will follow.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D10" authorId="0" shapeId="0" xr:uid="{60AC7DB3-A7DF-4504-A346-14C8E4520184}">
      <text>
        <r>
          <rPr>
            <b/>
            <sz val="9"/>
            <color indexed="81"/>
            <rFont val="Tahoma"/>
            <family val="2"/>
          </rPr>
          <t>Typed input. AC/FC and ΔPY are the only typed columns; every other number on this sheet is a formula and will follow.</t>
        </r>
      </text>
    </comment>
    <comment ref="E10" authorId="0" shapeId="0" xr:uid="{BE356ECF-8257-4164-8CB9-CDCEDD8E2B6A}">
      <text>
        <r>
          <rPr>
            <b/>
            <sz val="9"/>
            <color indexed="81"/>
            <rFont val="Tahoma"/>
            <family val="2"/>
          </rPr>
          <t>Typed input. AC/FC and ΔPY are the only typed columns; every other number on this sheet is a formula and will follow.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D10" authorId="0" shapeId="0" xr:uid="{47EF7678-D661-45EF-A205-54E0A872B407}">
      <text>
        <r>
          <rPr>
            <b/>
            <sz val="9"/>
            <color indexed="81"/>
            <rFont val="Tahoma"/>
            <family val="2"/>
          </rPr>
          <t>Typed input. AC and ΔPY% are the only typed columns; every other number on this sheet is a formula and will follow.</t>
        </r>
      </text>
    </comment>
    <comment ref="E10" authorId="0" shapeId="0" xr:uid="{39127113-A182-4D59-AE35-1DE1B0DD6976}">
      <text>
        <r>
          <rPr>
            <b/>
            <sz val="9"/>
            <color indexed="81"/>
            <rFont val="Tahoma"/>
            <family val="2"/>
          </rPr>
          <t>Typed input. AC and ΔPY% are the only typed columns; every other number on this sheet is a formula and will follow.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Wayne Phillips</author>
  </authors>
  <commentList>
    <comment ref="C10" authorId="0" shapeId="0" xr:uid="{6B43FDF8-295B-4C83-9DFE-3DAE2B3603DF}">
      <text>
        <r>
          <rPr>
            <b/>
            <sz val="9"/>
            <color indexed="81"/>
            <rFont val="Tahoma"/>
            <family val="2"/>
          </rPr>
          <t>Typed input. PY and AC are the only typed columns; every other number on this sheet is a formula and will follow.</t>
        </r>
      </text>
    </comment>
    <comment ref="D10" authorId="0" shapeId="0" xr:uid="{84E73F9A-CFA6-4B42-B4D5-155E6CB27ABD}">
      <text>
        <r>
          <rPr>
            <b/>
            <sz val="9"/>
            <color indexed="81"/>
            <rFont val="Tahoma"/>
            <family val="2"/>
          </rPr>
          <t>Typed input. PY and AC are the only typed columns; every other number on this sheet is a formula and will follow.</t>
        </r>
      </text>
    </comment>
  </commentList>
</comments>
</file>

<file path=xl/sharedStrings.xml><?xml version="1.0" encoding="utf-8"?>
<sst xmlns="http://schemas.openxmlformats.org/spreadsheetml/2006/main" count="533" uniqueCount="247">
  <si>
    <t>IBCS® notation on The Progressive Corporation's reported figures</t>
  </si>
  <si>
    <t>One sheet per template. Each sheet has two zones: the source data on the left, the charts to its right. They never overlap.</t>
  </si>
  <si>
    <t>The workbook is live. On any template sheet the two shaded columns are typed inputs - the reference scenario and the measure. Everything from the variance columns rightwards is a formula, so retyping a figure recalculates the variances and redraws the chart, including changing a bar's colour if the variance changes sign.</t>
  </si>
  <si>
    <t>The columns to the right of the variances feed the charts. They are derived, not data: Excel colours a whole series rather than a point, so a variance that must be green when positive and red when negative is plotted as two mutually exclusive series.</t>
  </si>
  <si>
    <t>The words are live too. The shaded cells at the top of each sheet hold the entity, measure, unit, period, reference scenario and message; the greyed lines under them - the subject line and each tier caption - are built from those cells, and the text on the charts is linked to them. Retype the unit once and every caption follows. Nothing a chart says is typed into the chart itself.</t>
  </si>
  <si>
    <t>Charts follow IBCS® notation: fill encodes how a number came to exist (solid dark actual, solid light prior year, outlined plan, hatched forecast), and variance colour encodes impact rather than sign.</t>
  </si>
  <si>
    <t>IBCS® does not prescribe colour codes (rule UN 4.1). The palette here is a house choice sampled to match the published reference renders.</t>
  </si>
  <si>
    <t>A third shade. Cells shaded blue are typed like the others, but hold figures the entity never published - a plan or forecast constructed here on a basis stated under the data and on the Sources sheet. Everything else shaded is as reported. Replace either and the charts follow. Scenarios constructed this way: FC, PL.</t>
  </si>
  <si>
    <t>Figures are from public filings: SEC EDGAR CIK 0000080661, 10-K Exhibit 13 state tables; SEC EDGAR CIK 0000080661, XBRL companyfacts; SEC EDGAR CIK 0000080661, monthly 8-K exhibits; SEC EDGAR CIK 0000080661, monthly 8-K exhibits and 10-K. Every figure is either read from a filing or derived from ones that were, and the Sources sheet says which.</t>
  </si>
  <si>
    <t>Drawn in IBCS® notation from publicly reported figures. IBCS® is a registered trademark of the IBCS Association; this is not an IBCS Institute publication and is not endorsed by, affiliated with, or produced in cooperation with it.</t>
  </si>
  <si>
    <t>Not affiliated with, endorsed by, or produced in cooperation with The Progressive Corporation. This workbook is an independent presentation of figures that company published; it is not that company's reporting.</t>
  </si>
  <si>
    <t>This is the simple workbook.</t>
  </si>
  <si>
    <t>Each sheet draws the same data as the complex workbook reduced to its base tier: no variance tiers, no callouts, no highlight markers. Seven templates have a useful simple form and they are the ones here. A scattergram and a bubble chart have no tiers to drop; a line chart's tiers are all measures; and a table reduced to one column block is a list rather than a report.</t>
  </si>
  <si>
    <t>The data zone is identical to the complex workbook's, including the columns feeding tiers this sheet does not draw. That is deliberate - both workbooks are built from one set of numbers, so they cannot disagree with each other.</t>
  </si>
  <si>
    <t>Where the figures come from</t>
  </si>
  <si>
    <t>Sheet</t>
  </si>
  <si>
    <t>Scenario</t>
  </si>
  <si>
    <t>Basis</t>
  </si>
  <si>
    <t>Detail</t>
  </si>
  <si>
    <t>C01A</t>
  </si>
  <si>
    <t>AC</t>
  </si>
  <si>
    <t>filed</t>
  </si>
  <si>
    <t>Segment premium from the year-to-date block of each December monthly release; state premium from the 10-K annual-report exhibit. Both reconcile to the same companywide total.</t>
  </si>
  <si>
    <t>C02A</t>
  </si>
  <si>
    <t>Full-year 2025 segment earned premium and the loss and expense ratios, from the year-to-date block of the December monthly release. Losses and expenses are those ratios applied to earned premium; the underwriting result is what remains.</t>
  </si>
  <si>
    <t>C03A</t>
  </si>
  <si>
    <t>Monthly net premiums written, Exhibit 99 to the monthly 8-K. Twelve months reconcile to the 10-K annual figure.</t>
  </si>
  <si>
    <t>PY</t>
  </si>
  <si>
    <t>The same series for 2025.</t>
  </si>
  <si>
    <t>FC</t>
  </si>
  <si>
    <t>assumed</t>
  </si>
  <si>
    <t>Progressive publishes no forecast. Remaining months are prior-year months grown at the year-to-date pace through Jul (+5.7%).</t>
  </si>
  <si>
    <t>C04A</t>
  </si>
  <si>
    <t>Monthly net premiums earned and combined ratio from the 2023 monthly 8-K exhibits; the underwriting result is premium times (100 - combined ratio).</t>
  </si>
  <si>
    <t>PL</t>
  </si>
  <si>
    <t>Progressive publishes no monthly plan. The target it does publish is a 96 combined ratio - a 4% underwriting margin - applied here to each month's earned premium.</t>
  </si>
  <si>
    <t>C05X</t>
  </si>
  <si>
    <t>derived</t>
  </si>
  <si>
    <t>Earned premium times (100 - combined ratio), both from the monthly 8-K exhibit. The same series C07C draws.</t>
  </si>
  <si>
    <t>The same calculation over the twelve months of 2025.</t>
  </si>
  <si>
    <t>The 96 combined ratio target applied to the premium each month actually earned. The target is filed; using it as a monthly plan is this workbook's construction, and it is a floor the company aims to beat rather than a forecast.</t>
  </si>
  <si>
    <t>Remaining months are the prior year's at the year-to-date pace, earning the year-to-date margin - the basis C07C states and the same numbers.</t>
  </si>
  <si>
    <t>C06F</t>
  </si>
  <si>
    <t>Net premiums written by state, 2025 10-K (Exhibit 13). The ten largest states are named and the rest are the filing's own All other line.</t>
  </si>
  <si>
    <t>The same table for 2024. Both years tie to the annual premium built from twelve monthly releases - two documents, months apart.</t>
  </si>
  <si>
    <t>C12A</t>
  </si>
  <si>
    <t>Income statement lines as tagged in Progressive's 2023 10-K (XBRL companyfacts). Subtotals are derived from the lines above them.</t>
  </si>
  <si>
    <t>The same tags for 2022.</t>
  </si>
  <si>
    <t>filed = the figure appears in a filing.   derived = computed from filed figures by the rule stated beside it.   assumed = a modelling choice the entity never published; shaded on its own sheet so it cannot be mistaken for something reported.</t>
  </si>
  <si>
    <t>Entity</t>
  </si>
  <si>
    <t>The Progressive Corporation</t>
  </si>
  <si>
    <t>Measure</t>
  </si>
  <si>
    <t>Net premiums written</t>
  </si>
  <si>
    <t>Unit</t>
  </si>
  <si>
    <t>$m</t>
  </si>
  <si>
    <t>Period</t>
  </si>
  <si>
    <t>2021..2025</t>
  </si>
  <si>
    <t>Reference</t>
  </si>
  <si>
    <t>Message</t>
  </si>
  <si>
    <t>Direct auto has grown from 18,911 to 39,631 $m since 2021, +110%, and now writes 48% of premium; Texas and Florida together account for 25% of the 2025 book</t>
  </si>
  <si>
    <t>Subject</t>
  </si>
  <si>
    <t>By segment</t>
  </si>
  <si>
    <t>2021 AC</t>
  </si>
  <si>
    <t>2022 AC</t>
  </si>
  <si>
    <t>2023 AC</t>
  </si>
  <si>
    <t>2024 AC</t>
  </si>
  <si>
    <t>2025 AC</t>
  </si>
  <si>
    <t>Agency auto</t>
  </si>
  <si>
    <t>Direct auto</t>
  </si>
  <si>
    <t>Property</t>
  </si>
  <si>
    <t>Commercial</t>
  </si>
  <si>
    <t>Other</t>
  </si>
  <si>
    <t>Total</t>
  </si>
  <si>
    <t>span</t>
  </si>
  <si>
    <t>Net premiums earned</t>
  </si>
  <si>
    <t>2025</t>
  </si>
  <si>
    <t>Of 81,659 $m earned in 2025, 53,866 went to losses and 17,523 to expenses, leaving an underwriting result of 10,270 $m (12.6%); Property keeps the largest share of its premium at 24.9% and Direct auto the smallest at 9.9%</t>
  </si>
  <si>
    <t>Losses and LAE</t>
  </si>
  <si>
    <t>Expenses</t>
  </si>
  <si>
    <t>Underwriting result</t>
  </si>
  <si>
    <t>2026</t>
  </si>
  <si>
    <t>Net premiums written are running +2.5% to +9.6% above prior year through Jul; on that pace the year closes +4,753 $m (+5.7%) above 2025</t>
  </si>
  <si>
    <t>ΔPY</t>
  </si>
  <si>
    <t>ΔPY%</t>
  </si>
  <si>
    <t>Measure AC</t>
  </si>
  <si>
    <t>Measure FC</t>
  </si>
  <si>
    <t>ΔPY up</t>
  </si>
  <si>
    <t>ΔPY down</t>
  </si>
  <si>
    <t>ΔPY% up</t>
  </si>
  <si>
    <t>ΔPY% down</t>
  </si>
  <si>
    <t>up length</t>
  </si>
  <si>
    <t>down length</t>
  </si>
  <si>
    <t>span unit</t>
  </si>
  <si>
    <t>span rel</t>
  </si>
  <si>
    <t>ref scaled</t>
  </si>
  <si>
    <t>measure scaled</t>
  </si>
  <si>
    <t>measure text</t>
  </si>
  <si>
    <t>var_abs scaled</t>
  </si>
  <si>
    <t>var_abs text</t>
  </si>
  <si>
    <t>abs_up scaled</t>
  </si>
  <si>
    <t>abs_dn scaled</t>
  </si>
  <si>
    <t>rel_up scaled</t>
  </si>
  <si>
    <t>rel_up text</t>
  </si>
  <si>
    <t>rel_dn scaled</t>
  </si>
  <si>
    <t>rel_dn text</t>
  </si>
  <si>
    <t>rel_up_len scaled</t>
  </si>
  <si>
    <t>rel_dn_len scaled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</si>
  <si>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</si>
  <si>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</si>
  <si>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</si>
  <si>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</si>
  <si>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</si>
  <si>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</si>
  <si>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</si>
  <si>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</si>
  <si>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</si>
  <si>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</si>
  <si>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</si>
  <si>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</si>
  <si>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FC is not reported by the entity. Progressive publishes no forecast. Remaining months are prior-year months grown at the year-to-date pace through Jul (+5.7%). Replace these cells with your own figures and every chart on this sheet follows.</t>
  </si>
  <si>
    <t>2023</t>
  </si>
  <si>
    <t>6 of 12 months beat the 96 combined ratio target in 2023; Dec by +670 $m and Mar missed it by 441 $m, a spread of 1,111 $m across the year</t>
  </si>
  <si>
    <t>State</t>
  </si>
  <si>
    <t>ΔPL</t>
  </si>
  <si>
    <t>ΔPL%</t>
  </si>
  <si>
    <t>ΔPL up</t>
  </si>
  <si>
    <t>ΔPL down</t>
  </si>
  <si>
    <t>ΔPL% up</t>
  </si>
  <si>
    <t>ΔPL% down</t>
  </si>
  <si>
    <t>var_rel scaled</t>
  </si>
  <si>
    <t>var_rel text</t>
  </si>
  <si>
    <t>PL is not reported by the entity. Progressive publishes no monthly plan. The target it does publish is a 96 combined ratio - a 4% underwriting margin - applied here to each month's earned premium. Replace these cells with your own figures and every chart on this sheet follows.</t>
  </si>
  <si>
    <t>The underwriting result is running +1,200 $m (+11.7%) ahead of 2025, with 7 of twelve months up and Sep contributing +985 on its own. Both years sit far above the 96 combined ratio target, drawn as the second opening column</t>
  </si>
  <si>
    <t>Kind</t>
  </si>
  <si>
    <t>AC/FC</t>
  </si>
  <si>
    <t>PY bar</t>
  </si>
  <si>
    <t>AC bar</t>
  </si>
  <si>
    <t>FC bar</t>
  </si>
  <si>
    <t>level</t>
  </si>
  <si>
    <t>from</t>
  </si>
  <si>
    <t>base</t>
  </si>
  <si>
    <t>up AC</t>
  </si>
  <si>
    <t>down AC</t>
  </si>
  <si>
    <t>up FC</t>
  </si>
  <si>
    <t>down FC</t>
  </si>
  <si>
    <t>bar_py scaled</t>
  </si>
  <si>
    <t>bar_py text</t>
  </si>
  <si>
    <t>bar_pl scaled</t>
  </si>
  <si>
    <t>bar_pl text</t>
  </si>
  <si>
    <t>bar_ac scaled</t>
  </si>
  <si>
    <t>bar_ac text</t>
  </si>
  <si>
    <t>bar_fc scaled</t>
  </si>
  <si>
    <t>bar_fc text</t>
  </si>
  <si>
    <t>wf_base scaled</t>
  </si>
  <si>
    <t>wf_up_ac scaled</t>
  </si>
  <si>
    <t>wf_up_ac text</t>
  </si>
  <si>
    <t>wf_dn_ac scaled</t>
  </si>
  <si>
    <t>wf_dn_ac text</t>
  </si>
  <si>
    <t>wf_up_fc scaled</t>
  </si>
  <si>
    <t>wf_up_fc text</t>
  </si>
  <si>
    <t>wf_dn_fc scaled</t>
  </si>
  <si>
    <t>wf_dn_fc text</t>
  </si>
  <si>
    <t>2026 PL</t>
  </si>
  <si>
    <t>total</t>
  </si>
  <si>
    <t>state</t>
  </si>
  <si>
    <t>2026 AC+FC</t>
  </si>
  <si>
    <t>vs PY</t>
  </si>
  <si>
    <t>variance</t>
  </si>
  <si>
    <t>vs PL</t>
  </si>
  <si>
    <t>PL is not reported by the entity. The 96 combined ratio target applied to the premium each month actually earned. The target is filed; using it as a monthly plan is this workbook's construction, and it is a floor the company aims to beat rather than a forecast. Replace these cells with your own figures and every chart on this sheet follows.</t>
  </si>
  <si>
    <t>FC is not reported by the entity. Remaining months are the prior year's at the year-to-date pace, earning the year-to-date margin - the basis C07C states and the same numbers. Replace these cells with your own figures and every chart on this sheet follows.</t>
  </si>
  <si>
    <t>Premium grew +8,750 $m (+11.8%) and every one of the ten largest states grew. But 56% of the increase came from outside the top ten - +4,885 $m against +3,865 from all ten named states put together, Texas included</t>
  </si>
  <si>
    <t>Line</t>
  </si>
  <si>
    <t>PY short</t>
  </si>
  <si>
    <t>PL bar</t>
  </si>
  <si>
    <t>AC total</t>
  </si>
  <si>
    <t>step up</t>
  </si>
  <si>
    <t>step down</t>
  </si>
  <si>
    <t>bar_state scaled</t>
  </si>
  <si>
    <t>bar_state text</t>
  </si>
  <si>
    <t>bar_short scaled</t>
  </si>
  <si>
    <t>wf_up scaled</t>
  </si>
  <si>
    <t>wf_up text</t>
  </si>
  <si>
    <t>wf_dn scaled</t>
  </si>
  <si>
    <t>wf_dn text</t>
  </si>
  <si>
    <t>Texas</t>
  </si>
  <si>
    <t>California</t>
  </si>
  <si>
    <t>New Jersey</t>
  </si>
  <si>
    <t>New York</t>
  </si>
  <si>
    <t>Georgia</t>
  </si>
  <si>
    <t>Ohio</t>
  </si>
  <si>
    <t>Arizona</t>
  </si>
  <si>
    <t>Pennsylvania</t>
  </si>
  <si>
    <t>Michigan</t>
  </si>
  <si>
    <t>Florida</t>
  </si>
  <si>
    <t>All other</t>
  </si>
  <si>
    <t>Profit and loss statement</t>
  </si>
  <si>
    <t>AC 2023, PY and ΔPY</t>
  </si>
  <si>
    <t>Net income rose from 722 to 3,903 $m, +441%, as an underwriting result that had nearly vanished in 2022 recovered; 3 lines move too far to be drawn to scale and carry the overflow marks</t>
  </si>
  <si>
    <t>Sign</t>
  </si>
  <si>
    <t>PY level</t>
  </si>
  <si>
    <t>PY from</t>
  </si>
  <si>
    <t>PY base</t>
  </si>
  <si>
    <t>PY adds</t>
  </si>
  <si>
    <t>PY subs</t>
  </si>
  <si>
    <t>AC level</t>
  </si>
  <si>
    <t>AC from</t>
  </si>
  <si>
    <t>AC base</t>
  </si>
  <si>
    <t>AC adds</t>
  </si>
  <si>
    <t>AC subs</t>
  </si>
  <si>
    <t>ΔPY up ok</t>
  </si>
  <si>
    <t>ΔPY up bad</t>
  </si>
  <si>
    <t>ΔPY dn ok</t>
  </si>
  <si>
    <t>ΔPY dn bad</t>
  </si>
  <si>
    <t>ΔPY% up ok</t>
  </si>
  <si>
    <t>ΔPY% up bad</t>
  </si>
  <si>
    <t>ΔPY% dn ok</t>
  </si>
  <si>
    <t>ΔPY% dn bad</t>
  </si>
  <si>
    <t>py_base scaled</t>
  </si>
  <si>
    <t>py_add scaled</t>
  </si>
  <si>
    <t>py_add text</t>
  </si>
  <si>
    <t>py_sub scaled</t>
  </si>
  <si>
    <t>py_sub text</t>
  </si>
  <si>
    <t>ac_base scaled</t>
  </si>
  <si>
    <t>ac_add scaled</t>
  </si>
  <si>
    <t>ac_add text</t>
  </si>
  <si>
    <t>ac_sub scaled</t>
  </si>
  <si>
    <t>ac_sub text</t>
  </si>
  <si>
    <t>abs_pos_good scaled</t>
  </si>
  <si>
    <t>abs_pos_bad scaled</t>
  </si>
  <si>
    <t>abs_neg_good scaled</t>
  </si>
  <si>
    <t>abs_neg_bad scaled</t>
  </si>
  <si>
    <t>var_rel clipped</t>
  </si>
  <si>
    <t>rel_pos_good clipped</t>
  </si>
  <si>
    <t>rel_pos_bad clipped</t>
  </si>
  <si>
    <t>rel_neg_good clipped</t>
  </si>
  <si>
    <t>rel_neg_bad clipped</t>
  </si>
  <si>
    <t>ΔPY% text</t>
  </si>
  <si>
    <t>Premiums earned</t>
  </si>
  <si>
    <t>Investment income</t>
  </si>
  <si>
    <t>Other revenues</t>
  </si>
  <si>
    <t>Total revenues</t>
  </si>
  <si>
    <t>Acquisition costs</t>
  </si>
  <si>
    <t>Other expenses</t>
  </si>
  <si>
    <t>Pretax income</t>
  </si>
  <si>
    <t>Income taxes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</si>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</sst>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\ ##0"/>
    <numFmt numFmtId="165" formatCode="0.000000"/>
    <numFmt numFmtId="166" formatCode="0.0"/>
    <numFmt numFmtId="167" formatCode="\+0.0;\-0.0"/>
    <numFmt numFmtId="168" formatCode="\+0;\-0"/>
    <numFmt numFmtId="169" formatCode="\+#,##0;\-#,##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7F7F7F"/>
      <name val="Aptos Narrow"/>
      <family val="2"/>
      <scheme val="minor"/>
    </font>
    <font>
      <sz val="11"/>
      <color rgb="FF808080"/>
      <name val="Aptos Narrow"/>
      <family val="2"/>
      <scheme val="minor"/>
    </font>
    <font>
      <sz val="9"/>
      <color rgb="FF80808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rgb="FF7F7F7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2" borderId="0" xfId="0" applyFill="1"/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 wrapText="1"/>
    </xf>
    <xf numFmtId="49" fontId="0" fillId="3" borderId="0" xfId="0" applyNumberFormat="1" applyFill="1" applyAlignment="1">
      <alignment horizontal="left" wrapText="1"/>
    </xf>
    <xf numFmtId="0" fontId="6" fillId="0" borderId="0" xfId="0" applyFont="1" applyAlignment="1">
      <alignment horizontal="left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164" fontId="0" fillId="3" borderId="0" xfId="0" applyNumberFormat="1" applyFill="1"/>
    <xf numFmtId="49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0" fontId="7" fillId="0" borderId="0" xfId="0" applyFont="1"/>
    <xf numFmtId="0" fontId="8" fillId="0" borderId="0" xfId="0" applyFont="1" applyAlignment="1">
      <alignment horizontal="left" wrapText="1"/>
    </xf>
    <xf numFmtId="49" fontId="3" fillId="3" borderId="0" xfId="0" applyNumberFormat="1" applyFont="1" applyFill="1" applyAlignment="1">
      <alignment horizontal="left" wrapText="1"/>
    </xf>
    <xf numFmtId="166" fontId="0" fillId="3" borderId="0" xfId="0" applyNumberFormat="1" applyFill="1"/>
    <xf numFmtId="166" fontId="0" fillId="2" borderId="0" xfId="0" applyNumberFormat="1" applyFill="1"/>
    <xf numFmtId="166" fontId="6" fillId="0" borderId="0" xfId="0" applyNumberFormat="1" applyFont="1"/>
    <xf numFmtId="167" fontId="6" fillId="0" borderId="0" xfId="0" applyNumberFormat="1" applyFont="1"/>
    <xf numFmtId="165" fontId="6" fillId="0" borderId="0" xfId="0" applyNumberFormat="1" applyFont="1"/>
    <xf numFmtId="49" fontId="10" fillId="2" borderId="0" xfId="0" applyNumberFormat="1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0" fillId="0" borderId="0" xfId="0" applyNumberFormat="1"/>
    <xf numFmtId="168" fontId="0" fillId="0" borderId="0" xfId="0" applyNumberFormat="1"/>
    <xf numFmtId="1" fontId="0" fillId="3" borderId="0" xfId="0" applyNumberFormat="1" applyFill="1"/>
    <xf numFmtId="168" fontId="0" fillId="2" borderId="0" xfId="0" applyNumberFormat="1" applyFill="1"/>
    <xf numFmtId="1" fontId="6" fillId="0" borderId="0" xfId="0" applyNumberFormat="1" applyFont="1"/>
    <xf numFmtId="168" fontId="6" fillId="0" borderId="0" xfId="0" applyNumberFormat="1" applyFont="1"/>
    <xf numFmtId="49" fontId="0" fillId="0" borderId="0" xfId="0" applyNumberFormat="1" applyAlignment="1">
      <alignment horizontal="left" vertical="top" wrapText="1"/>
    </xf>
    <xf numFmtId="3" fontId="0" fillId="0" borderId="0" xfId="0" applyNumberFormat="1"/>
    <xf numFmtId="3" fontId="6" fillId="2" borderId="0" xfId="0" applyNumberFormat="1" applyFont="1" applyFill="1"/>
    <xf numFmtId="3" fontId="0" fillId="3" borderId="0" xfId="0" applyNumberFormat="1" applyFill="1"/>
    <xf numFmtId="3" fontId="0" fillId="2" borderId="0" xfId="0" applyNumberFormat="1" applyFill="1"/>
    <xf numFmtId="169" fontId="0" fillId="3" borderId="0" xfId="0" applyNumberFormat="1" applyFill="1"/>
    <xf numFmtId="3" fontId="6" fillId="0" borderId="0" xfId="0" applyNumberFormat="1" applyFont="1"/>
    <xf numFmtId="3" fontId="6" fillId="3" borderId="0" xfId="0" applyNumberFormat="1" applyFont="1" applyFill="1"/>
    <xf numFmtId="167" fontId="0" fillId="3" borderId="0" xfId="0" applyNumberFormat="1" applyFill="1"/>
    <xf numFmtId="16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>
                <a:latin typeface="Arial"/>
                <a:ea typeface="Arial"/>
                <a:cs typeface="Arial"/>
              </a:defRPr>
            </a:pPr>
            <a:r>
              <a:rPr lang="en-US"/>
              <a:t>By segment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Agency auto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'C01A'!$B$48</c:f>
                  <c:strCache>
                    <c:ptCount val="1"/>
                    <c:pt idx="0">
                      <c:v>17 258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{D5453A29-3243-48EB-A4AF-B1281852005D}</c15:txfldGUID>
                      <c15:f>'C01A'!$B$48</c15:f>
                      <c15:dlblFieldTableCache>
                        <c:ptCount val="1"/>
                        <c:pt idx="0">
                          <c:v>17 258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FE94-4191-AA5B-9FE6DA4C709D}"/>
                </c:ext>
              </c:extLst>
            </c:dLbl>
            <c:dLbl>
              <c:idx val="1"/>
              <c:tx>
                <c:strRef>
                  <c:f>'C01A'!$C$48</c:f>
                  <c:strCache>
                    <c:ptCount val="1"/>
                    <c:pt idx="0">
                      <c:v>18 334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{DFDB02AE-A345-4CB2-A5A4-6C90E65189C8}</c15:txfldGUID>
                      <c15:f>'C01A'!$C$48</c15:f>
                      <c15:dlblFieldTableCache>
                        <c:ptCount val="1"/>
                        <c:pt idx="0">
                          <c:v>18 334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FE94-4191-AA5B-9FE6DA4C709D}"/>
                </c:ext>
              </c:extLst>
            </c:dLbl>
            <c:dLbl>
              <c:idx val="2"/>
              <c:tx>
                <c:strRef>
                  <c:f>'C01A'!$D$48</c:f>
                  <c:strCache>
                    <c:ptCount val="1"/>
                    <c:pt idx="0">
                      <c:v>22 278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{FF63815D-4AF1-448A-AA80-B25FCFF7DE14}</c15:txfldGUID>
                      <c15:f>'C01A'!$D$48</c15:f>
                      <c15:dlblFieldTableCache>
                        <c:ptCount val="1"/>
                        <c:pt idx="0">
                          <c:v>22 278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FE94-4191-AA5B-9FE6DA4C709D}"/>
                </c:ext>
              </c:extLst>
            </c:dLbl>
            <c:dLbl>
              <c:idx val="3"/>
              <c:tx>
                <c:strRef>
                  <c:f>'C01A'!$E$48</c:f>
                  <c:strCache>
                    <c:ptCount val="1"/>
                    <c:pt idx="0">
                      <c:v>26 967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{C85D369B-B1F4-4BA8-941B-4873E947FDE0}</c15:txfldGUID>
                      <c15:f>'C01A'!$E$48</c15:f>
                      <c15:dlblFieldTableCache>
                        <c:ptCount val="1"/>
                        <c:pt idx="0">
                          <c:v>26 967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E94-4191-AA5B-9FE6DA4C709D}"/>
                </c:ext>
              </c:extLst>
            </c:dLbl>
            <c:dLbl>
              <c:idx val="4"/>
              <c:tx>
                <c:strRef>
                  <c:f>'C01A'!$F$48</c:f>
                  <c:strCache>
                    <c:ptCount val="1"/>
                    <c:pt idx="0">
                      <c:v>29 825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{ECAC85BA-E712-4C74-9694-9BD01773CB08}</c15:txfldGUID>
                      <c15:f>'C01A'!$F$48</c15:f>
                      <c15:dlblFieldTableCache>
                        <c:ptCount val="1"/>
                        <c:pt idx="0">
                          <c:v>29 825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'C01A'!$B$29:$F$29</c:f>
              <c:numCache>
                <c:formatCode>General</c:formatCode>
                <c:ptCount val="5"/>
                <c:pt idx="0">
                  <c:v>0.20749272609228844</c:v>
                </c:pt>
                <c:pt idx="1">
                  <c:v>0.22042946112967995</c:v>
                </c:pt>
                <c:pt idx="2">
                  <c:v>0.26784812561617816</c:v>
                </c:pt>
                <c:pt idx="3">
                  <c:v>0.32422391612763601</c:v>
                </c:pt>
                <c:pt idx="4">
                  <c:v>0.35858561569721309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94-4191-AA5B-9FE6DA4C709D}"/>
            </c:ext>
          </c:extLst>
        </c:ser>
        <c:ser>
          <c:idx val="1"/>
          <c:order val="1"/>
          <c:tx>
            <c:v>Direct auto</c:v>
          </c:tx>
          <c:spPr>
            <a:solidFill>
              <a:srgbClr val="59595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'C01A'!$B$49</c:f>
                  <c:strCache>
                    <c:ptCount val="1"/>
                    <c:pt idx="0">
                      <c:v>18 911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{6D139DFC-A6CE-4BB5-ABAF-72095987B0DD}</c15:txfldGUID>
                      <c15:f>'C01A'!$B$49</c15:f>
                      <c15:dlblFieldTableCache>
                        <c:ptCount val="1"/>
                        <c:pt idx="0">
                          <c:v>18 911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FE94-4191-AA5B-9FE6DA4C709D}"/>
                </c:ext>
              </c:extLst>
            </c:dLbl>
            <c:dLbl>
              <c:idx val="1"/>
              <c:tx>
                <c:strRef>
                  <c:f>'C01A'!$C$49</c:f>
                  <c:strCache>
                    <c:ptCount val="1"/>
                    <c:pt idx="0">
                      <c:v>20 944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{0C623F5E-B8D0-4B13-A4C1-A36B3789B141}</c15:txfldGUID>
                      <c15:f>'C01A'!$C$49</c15:f>
                      <c15:dlblFieldTableCache>
                        <c:ptCount val="1"/>
                        <c:pt idx="0">
                          <c:v>20 944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E94-4191-AA5B-9FE6DA4C709D}"/>
                </c:ext>
              </c:extLst>
            </c:dLbl>
            <c:dLbl>
              <c:idx val="2"/>
              <c:tx>
                <c:strRef>
                  <c:f>'C01A'!$D$49</c:f>
                  <c:strCache>
                    <c:ptCount val="1"/>
                    <c:pt idx="0">
                      <c:v>26 303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{7BC713FC-89DE-4AC8-899D-FE32BC632B45}</c15:txfldGUID>
                      <c15:f>'C01A'!$D$49</c15:f>
                      <c15:dlblFieldTableCache>
                        <c:ptCount val="1"/>
                        <c:pt idx="0">
                          <c:v>26 303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FE94-4191-AA5B-9FE6DA4C709D}"/>
                </c:ext>
              </c:extLst>
            </c:dLbl>
            <c:dLbl>
              <c:idx val="3"/>
              <c:tx>
                <c:strRef>
                  <c:f>'C01A'!$E$49</c:f>
                  <c:strCache>
                    <c:ptCount val="1"/>
                    <c:pt idx="0">
                      <c:v>33 432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{3F7BF508-BF8E-49ED-A2CC-23C21EE862C3}</c15:txfldGUID>
                      <c15:f>'C01A'!$E$49</c15:f>
                      <c15:dlblFieldTableCache>
                        <c:ptCount val="1"/>
                        <c:pt idx="0">
                          <c:v>33 432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FE94-4191-AA5B-9FE6DA4C709D}"/>
                </c:ext>
              </c:extLst>
            </c:dLbl>
            <c:dLbl>
              <c:idx val="4"/>
              <c:tx>
                <c:strRef>
                  <c:f>'C01A'!$F$49</c:f>
                  <c:strCache>
                    <c:ptCount val="1"/>
                    <c:pt idx="0">
                      <c:v>39 631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{E22C3B0A-426E-4616-9A92-FC851451773F}</c15:txfldGUID>
                      <c15:f>'C01A'!$F$49</c15:f>
                      <c15:dlblFieldTableCache>
                        <c:ptCount val="1"/>
                        <c:pt idx="0">
                          <c:v>39 631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'C01A'!$B$30:$F$30</c:f>
              <c:numCache>
                <c:formatCode>General</c:formatCode>
                <c:ptCount val="5"/>
                <c:pt idx="0">
                  <c:v>0.22736672517854137</c:v>
                </c:pt>
                <c:pt idx="1">
                  <c:v>0.25180945968692137</c:v>
                </c:pt>
                <c:pt idx="2">
                  <c:v>0.31624065212686658</c:v>
                </c:pt>
                <c:pt idx="3">
                  <c:v>0.40195253324356167</c:v>
                </c:pt>
                <c:pt idx="4">
                  <c:v>0.47648303556399835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94-4191-AA5B-9FE6DA4C709D}"/>
            </c:ext>
          </c:extLst>
        </c:ser>
        <c:ser>
          <c:idx val="2"/>
          <c:order val="2"/>
          <c:tx>
            <c:v>Property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'C01A'!$B$50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{D0E357ED-DBF3-4C0B-815A-8A17E187281E}</c15:txfldGUID>
                      <c15:f>'C01A'!$B$50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FE94-4191-AA5B-9FE6DA4C709D}"/>
                </c:ext>
              </c:extLst>
            </c:dLbl>
            <c:dLbl>
              <c:idx val="1"/>
              <c:tx>
                <c:strRef>
                  <c:f>'C01A'!$C$50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{3F9BA627-466E-4AEE-9C16-0AB304FDFE6D}</c15:txfldGUID>
                      <c15:f>'C01A'!$C$50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FE94-4191-AA5B-9FE6DA4C709D}"/>
                </c:ext>
              </c:extLst>
            </c:dLbl>
            <c:dLbl>
              <c:idx val="2"/>
              <c:tx>
                <c:strRef>
                  <c:f>'C01A'!$D$50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{B8B4F712-1F20-40AD-86C4-E849C6114488}</c15:txfldGUID>
                      <c15:f>'C01A'!$D$50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FE94-4191-AA5B-9FE6DA4C709D}"/>
                </c:ext>
              </c:extLst>
            </c:dLbl>
            <c:dLbl>
              <c:idx val="3"/>
              <c:tx>
                <c:strRef>
                  <c:f>'C01A'!$E$50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{DE4CF30F-35F7-4C8C-B498-2BE36E3767FB}</c15:txfldGUID>
                      <c15:f>'C01A'!$E$50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FE94-4191-AA5B-9FE6DA4C709D}"/>
                </c:ext>
              </c:extLst>
            </c:dLbl>
            <c:dLbl>
              <c:idx val="4"/>
              <c:tx>
                <c:strRef>
                  <c:f>'C01A'!$F$50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{D042F0E3-2E7E-42F7-9284-8CCB578C687D}</c15:txfldGUID>
                      <c15:f>'C01A'!$F$50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'C01A'!$B$31:$F$31</c:f>
              <c:numCache>
                <c:formatCode>General</c:formatCode>
                <c:ptCount val="5"/>
                <c:pt idx="0">
                  <c:v>2.6642941303772812E-2</c:v>
                </c:pt>
                <c:pt idx="1">
                  <c:v>2.8879217063024504E-2</c:v>
                </c:pt>
                <c:pt idx="2">
                  <c:v>3.4037078894846945E-2</c:v>
                </c:pt>
                <c:pt idx="3">
                  <c:v>3.6922596003558801E-2</c:v>
                </c:pt>
                <c:pt idx="4">
                  <c:v>3.7295308630100756E-2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E94-4191-AA5B-9FE6DA4C709D}"/>
            </c:ext>
          </c:extLst>
        </c:ser>
        <c:ser>
          <c:idx val="3"/>
          <c:order val="3"/>
          <c:tx>
            <c:v>Commercial</c:v>
          </c:tx>
          <c:spPr>
            <a:solidFill>
              <a:srgbClr val="BFBFB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'C01A'!$B$51</c:f>
                  <c:strCache>
                    <c:ptCount val="1"/>
                    <c:pt idx="0">
                      <c:v>8 016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{9603D53B-8991-4347-B75A-56ECBD1E2F4E}</c15:txfldGUID>
                      <c15:f>'C01A'!$B$51</c15:f>
                      <c15:dlblFieldTableCache>
                        <c:ptCount val="1"/>
                        <c:pt idx="0">
                          <c:v>8 016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FE94-4191-AA5B-9FE6DA4C709D}"/>
                </c:ext>
              </c:extLst>
            </c:dLbl>
            <c:dLbl>
              <c:idx val="1"/>
              <c:tx>
                <c:strRef>
                  <c:f>'C01A'!$C$51</c:f>
                  <c:strCache>
                    <c:ptCount val="1"/>
                    <c:pt idx="0">
                      <c:v>9 399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{EA61DD09-3EB4-4190-A116-4D957A4DDC21}</c15:txfldGUID>
                      <c15:f>'C01A'!$C$51</c15:f>
                      <c15:dlblFieldTableCache>
                        <c:ptCount val="1"/>
                        <c:pt idx="0">
                          <c:v>9 399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FE94-4191-AA5B-9FE6DA4C709D}"/>
                </c:ext>
              </c:extLst>
            </c:dLbl>
            <c:dLbl>
              <c:idx val="2"/>
              <c:tx>
                <c:strRef>
                  <c:f>'C01A'!$D$51</c:f>
                  <c:strCache>
                    <c:ptCount val="1"/>
                    <c:pt idx="0">
                      <c:v>10 138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{29A9A366-633B-40EE-9E8A-99E394470EC1}</c15:txfldGUID>
                      <c15:f>'C01A'!$D$51</c15:f>
                      <c15:dlblFieldTableCache>
                        <c:ptCount val="1"/>
                        <c:pt idx="0">
                          <c:v>10 138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FE94-4191-AA5B-9FE6DA4C709D}"/>
                </c:ext>
              </c:extLst>
            </c:dLbl>
            <c:dLbl>
              <c:idx val="3"/>
              <c:tx>
                <c:strRef>
                  <c:f>'C01A'!$E$51</c:f>
                  <c:strCache>
                    <c:ptCount val="1"/>
                    <c:pt idx="0">
                      <c:v>10 953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{A300332F-293C-4F07-943E-C0089CCD2B4A}</c15:txfldGUID>
                      <c15:f>'C01A'!$E$51</c15:f>
                      <c15:dlblFieldTableCache>
                        <c:ptCount val="1"/>
                        <c:pt idx="0">
                          <c:v>10 953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FE94-4191-AA5B-9FE6DA4C709D}"/>
                </c:ext>
              </c:extLst>
            </c:dLbl>
            <c:dLbl>
              <c:idx val="4"/>
              <c:tx>
                <c:strRef>
                  <c:f>'C01A'!$F$51</c:f>
                  <c:strCache>
                    <c:ptCount val="1"/>
                    <c:pt idx="0">
                      <c:v>10 613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{28D0ED12-391F-4528-98D7-272E75AD3E18}</c15:txfldGUID>
                      <c15:f>'C01A'!$F$51</c15:f>
                      <c15:dlblFieldTableCache>
                        <c:ptCount val="1"/>
                        <c:pt idx="0">
                          <c:v>10 613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'C01A'!$B$32:$F$32</c:f>
              <c:numCache>
                <c:formatCode>General</c:formatCode>
                <c:ptCount val="5"/>
                <c:pt idx="0">
                  <c:v>9.6376271430976032E-2</c:v>
                </c:pt>
                <c:pt idx="1">
                  <c:v>0.11300406376992811</c:v>
                </c:pt>
                <c:pt idx="2">
                  <c:v>0.12188905186717003</c:v>
                </c:pt>
                <c:pt idx="3">
                  <c:v>0.13168778704883738</c:v>
                </c:pt>
                <c:pt idx="4">
                  <c:v>0.12759997114482891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E94-4191-AA5B-9FE6DA4C709D}"/>
            </c:ext>
          </c:extLst>
        </c:ser>
        <c:ser>
          <c:idx val="4"/>
          <c:order val="4"/>
          <c:tx>
            <c:v>Other</c:v>
          </c:tx>
          <c:spPr>
            <a:solidFill>
              <a:srgbClr val="D9D9D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'C01A'!$B$52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{2DC070B9-AF3C-49C1-84BA-A5884920435F}</c15:txfldGUID>
                      <c15:f>'C01A'!$B$52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FE94-4191-AA5B-9FE6DA4C709D}"/>
                </c:ext>
              </c:extLst>
            </c:dLbl>
            <c:dLbl>
              <c:idx val="1"/>
              <c:tx>
                <c:strRef>
                  <c:f>'C01A'!$C$52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{720EC751-4110-4987-A457-74865FCE8D3E}</c15:txfldGUID>
                      <c15:f>'C01A'!$C$52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FE94-4191-AA5B-9FE6DA4C709D}"/>
                </c:ext>
              </c:extLst>
            </c:dLbl>
            <c:dLbl>
              <c:idx val="2"/>
              <c:tx>
                <c:strRef>
                  <c:f>'C01A'!$D$52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{E600D8AA-320C-4FB7-A183-C450B71DC7C0}</c15:txfldGUID>
                      <c15:f>'C01A'!$D$52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FE94-4191-AA5B-9FE6DA4C709D}"/>
                </c:ext>
              </c:extLst>
            </c:dLbl>
            <c:dLbl>
              <c:idx val="3"/>
              <c:tx>
                <c:strRef>
                  <c:f>'C01A'!$E$52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{A9DE8E8E-D5AE-498B-A42B-4EC85F6C8D10}</c15:txfldGUID>
                      <c15:f>'C01A'!$E$52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FE94-4191-AA5B-9FE6DA4C709D}"/>
                </c:ext>
              </c:extLst>
            </c:dLbl>
            <c:dLbl>
              <c:idx val="4"/>
              <c:tx>
                <c:strRef>
                  <c:f>'C01A'!$F$52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{0BFE8215-0828-4A3F-9C09-0599FC4205A1}</c15:txfldGUID>
                      <c15:f>'C01A'!$F$52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'C01A'!$B$33:$F$33</c:f>
              <c:numCache>
                <c:formatCode>General</c:formatCode>
                <c:ptCount val="5"/>
                <c:pt idx="0">
                  <c:v>4.8091951811864287E-5</c:v>
                </c:pt>
                <c:pt idx="1">
                  <c:v>2.4045975905932144E-5</c:v>
                </c:pt>
                <c:pt idx="2">
                  <c:v>0</c:v>
                </c:pt>
                <c:pt idx="3">
                  <c:v>1.2022987952966072E-5</c:v>
                </c:pt>
                <c:pt idx="4">
                  <c:v>3.6068963858898214E-5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E94-4191-AA5B-9FE6DA4C7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"/>
        <c:overlap val="100"/>
        <c:axId val="1675232240"/>
        <c:axId val="1584914160"/>
      </c:barChart>
      <c:lineChart>
        <c:grouping val="standard"/>
        <c:varyColors val="0"/>
        <c:ser>
          <c:idx val="5"/>
          <c:order val="5"/>
          <c:tx>
            <c:v>Total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4EA72E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dLbls>
            <c:dLbl>
              <c:idx val="0"/>
              <c:tx>
                <c:strRef>
                  <c:f>'C01A'!$B$53</c:f>
                  <c:strCache>
                    <c:ptCount val="1"/>
                    <c:pt idx="0">
                      <c:v>46 405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{0956BF74-5658-485F-B686-EC63C635CB42}</c15:txfldGUID>
                      <c15:f>'C01A'!$B$53</c15:f>
                      <c15:dlblFieldTableCache>
                        <c:ptCount val="1"/>
                        <c:pt idx="0">
                          <c:v>46 405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FE94-4191-AA5B-9FE6DA4C709D}"/>
                </c:ext>
              </c:extLst>
            </c:dLbl>
            <c:dLbl>
              <c:idx val="1"/>
              <c:tx>
                <c:strRef>
                  <c:f>'C01A'!$C$53</c:f>
                  <c:strCache>
                    <c:ptCount val="1"/>
                    <c:pt idx="0">
                      <c:v>51 081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{3852AA28-6DC2-4F71-96FE-E171479B5319}</c15:txfldGUID>
                      <c15:f>'C01A'!$C$53</c15:f>
                      <c15:dlblFieldTableCache>
                        <c:ptCount val="1"/>
                        <c:pt idx="0">
                          <c:v>51 081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FE94-4191-AA5B-9FE6DA4C709D}"/>
                </c:ext>
              </c:extLst>
            </c:dLbl>
            <c:dLbl>
              <c:idx val="2"/>
              <c:tx>
                <c:strRef>
                  <c:f>'C01A'!$D$53</c:f>
                  <c:strCache>
                    <c:ptCount val="1"/>
                    <c:pt idx="0">
                      <c:v>61 550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{FBF85C9B-F277-48B1-AF67-9F0A15418EF6}</c15:txfldGUID>
                      <c15:f>'C01A'!$D$53</c15:f>
                      <c15:dlblFieldTableCache>
                        <c:ptCount val="1"/>
                        <c:pt idx="0">
                          <c:v>61 550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FE94-4191-AA5B-9FE6DA4C709D}"/>
                </c:ext>
              </c:extLst>
            </c:dLbl>
            <c:dLbl>
              <c:idx val="3"/>
              <c:tx>
                <c:strRef>
                  <c:f>'C01A'!$E$53</c:f>
                  <c:strCache>
                    <c:ptCount val="1"/>
                    <c:pt idx="0">
                      <c:v>74 424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{1649846A-0D91-4256-93D4-0A3DB5A085F4}</c15:txfldGUID>
                      <c15:f>'C01A'!$E$53</c15:f>
                      <c15:dlblFieldTableCache>
                        <c:ptCount val="1"/>
                        <c:pt idx="0">
                          <c:v>74 424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FE94-4191-AA5B-9FE6DA4C709D}"/>
                </c:ext>
              </c:extLst>
            </c:dLbl>
            <c:dLbl>
              <c:idx val="4"/>
              <c:tx>
                <c:strRef>
                  <c:f>'C01A'!$F$53</c:f>
                  <c:strCache>
                    <c:ptCount val="1"/>
                    <c:pt idx="0">
                      <c:v>83 174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{2C906E3B-4D56-4982-8A8A-2512F4293752}</c15:txfldGUID>
                      <c15:f>'C01A'!$F$53</c15:f>
                      <c15:dlblFieldTableCache>
                        <c:ptCount val="1"/>
                        <c:pt idx="0">
                          <c:v>83 174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FE94-4191-AA5B-9FE6DA4C709D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'C01A'!$B$9:$F$9</c:f>
              <c:strCache>
                <c:ptCount val="5"/>
                <c:pt idx="0">
                  <c:v>2021 AC</c:v>
                </c:pt>
                <c:pt idx="1">
                  <c:v>2022 AC</c:v>
                </c:pt>
                <c:pt idx="2">
                  <c:v>2023 AC</c:v>
                </c:pt>
                <c:pt idx="3">
                  <c:v>2024 AC</c:v>
                </c:pt>
                <c:pt idx="4">
                  <c:v>2025 AC</c:v>
                </c:pt>
              </c:strCache>
            </c:strRef>
          </c:cat>
          <c:val>
            <c:numRef>
              <c:f>'C01A'!$B$34:$F$34</c:f>
              <c:numCache>
                <c:formatCode>General</c:formatCode>
                <c:ptCount val="5"/>
                <c:pt idx="0">
                  <c:v>0.5579267559573905</c:v>
                </c:pt>
                <c:pt idx="1">
                  <c:v>0.61414624762545988</c:v>
                </c:pt>
                <c:pt idx="2">
                  <c:v>0.74001490850506169</c:v>
                </c:pt>
                <c:pt idx="3">
                  <c:v>0.89479885541154691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E94-4191-AA5B-9FE6DA4C7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232240"/>
        <c:axId val="1584914160"/>
      </c:lineChart>
      <c:catAx>
        <c:axId val="167523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1584914160"/>
        <c:crosses val="autoZero"/>
        <c:auto val="1"/>
        <c:lblAlgn val="ctr"/>
        <c:lblOffset val="100"/>
        <c:noMultiLvlLbl val="0"/>
      </c:catAx>
      <c:valAx>
        <c:axId val="1584914160"/>
        <c:scaling>
          <c:orientation val="minMax"/>
          <c:max val="1.0000721379277178"/>
          <c:min val="0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67523224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Losses and LAE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'C02A'!$B$44</c:f>
                  <c:strCache>
                    <c:ptCount val="1"/>
                    <c:pt idx="0">
                      <c:v>19 186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{4D811ADE-01FA-4C03-A223-3514076277DA}</c15:txfldGUID>
                      <c15:f>'C02A'!$B$44</c15:f>
                      <c15:dlblFieldTableCache>
                        <c:ptCount val="1"/>
                        <c:pt idx="0">
                          <c:v>19 186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5BE3-42DB-B2BB-9DE33B4FCC19}"/>
                </c:ext>
              </c:extLst>
            </c:dLbl>
            <c:dLbl>
              <c:idx val="1"/>
              <c:tx>
                <c:strRef>
                  <c:f>'C02A'!$C$44</c:f>
                  <c:strCache>
                    <c:ptCount val="1"/>
                    <c:pt idx="0">
                      <c:v>26 030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{1658C357-8C70-46D3-848D-4AB9315C239B}</c15:txfldGUID>
                      <c15:f>'C02A'!$C$44</c15:f>
                      <c15:dlblFieldTableCache>
                        <c:ptCount val="1"/>
                        <c:pt idx="0">
                          <c:v>26 030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BE3-42DB-B2BB-9DE33B4FCC19}"/>
                </c:ext>
              </c:extLst>
            </c:dLbl>
            <c:dLbl>
              <c:idx val="2"/>
              <c:tx>
                <c:strRef>
                  <c:f>'C02A'!$D$44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{2BD7B87A-9FD7-4685-9164-44A35C4E53D0}</c15:txfldGUID>
                      <c15:f>'C02A'!$D$44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BE3-42DB-B2BB-9DE33B4FCC19}"/>
                </c:ext>
              </c:extLst>
            </c:dLbl>
            <c:dLbl>
              <c:idx val="3"/>
              <c:tx>
                <c:strRef>
                  <c:f>'C02A'!$E$44</c:f>
                  <c:strCache>
                    <c:ptCount val="1"/>
                    <c:pt idx="0">
                      <c:v>7 225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{312ABCE0-95D3-47C0-A1CC-B32DDD55A9CF}</c15:txfldGUID>
                      <c15:f>'C02A'!$E$44</c15:f>
                      <c15:dlblFieldTableCache>
                        <c:ptCount val="1"/>
                        <c:pt idx="0">
                          <c:v>7 225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BE3-42DB-B2BB-9DE33B4FCC19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'C02A'!$B$9:$E$9</c:f>
              <c:strCache>
                <c:ptCount val="4"/>
                <c:pt idx="0">
                  <c:v>Agency auto</c:v>
                </c:pt>
                <c:pt idx="1">
                  <c:v>Direct auto</c:v>
                </c:pt>
                <c:pt idx="2">
                  <c:v>Property</c:v>
                </c:pt>
                <c:pt idx="3">
                  <c:v>Commercial</c:v>
                </c:pt>
              </c:strCache>
            </c:strRef>
          </c:cat>
          <c:val>
            <c:numRef>
              <c:f>'C02A'!$B$27:$E$27</c:f>
              <c:numCache>
                <c:formatCode>General</c:formatCode>
                <c:ptCount val="4"/>
                <c:pt idx="0">
                  <c:v>0.50120167189132703</c:v>
                </c:pt>
                <c:pt idx="1">
                  <c:v>0.67998955067920586</c:v>
                </c:pt>
                <c:pt idx="2">
                  <c:v>3.7199582027168235E-2</c:v>
                </c:pt>
                <c:pt idx="3">
                  <c:v>0.18874085684430511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E3-42DB-B2BB-9DE33B4FCC19}"/>
            </c:ext>
          </c:extLst>
        </c:ser>
        <c:ser>
          <c:idx val="1"/>
          <c:order val="1"/>
          <c:tx>
            <c:v>Expenses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'C02A'!$B$45</c:f>
                  <c:strCache>
                    <c:ptCount val="1"/>
                    <c:pt idx="0">
                      <c:v>5 906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{CE8653D5-5879-475A-8401-AE1C5255623E}</c15:txfldGUID>
                      <c15:f>'C02A'!$B$45</c15:f>
                      <c15:dlblFieldTableCache>
                        <c:ptCount val="1"/>
                        <c:pt idx="0">
                          <c:v>5 906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BE3-42DB-B2BB-9DE33B4FCC19}"/>
                </c:ext>
              </c:extLst>
            </c:dLbl>
            <c:dLbl>
              <c:idx val="1"/>
              <c:tx>
                <c:strRef>
                  <c:f>'C02A'!$C$45</c:f>
                  <c:strCache>
                    <c:ptCount val="1"/>
                    <c:pt idx="0">
                      <c:v>8 460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{BF5E4AF2-EA12-43ED-85DC-D8D21A4B3D24}</c15:txfldGUID>
                      <c15:f>'C02A'!$C$45</c15:f>
                      <c15:dlblFieldTableCache>
                        <c:ptCount val="1"/>
                        <c:pt idx="0">
                          <c:v>8 460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BE3-42DB-B2BB-9DE33B4FCC19}"/>
                </c:ext>
              </c:extLst>
            </c:dLbl>
            <c:dLbl>
              <c:idx val="2"/>
              <c:tx>
                <c:strRef>
                  <c:f>'C02A'!$D$45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{1AC1A8D0-E216-4556-BA91-4728FAE497D8}</c15:txfldGUID>
                      <c15:f>'C02A'!$D$45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BE3-42DB-B2BB-9DE33B4FCC19}"/>
                </c:ext>
              </c:extLst>
            </c:dLbl>
            <c:dLbl>
              <c:idx val="3"/>
              <c:tx>
                <c:strRef>
                  <c:f>'C02A'!$E$45</c:f>
                  <c:strCache>
                    <c:ptCount val="1"/>
                    <c:pt idx="0">
                      <c:v>2 241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FFFFFF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{1FD61C9A-B3F0-40DC-957B-6964270DEDBA}</c15:txfldGUID>
                      <c15:f>'C02A'!$E$45</c15:f>
                      <c15:dlblFieldTableCache>
                        <c:ptCount val="1"/>
                        <c:pt idx="0">
                          <c:v>2 241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BE3-42DB-B2BB-9DE33B4FCC19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'C02A'!$B$9:$E$9</c:f>
              <c:strCache>
                <c:ptCount val="4"/>
                <c:pt idx="0">
                  <c:v>Agency auto</c:v>
                </c:pt>
                <c:pt idx="1">
                  <c:v>Direct auto</c:v>
                </c:pt>
                <c:pt idx="2">
                  <c:v>Property</c:v>
                </c:pt>
                <c:pt idx="3">
                  <c:v>Commercial</c:v>
                </c:pt>
              </c:strCache>
            </c:strRef>
          </c:cat>
          <c:val>
            <c:numRef>
              <c:f>'C02A'!$B$28:$E$28</c:f>
              <c:numCache>
                <c:formatCode>General</c:formatCode>
                <c:ptCount val="4"/>
                <c:pt idx="0">
                  <c:v>0.15428422152560084</c:v>
                </c:pt>
                <c:pt idx="1">
                  <c:v>0.22100313479623823</c:v>
                </c:pt>
                <c:pt idx="2">
                  <c:v>2.392894461859979E-2</c:v>
                </c:pt>
                <c:pt idx="3">
                  <c:v>5.8542319749216302E-2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BE3-42DB-B2BB-9DE33B4FCC19}"/>
            </c:ext>
          </c:extLst>
        </c:ser>
        <c:ser>
          <c:idx val="2"/>
          <c:order val="2"/>
          <c:tx>
            <c:v>Underwriting result</c:v>
          </c:tx>
          <c:spPr>
            <a:solidFill>
              <a:srgbClr val="D9D9D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'C02A'!$B$46</c:f>
                  <c:strCache>
                    <c:ptCount val="1"/>
                    <c:pt idx="0">
                      <c:v>4 290</c:v>
                    </c:pt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{23172C00-6914-423C-8102-606B6928D53E}</c15:txfldGUID>
                      <c15:f>'C02A'!$B$46</c15:f>
                      <c15:dlblFieldTableCache>
                        <c:ptCount val="1"/>
                        <c:pt idx="0">
                          <c:v>4 290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BE3-42DB-B2BB-9DE33B4FCC19}"/>
                </c:ext>
              </c:extLst>
            </c:dLbl>
            <c:dLbl>
              <c:idx val="1"/>
              <c:tx>
                <c:strRef>
                  <c:f>'C02A'!$C$46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{30AF8488-68F1-49A0-AA0C-B8252478B156}</c15:txfldGUID>
                      <c15:f>'C02A'!$C$46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BE3-42DB-B2BB-9DE33B4FCC19}"/>
                </c:ext>
              </c:extLst>
            </c:dLbl>
            <c:dLbl>
              <c:idx val="2"/>
              <c:tx>
                <c:strRef>
                  <c:f>'C02A'!$D$46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{204A0D93-68AB-4D16-BFC8-699752AA273D}</c15:txfldGUID>
                      <c15:f>'C02A'!$D$46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BE3-42DB-B2BB-9DE33B4FCC19}"/>
                </c:ext>
              </c:extLst>
            </c:dLbl>
            <c:dLbl>
              <c:idx val="3"/>
              <c:tx>
                <c:strRef>
                  <c:f>'C02A'!$E$46</c:f>
                  <c:strCache>
                    <c:ptCount val="1"/>
                  </c:strCache>
                </c:strRef>
              </c:tx>
              <c:numFmt formatCode="#\ ##0" sourceLinked="0"/>
              <c:spPr>
                <a:noFill/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{2A750977-4B56-4054-9233-BD5A1880E222}</c15:txfldGUID>
                      <c15:f>'C02A'!$E$46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BE3-42DB-B2BB-9DE33B4FCC19}"/>
                </c:ext>
              </c:extLst>
            </c:dLbl>
            <c:numFmt formatCode="#\ 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'C02A'!$B$9:$E$9</c:f>
              <c:strCache>
                <c:ptCount val="4"/>
                <c:pt idx="0">
                  <c:v>Agency auto</c:v>
                </c:pt>
                <c:pt idx="1">
                  <c:v>Direct auto</c:v>
                </c:pt>
                <c:pt idx="2">
                  <c:v>Property</c:v>
                </c:pt>
                <c:pt idx="3">
                  <c:v>Commercial</c:v>
                </c:pt>
              </c:strCache>
            </c:strRef>
          </c:cat>
          <c:val>
            <c:numRef>
              <c:f>'C02A'!$B$29:$E$29</c:f>
              <c:numCache>
                <c:formatCode>General</c:formatCode>
                <c:ptCount val="4"/>
                <c:pt idx="0">
                  <c:v>0.11206896551724138</c:v>
                </c:pt>
                <c:pt idx="1">
                  <c:v>9.9007314524555898E-2</c:v>
                </c:pt>
                <c:pt idx="2">
                  <c:v>2.0271682340647856E-2</c:v>
                </c:pt>
                <c:pt idx="3">
                  <c:v>3.6964472309299896E-2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BE3-42DB-B2BB-9DE33B4FCC19}"/>
            </c:ext>
          </c:extLst>
        </c:ser>
        <c:ser>
          <c:idx val="3"/>
          <c:order val="3"/>
          <c:tx>
            <c:v>Total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0F9ED5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'C02A'!$B$13</c:f>
                  <c:strCache>
                    <c:ptCount val="1"/>
                    <c:pt idx="0">
                      <c:v>29 382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{0CDD7E9D-AABC-4E25-B35C-99DD592470DD}</c15:txfldGUID>
                      <c15:f>'C02A'!$B$13</c15:f>
                      <c15:dlblFieldTableCache>
                        <c:ptCount val="1"/>
                        <c:pt idx="0">
                          <c:v>29 382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5BE3-42DB-B2BB-9DE33B4FCC19}"/>
                </c:ext>
              </c:extLst>
            </c:dLbl>
            <c:dLbl>
              <c:idx val="1"/>
              <c:tx>
                <c:strRef>
                  <c:f>'C02A'!$C$13</c:f>
                  <c:strCache>
                    <c:ptCount val="1"/>
                    <c:pt idx="0">
                      <c:v>38 280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{847DF81F-EBC7-48CD-9A3C-53810B274492}</c15:txfldGUID>
                      <c15:f>'C02A'!$C$13</c15:f>
                      <c15:dlblFieldTableCache>
                        <c:ptCount val="1"/>
                        <c:pt idx="0">
                          <c:v>38 280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5BE3-42DB-B2BB-9DE33B4FCC19}"/>
                </c:ext>
              </c:extLst>
            </c:dLbl>
            <c:dLbl>
              <c:idx val="2"/>
              <c:tx>
                <c:strRef>
                  <c:f>'C02A'!$D$13</c:f>
                  <c:strCache>
                    <c:ptCount val="1"/>
                    <c:pt idx="0">
                      <c:v>3 116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{50593CCD-CDAD-4076-B744-554245AE6EF2}</c15:txfldGUID>
                      <c15:f>'C02A'!$D$13</c15:f>
                      <c15:dlblFieldTableCache>
                        <c:ptCount val="1"/>
                        <c:pt idx="0">
                          <c:v>3 116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5BE3-42DB-B2BB-9DE33B4FCC19}"/>
                </c:ext>
              </c:extLst>
            </c:dLbl>
            <c:dLbl>
              <c:idx val="3"/>
              <c:tx>
                <c:strRef>
                  <c:f>'C02A'!$E$13</c:f>
                  <c:strCache>
                    <c:ptCount val="1"/>
                    <c:pt idx="0">
                      <c:v>10 881</c:v>
                    </c:pt>
                  </c:strCache>
                </c:strRef>
              </c:tx>
              <c:spPr>
                <a:solidFill>
                  <a:srgbClr val="FFFFFF"/>
                </a:solidFill>
                <a:ln>
                  <a:noFill/>
                </a:ln>
                <a:effectLst/>
              </c:spPr>
              <c:txPr>
                <a:bodyPr wrap="none" lIns="38100" tIns="19050" rIns="38100" bIns="19050" anchor="ctr">
                  <a:spAutoFit/>
                </a:bodyPr>
                <a:lstStyle/>
                <a:p>
                  <a:pPr>
                    <a:defRPr sz="900"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>
                    <c15:dlblFTEntry>
                      <c15:txfldGUID>{73C381BF-B811-4A77-A010-C57D63CD033E}</c15:txfldGUID>
                      <c15:f>'C02A'!$E$13</c15:f>
                      <c15:dlblFieldTableCache>
                        <c:ptCount val="1"/>
                        <c:pt idx="0">
                          <c:v>10 881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5BE3-42DB-B2BB-9DE33B4FC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'C02A'!$B$9:$E$9</c:f>
              <c:strCache>
                <c:ptCount val="4"/>
                <c:pt idx="0">
                  <c:v>Agency auto</c:v>
                </c:pt>
                <c:pt idx="1">
                  <c:v>Direct auto</c:v>
                </c:pt>
                <c:pt idx="2">
                  <c:v>Property</c:v>
                </c:pt>
                <c:pt idx="3">
                  <c:v>Commercial</c:v>
                </c:pt>
              </c:strCache>
            </c:strRef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3-5BE3-42DB-B2BB-9DE33B4FC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00"/>
        <c:axId val="26593184"/>
        <c:axId val="23912880"/>
      </c:barChart>
      <c:catAx>
        <c:axId val="265931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912880"/>
        <c:crosses val="autoZero"/>
        <c:auto val="1"/>
        <c:lblAlgn val="ctr"/>
        <c:lblOffset val="100"/>
        <c:noMultiLvlLbl val="0"/>
      </c:catAx>
      <c:valAx>
        <c:axId val="23912880"/>
        <c:scaling>
          <c:orientation val="minMax"/>
          <c:max val="1.0005224660397074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2659318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12700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153846153846159E-2"/>
          <c:y val="4.0983606557377046E-2"/>
          <c:w val="0.86923076923076925"/>
          <c:h val="0.86065573770491799"/>
        </c:manualLayout>
      </c:layout>
      <c:barChart>
        <c:barDir val="col"/>
        <c:grouping val="clustered"/>
        <c:varyColors val="0"/>
        <c:ser>
          <c:idx val="0"/>
          <c:order val="0"/>
          <c:tx>
            <c:v>PY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'C03A'!$A$11:$A$22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'C03A'!$Q$11:$Q$22</c:f>
              <c:numCache>
                <c:formatCode>0.000000</c:formatCode>
                <c:ptCount val="12"/>
                <c:pt idx="0">
                  <c:v>0.65391988699424886</c:v>
                </c:pt>
                <c:pt idx="1">
                  <c:v>0.67440217939663005</c:v>
                </c:pt>
                <c:pt idx="2">
                  <c:v>0.91221874684693771</c:v>
                </c:pt>
                <c:pt idx="3">
                  <c:v>0.68983957219251335</c:v>
                </c:pt>
                <c:pt idx="4">
                  <c:v>0.66935727979013215</c:v>
                </c:pt>
                <c:pt idx="5">
                  <c:v>0.66643123801836346</c:v>
                </c:pt>
                <c:pt idx="6">
                  <c:v>0.71203713046110384</c:v>
                </c:pt>
                <c:pt idx="7">
                  <c:v>0.72636464534355771</c:v>
                </c:pt>
                <c:pt idx="8">
                  <c:v>0.71920088790233072</c:v>
                </c:pt>
                <c:pt idx="9">
                  <c:v>0.70648774089395616</c:v>
                </c:pt>
                <c:pt idx="10">
                  <c:v>0.62486126526082131</c:v>
                </c:pt>
                <c:pt idx="11">
                  <c:v>0.63696902431641611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18-492A-87C3-EE604BE38524}"/>
            </c:ext>
          </c:extLst>
        </c:ser>
        <c:ser>
          <c:idx val="1"/>
          <c:order val="1"/>
          <c:tx>
            <c:v>AC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7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18-492A-87C3-EE604BE38524}"/>
              </c:ext>
            </c:extLst>
          </c:dPt>
          <c:dPt>
            <c:idx val="8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B18-492A-87C3-EE604BE38524}"/>
              </c:ext>
            </c:extLst>
          </c:dPt>
          <c:dPt>
            <c:idx val="9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18-492A-87C3-EE604BE38524}"/>
              </c:ext>
            </c:extLst>
          </c:dPt>
          <c:dPt>
            <c:idx val="10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B18-492A-87C3-EE604BE38524}"/>
              </c:ext>
            </c:extLst>
          </c:dPt>
          <c:dPt>
            <c:idx val="11"/>
            <c:invertIfNegative val="0"/>
            <c:bubble3D val="0"/>
            <c:spPr>
              <a:pattFill prst="wdUpDiag">
                <a:fgClr>
                  <a:srgbClr val="404040"/>
                </a:fgClr>
                <a:bgClr>
                  <a:srgbClr val="F2F2F2"/>
                </a:bgClr>
              </a:pattFill>
              <a:ln w="9525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18-492A-87C3-EE604BE38524}"/>
              </c:ext>
            </c:extLst>
          </c:dPt>
          <c:dLbls>
            <c:dLbl>
              <c:idx val="0"/>
              <c:tx>
                <c:strRef>
                  <c:f>'C03A'!$S$11</c:f>
                  <c:strCache>
                    <c:ptCount val="1"/>
                    <c:pt idx="0">
                      <c:v>6735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{97A6FB19-A97C-40B2-9E06-DD1F37F7E5DC}</c15:txfldGUID>
                      <c15:f>'C03A'!$S$11</c15:f>
                      <c15:dlblFieldTableCache>
                        <c:ptCount val="1"/>
                        <c:pt idx="0">
                          <c:v>6735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AB18-492A-87C3-EE604BE38524}"/>
                </c:ext>
              </c:extLst>
            </c:dLbl>
            <c:dLbl>
              <c:idx val="1"/>
              <c:tx>
                <c:strRef>
                  <c:f>'C03A'!$S$12</c:f>
                  <c:strCache>
                    <c:ptCount val="1"/>
                    <c:pt idx="0">
                      <c:v>6995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{4EAB6C48-D761-4443-A5C1-73910A9EB636}</c15:txfldGUID>
                      <c15:f>'C03A'!$S$12</c15:f>
                      <c15:dlblFieldTableCache>
                        <c:ptCount val="1"/>
                        <c:pt idx="0">
                          <c:v>6995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AB18-492A-87C3-EE604BE38524}"/>
                </c:ext>
              </c:extLst>
            </c:dLbl>
            <c:dLbl>
              <c:idx val="2"/>
              <c:tx>
                <c:strRef>
                  <c:f>'C03A'!$S$13</c:f>
                  <c:strCache>
                    <c:ptCount val="1"/>
                    <c:pt idx="0">
                      <c:v>9911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{21FB2202-14B1-4F1F-B854-E9003F71A036}</c15:txfldGUID>
                      <c15:f>'C03A'!$S$13</c15:f>
                      <c15:dlblFieldTableCache>
                        <c:ptCount val="1"/>
                        <c:pt idx="0">
                          <c:v>9911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AB18-492A-87C3-EE604BE38524}"/>
                </c:ext>
              </c:extLst>
            </c:dLbl>
            <c:dLbl>
              <c:idx val="3"/>
              <c:tx>
                <c:strRef>
                  <c:f>'C03A'!$S$14</c:f>
                  <c:strCache>
                    <c:ptCount val="1"/>
                    <c:pt idx="0">
                      <c:v>7278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{E6B28283-63C9-4A15-9FC7-81CD66ECA7F0}</c15:txfldGUID>
                      <c15:f>'C03A'!$S$14</c15:f>
                      <c15:dlblFieldTableCache>
                        <c:ptCount val="1"/>
                        <c:pt idx="0">
                          <c:v>7278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AB18-492A-87C3-EE604BE38524}"/>
                </c:ext>
              </c:extLst>
            </c:dLbl>
            <c:dLbl>
              <c:idx val="4"/>
              <c:tx>
                <c:strRef>
                  <c:f>'C03A'!$S$15</c:f>
                  <c:strCache>
                    <c:ptCount val="1"/>
                    <c:pt idx="0">
                      <c:v>7027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{D049C9E8-2ED6-4D2B-A70E-E6F6B20ED84C}</c15:txfldGUID>
                      <c15:f>'C03A'!$S$15</c15:f>
                      <c15:dlblFieldTableCache>
                        <c:ptCount val="1"/>
                        <c:pt idx="0">
                          <c:v>7027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AB18-492A-87C3-EE604BE38524}"/>
                </c:ext>
              </c:extLst>
            </c:dLbl>
            <c:dLbl>
              <c:idx val="5"/>
              <c:tx>
                <c:strRef>
                  <c:f>'C03A'!$S$16</c:f>
                  <c:strCache>
                    <c:ptCount val="1"/>
                    <c:pt idx="0">
                      <c:v>6772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{9D64356A-FF35-499E-A2FF-BED35152F3CE}</c15:txfldGUID>
                      <c15:f>'C03A'!$S$16</c15:f>
                      <c15:dlblFieldTableCache>
                        <c:ptCount val="1"/>
                        <c:pt idx="0">
                          <c:v>6772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AB18-492A-87C3-EE604BE38524}"/>
                </c:ext>
              </c:extLst>
            </c:dLbl>
            <c:dLbl>
              <c:idx val="6"/>
              <c:tx>
                <c:strRef>
                  <c:f>'C03A'!$S$17</c:f>
                  <c:strCache>
                    <c:ptCount val="1"/>
                    <c:pt idx="0">
                      <c:v>7441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{A101C139-0CB6-45DF-9755-504D1DE2DAB6}</c15:txfldGUID>
                      <c15:f>'C03A'!$S$17</c15:f>
                      <c15:dlblFieldTableCache>
                        <c:ptCount val="1"/>
                        <c:pt idx="0">
                          <c:v>7441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AB18-492A-87C3-EE604BE38524}"/>
                </c:ext>
              </c:extLst>
            </c:dLbl>
            <c:dLbl>
              <c:idx val="7"/>
              <c:tx>
                <c:strRef>
                  <c:f>'C03A'!$S$18</c:f>
                  <c:strCache>
                    <c:ptCount val="1"/>
                    <c:pt idx="0">
                      <c:v>7610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{9D7AD882-F9FA-4AA6-BC94-CB6901968008}</c15:txfldGUID>
                      <c15:f>'C03A'!$S$18</c15:f>
                      <c15:dlblFieldTableCache>
                        <c:ptCount val="1"/>
                        <c:pt idx="0">
                          <c:v>7610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AB18-492A-87C3-EE604BE38524}"/>
                </c:ext>
              </c:extLst>
            </c:dLbl>
            <c:dLbl>
              <c:idx val="8"/>
              <c:tx>
                <c:strRef>
                  <c:f>'C03A'!$S$19</c:f>
                  <c:strCache>
                    <c:ptCount val="1"/>
                    <c:pt idx="0">
                      <c:v>7535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{566E74A5-10ED-4EAD-8576-85331AF0ED68}</c15:txfldGUID>
                      <c15:f>'C03A'!$S$19</c15:f>
                      <c15:dlblFieldTableCache>
                        <c:ptCount val="1"/>
                        <c:pt idx="0">
                          <c:v>7535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AB18-492A-87C3-EE604BE38524}"/>
                </c:ext>
              </c:extLst>
            </c:dLbl>
            <c:dLbl>
              <c:idx val="9"/>
              <c:tx>
                <c:strRef>
                  <c:f>'C03A'!$S$20</c:f>
                  <c:strCache>
                    <c:ptCount val="1"/>
                    <c:pt idx="0">
                      <c:v>7402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{7C8198EA-2ABB-47F6-A806-32AB3E81CEA9}</c15:txfldGUID>
                      <c15:f>'C03A'!$S$20</c15:f>
                      <c15:dlblFieldTableCache>
                        <c:ptCount val="1"/>
                        <c:pt idx="0">
                          <c:v>7402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AB18-492A-87C3-EE604BE38524}"/>
                </c:ext>
              </c:extLst>
            </c:dLbl>
            <c:dLbl>
              <c:idx val="10"/>
              <c:tx>
                <c:strRef>
                  <c:f>'C03A'!$S$21</c:f>
                  <c:strCache>
                    <c:ptCount val="1"/>
                    <c:pt idx="0">
                      <c:v>6547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{DC7DE60E-112A-40B2-841F-E5836245A2BF}</c15:txfldGUID>
                      <c15:f>'C03A'!$S$21</c15:f>
                      <c15:dlblFieldTableCache>
                        <c:ptCount val="1"/>
                        <c:pt idx="0">
                          <c:v>6547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AB18-492A-87C3-EE604BE38524}"/>
                </c:ext>
              </c:extLst>
            </c:dLbl>
            <c:dLbl>
              <c:idx val="11"/>
              <c:tx>
                <c:strRef>
                  <c:f>'C03A'!$S$22</c:f>
                  <c:strCache>
                    <c:ptCount val="1"/>
                    <c:pt idx="0">
                      <c:v>6674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{BD4B96AB-52A3-4417-A7DD-FA1E86CAFBC7}</c15:txfldGUID>
                      <c15:f>'C03A'!$S$22</c15:f>
                      <c15:dlblFieldTableCache>
                        <c:ptCount val="1"/>
                        <c:pt idx="0">
                          <c:v>6674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AB18-492A-87C3-EE604BE38524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'C03A'!$A$11:$A$22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'C03A'!$R$11:$R$22</c:f>
              <c:numCache>
                <c:formatCode>0.000000</c:formatCode>
                <c:ptCount val="12"/>
                <c:pt idx="0">
                  <c:v>0.67954797699525782</c:v>
                </c:pt>
                <c:pt idx="1">
                  <c:v>0.70578145494904654</c:v>
                </c:pt>
                <c:pt idx="2">
                  <c:v>1</c:v>
                </c:pt>
                <c:pt idx="3">
                  <c:v>0.7343355867218242</c:v>
                </c:pt>
                <c:pt idx="4">
                  <c:v>0.70901019069720517</c:v>
                </c:pt>
                <c:pt idx="5">
                  <c:v>0.68328120270406623</c:v>
                </c:pt>
                <c:pt idx="6">
                  <c:v>0.75078195943900716</c:v>
                </c:pt>
                <c:pt idx="7">
                  <c:v>0.76783372010896989</c:v>
                </c:pt>
                <c:pt idx="8">
                  <c:v>0.76026637069922309</c:v>
                </c:pt>
                <c:pt idx="9">
                  <c:v>0.74684693774593891</c:v>
                </c:pt>
                <c:pt idx="10">
                  <c:v>0.66057915447482596</c:v>
                </c:pt>
                <c:pt idx="11">
                  <c:v>0.6733931994753305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18-492A-87C3-EE604BE38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overlap val="76"/>
        <c:axId val="1577671184"/>
        <c:axId val="23754000"/>
      </c:barChart>
      <c:catAx>
        <c:axId val="15776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754000"/>
        <c:crosses val="autoZero"/>
        <c:auto val="1"/>
        <c:lblAlgn val="ctr"/>
        <c:lblOffset val="100"/>
        <c:noMultiLvlLbl val="0"/>
      </c:catAx>
      <c:valAx>
        <c:axId val="23754000"/>
        <c:scaling>
          <c:orientation val="minMax"/>
          <c:max val="1.0900473933649288"/>
          <c:min val="0"/>
        </c:scaling>
        <c:delete val="0"/>
        <c:axPos val="l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577671184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511627906976742"/>
          <c:y val="0.06"/>
          <c:w val="0.66976744186046511"/>
          <c:h val="0.91249999999999998"/>
        </c:manualLayout>
      </c:layout>
      <c:barChart>
        <c:barDir val="bar"/>
        <c:grouping val="clustered"/>
        <c:varyColors val="0"/>
        <c:ser>
          <c:idx val="0"/>
          <c:order val="0"/>
          <c:tx>
            <c:v>PL</c:v>
          </c:tx>
          <c:spPr>
            <a:solidFill>
              <a:srgbClr val="FFFFFF"/>
            </a:solidFill>
            <a:ln w="9525">
              <a:solidFill>
                <a:srgbClr val="404040"/>
              </a:solidFill>
            </a:ln>
          </c:spPr>
          <c:invertIfNegative val="0"/>
          <c:cat>
            <c:strRef>
              <c:f>'C04A'!$A$11:$A$29</c:f>
              <c:strCache>
                <c:ptCount val="14"/>
                <c:pt idx="0">
                  <c:v>Dec</c:v>
                </c:pt>
                <c:pt idx="1">
                  <c:v>Nov</c:v>
                </c:pt>
                <c:pt idx="2">
                  <c:v>Jul</c:v>
                </c:pt>
                <c:pt idx="3">
                  <c:v>Sep</c:v>
                </c:pt>
                <c:pt idx="4">
                  <c:v>Oct</c:v>
                </c:pt>
                <c:pt idx="5">
                  <c:v>Feb</c:v>
                </c:pt>
                <c:pt idx="6">
                  <c:v>Jan</c:v>
                </c:pt>
                <c:pt idx="7">
                  <c:v>Aug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Mar</c:v>
                </c:pt>
                <c:pt idx="13">
                  <c:v>PL is not reported by the entity. Progressive publishes no monthly plan. The target it does publish is a 96 combined ratio - a 4% underwriting margin - applied here to each month's earned premium. Replace these cells with your own figures and every chart o</c:v>
                </c:pt>
              </c:strCache>
            </c:strRef>
          </c:cat>
          <c:val>
            <c:numRef>
              <c:f>'C04A'!$O$11:$O$29</c:f>
              <c:numCache>
                <c:formatCode>0.000000</c:formatCode>
                <c:ptCount val="19"/>
                <c:pt idx="0">
                  <c:v>0.24036281179138322</c:v>
                </c:pt>
                <c:pt idx="1">
                  <c:v>0.23015873015873015</c:v>
                </c:pt>
                <c:pt idx="2">
                  <c:v>0.25623582766439912</c:v>
                </c:pt>
                <c:pt idx="3">
                  <c:v>0.21088435374149661</c:v>
                </c:pt>
                <c:pt idx="4">
                  <c:v>0.24376417233560091</c:v>
                </c:pt>
                <c:pt idx="5">
                  <c:v>0.18934240362811791</c:v>
                </c:pt>
                <c:pt idx="6">
                  <c:v>0.22902494331065759</c:v>
                </c:pt>
                <c:pt idx="7">
                  <c:v>0.20861678004535147</c:v>
                </c:pt>
                <c:pt idx="8">
                  <c:v>0.2471655328798186</c:v>
                </c:pt>
                <c:pt idx="9">
                  <c:v>0.20408163265306123</c:v>
                </c:pt>
                <c:pt idx="10">
                  <c:v>0.20521541950113378</c:v>
                </c:pt>
                <c:pt idx="11">
                  <c:v>0.19614512471655329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56-4B93-90E7-9EAECA75F384}"/>
            </c:ext>
          </c:extLst>
        </c:ser>
        <c:ser>
          <c:idx val="1"/>
          <c:order val="1"/>
          <c:tx>
            <c:v>AC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'C04A'!$Q$11</c:f>
                  <c:strCache>
                    <c:ptCount val="1"/>
                    <c:pt idx="0">
                      <c:v>882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{6674F097-CB84-45FB-AEB0-C3BBF548EA05}</c15:txfldGUID>
                      <c15:f>'C04A'!$Q$11</c15:f>
                      <c15:dlblFieldTableCache>
                        <c:ptCount val="1"/>
                        <c:pt idx="0">
                          <c:v>882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356-4B93-90E7-9EAECA75F384}"/>
                </c:ext>
              </c:extLst>
            </c:dLbl>
            <c:dLbl>
              <c:idx val="1"/>
              <c:tx>
                <c:strRef>
                  <c:f>'C04A'!$Q$12</c:f>
                  <c:strCache>
                    <c:ptCount val="1"/>
                    <c:pt idx="0">
                      <c:v>528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{3CCDD6F4-A943-4EA1-99E8-D9F7E814E1E6}</c15:txfldGUID>
                      <c15:f>'C04A'!$Q$12</c15:f>
                      <c15:dlblFieldTableCache>
                        <c:ptCount val="1"/>
                        <c:pt idx="0">
                          <c:v>528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356-4B93-90E7-9EAECA75F384}"/>
                </c:ext>
              </c:extLst>
            </c:dLbl>
            <c:dLbl>
              <c:idx val="2"/>
              <c:tx>
                <c:strRef>
                  <c:f>'C04A'!$Q$13</c:f>
                  <c:strCache>
                    <c:ptCount val="1"/>
                    <c:pt idx="0">
                      <c:v>531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{06E038F8-652F-42A5-A853-F59633100E7E}</c15:txfldGUID>
                      <c15:f>'C04A'!$Q$13</c15:f>
                      <c15:dlblFieldTableCache>
                        <c:ptCount val="1"/>
                        <c:pt idx="0">
                          <c:v>531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356-4B93-90E7-9EAECA75F384}"/>
                </c:ext>
              </c:extLst>
            </c:dLbl>
            <c:dLbl>
              <c:idx val="3"/>
              <c:tx>
                <c:strRef>
                  <c:f>'C04A'!$Q$14</c:f>
                  <c:strCache>
                    <c:ptCount val="1"/>
                    <c:pt idx="0">
                      <c:v>479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{A373FB0A-E093-4800-97E4-896574E63CA9}</c15:txfldGUID>
                      <c15:f>'C04A'!$Q$14</c15:f>
                      <c15:dlblFieldTableCache>
                        <c:ptCount val="1"/>
                        <c:pt idx="0">
                          <c:v>479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356-4B93-90E7-9EAECA75F384}"/>
                </c:ext>
              </c:extLst>
            </c:dLbl>
            <c:dLbl>
              <c:idx val="4"/>
              <c:tx>
                <c:strRef>
                  <c:f>'C04A'!$Q$15</c:f>
                  <c:strCache>
                    <c:ptCount val="1"/>
                    <c:pt idx="0">
                      <c:v>323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{7B13E46A-2CC9-4CB8-81EC-9F5FC53E70EF}</c15:txfldGUID>
                      <c15:f>'C04A'!$Q$15</c15:f>
                      <c15:dlblFieldTableCache>
                        <c:ptCount val="1"/>
                        <c:pt idx="0">
                          <c:v>323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356-4B93-90E7-9EAECA75F384}"/>
                </c:ext>
              </c:extLst>
            </c:dLbl>
            <c:dLbl>
              <c:idx val="5"/>
              <c:tx>
                <c:strRef>
                  <c:f>'C04A'!$Q$16</c:f>
                  <c:strCache>
                    <c:ptCount val="1"/>
                    <c:pt idx="0">
                      <c:v>204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{2E00F9FE-5356-4943-AB5E-888D7E1441C1}</c15:txfldGUID>
                      <c15:f>'C04A'!$Q$16</c15:f>
                      <c15:dlblFieldTableCache>
                        <c:ptCount val="1"/>
                        <c:pt idx="0">
                          <c:v>204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356-4B93-90E7-9EAECA75F384}"/>
                </c:ext>
              </c:extLst>
            </c:dLbl>
            <c:dLbl>
              <c:idx val="6"/>
              <c:tx>
                <c:strRef>
                  <c:f>'C04A'!$Q$17</c:f>
                  <c:strCache>
                    <c:ptCount val="1"/>
                    <c:pt idx="0">
                      <c:v>202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{B8D4350B-737B-4995-B5E9-54309BD4D6C6}</c15:txfldGUID>
                      <c15:f>'C04A'!$Q$17</c15:f>
                      <c15:dlblFieldTableCache>
                        <c:ptCount val="1"/>
                        <c:pt idx="0">
                          <c:v>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356-4B93-90E7-9EAECA75F384}"/>
                </c:ext>
              </c:extLst>
            </c:dLbl>
            <c:dLbl>
              <c:idx val="7"/>
              <c:tx>
                <c:strRef>
                  <c:f>'C04A'!$Q$18</c:f>
                  <c:strCache>
                    <c:ptCount val="1"/>
                    <c:pt idx="0">
                      <c:v>129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{1BCFF01F-8F70-42B9-8680-1F50C4F3DDE8}</c15:txfldGUID>
                      <c15:f>'C04A'!$Q$18</c15:f>
                      <c15:dlblFieldTableCache>
                        <c:ptCount val="1"/>
                        <c:pt idx="0">
                          <c:v>129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356-4B93-90E7-9EAECA75F384}"/>
                </c:ext>
              </c:extLst>
            </c:dLbl>
            <c:dLbl>
              <c:idx val="8"/>
              <c:tx>
                <c:strRef>
                  <c:f>'C04A'!$Q$19</c:f>
                  <c:strCache>
                    <c:ptCount val="1"/>
                    <c:pt idx="0">
                      <c:v>115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{AB3FF6F0-A170-4ECF-A22B-030AB778B684}</c15:txfldGUID>
                      <c15:f>'C04A'!$Q$19</c15:f>
                      <c15:dlblFieldTableCache>
                        <c:ptCount val="1"/>
                        <c:pt idx="0">
                          <c:v>115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356-4B93-90E7-9EAECA75F384}"/>
                </c:ext>
              </c:extLst>
            </c:dLbl>
            <c:dLbl>
              <c:idx val="9"/>
              <c:tx>
                <c:strRef>
                  <c:f>'C04A'!$Q$20</c:f>
                  <c:strCache>
                    <c:ptCount val="1"/>
                    <c:pt idx="0">
                      <c:v>45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{E0A07512-F122-4FA5-970C-B555DD870ADB}</c15:txfldGUID>
                      <c15:f>'C04A'!$Q$20</c15:f>
                      <c15:dlblFieldTableCache>
                        <c:ptCount val="1"/>
                        <c:pt idx="0">
                          <c:v>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356-4B93-90E7-9EAECA75F384}"/>
                </c:ext>
              </c:extLst>
            </c:dLbl>
            <c:dLbl>
              <c:idx val="10"/>
              <c:tx>
                <c:strRef>
                  <c:f>'C04A'!$Q$21</c:f>
                  <c:strCache>
                    <c:ptCount val="1"/>
                    <c:pt idx="0">
                      <c:v>-221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{03166910-9F2F-4790-A9E4-50982F50266A}</c15:txfldGUID>
                      <c15:f>'C04A'!$Q$21</c15:f>
                      <c15:dlblFieldTableCache>
                        <c:ptCount val="1"/>
                        <c:pt idx="0">
                          <c:v>-221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0356-4B93-90E7-9EAECA75F384}"/>
                </c:ext>
              </c:extLst>
            </c:dLbl>
            <c:dLbl>
              <c:idx val="11"/>
              <c:tx>
                <c:strRef>
                  <c:f>'C04A'!$Q$22</c:f>
                  <c:strCache>
                    <c:ptCount val="1"/>
                    <c:pt idx="0">
                      <c:v>-268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{E1C6DE1C-CC3C-490A-9B98-501209B7A1C4}</c15:txfldGUID>
                      <c15:f>'C04A'!$Q$22</c15:f>
                      <c15:dlblFieldTableCache>
                        <c:ptCount val="1"/>
                        <c:pt idx="0">
                          <c:v>-268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0356-4B93-90E7-9EAECA75F384}"/>
                </c:ext>
              </c:extLst>
            </c:dLbl>
            <c:dLbl>
              <c:idx val="12"/>
              <c:tx>
                <c:strRef>
                  <c:f>'C04A'!$Q$23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{7AB01376-BC06-4720-99A9-E1C74B9C4E27}</c15:txfldGUID>
                      <c15:f>'C04A'!$Q$23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5-0356-4B93-90E7-9EAECA75F384}"/>
                </c:ext>
              </c:extLst>
            </c:dLbl>
            <c:dLbl>
              <c:idx val="13"/>
              <c:tx>
                <c:strRef>
                  <c:f>'C04A'!$Q$24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{8E7E656F-CD6D-4927-8A14-ADB1FF226143}</c15:txfldGUID>
                      <c15:f>'C04A'!$Q$24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0356-4B93-90E7-9EAECA75F384}"/>
                </c:ext>
              </c:extLst>
            </c:dLbl>
            <c:dLbl>
              <c:idx val="14"/>
              <c:tx>
                <c:strRef>
                  <c:f>'C04A'!$Q$25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{7A0CF58E-9B4E-498D-BDB3-7AE58E84740B}</c15:txfldGUID>
                      <c15:f>'C04A'!$Q$25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0356-4B93-90E7-9EAECA75F384}"/>
                </c:ext>
              </c:extLst>
            </c:dLbl>
            <c:dLbl>
              <c:idx val="15"/>
              <c:tx>
                <c:strRef>
                  <c:f>'C04A'!$Q$26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{7C0A7BA2-2BCE-427C-8DC9-68545CD434F1}</c15:txfldGUID>
                      <c15:f>'C04A'!$Q$26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0356-4B93-90E7-9EAECA75F384}"/>
                </c:ext>
              </c:extLst>
            </c:dLbl>
            <c:dLbl>
              <c:idx val="16"/>
              <c:tx>
                <c:strRef>
                  <c:f>'C04A'!$Q$27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{6341BBA6-293A-40EA-B0DC-BF8F74CFE909}</c15:txfldGUID>
                      <c15:f>'C04A'!$Q$27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0356-4B93-90E7-9EAECA75F384}"/>
                </c:ext>
              </c:extLst>
            </c:dLbl>
            <c:dLbl>
              <c:idx val="17"/>
              <c:tx>
                <c:strRef>
                  <c:f>'C04A'!$Q$28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{EF1A6A2E-AAF5-4FBB-850F-A04A0EB0B560}</c15:txfldGUID>
                      <c15:f>'C04A'!$Q$28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0356-4B93-90E7-9EAECA75F384}"/>
                </c:ext>
              </c:extLst>
            </c:dLbl>
            <c:dLbl>
              <c:idx val="18"/>
              <c:tx>
                <c:strRef>
                  <c:f>'C04A'!$Q$29</c:f>
                  <c:strCache>
                    <c:ptCount val="1"/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{0016B069-F8CD-49DD-AA66-E2C30A74EC68}</c15:txfldGUID>
                      <c15:f>'C04A'!$Q$29</c15:f>
                      <c15:dlblFieldTableCache>
                        <c:ptCount val="1"/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0356-4B93-90E7-9EAECA75F384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'C04A'!$A$11:$A$29</c:f>
              <c:strCache>
                <c:ptCount val="14"/>
                <c:pt idx="0">
                  <c:v>Dec</c:v>
                </c:pt>
                <c:pt idx="1">
                  <c:v>Nov</c:v>
                </c:pt>
                <c:pt idx="2">
                  <c:v>Jul</c:v>
                </c:pt>
                <c:pt idx="3">
                  <c:v>Sep</c:v>
                </c:pt>
                <c:pt idx="4">
                  <c:v>Oct</c:v>
                </c:pt>
                <c:pt idx="5">
                  <c:v>Feb</c:v>
                </c:pt>
                <c:pt idx="6">
                  <c:v>Jan</c:v>
                </c:pt>
                <c:pt idx="7">
                  <c:v>Aug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Mar</c:v>
                </c:pt>
                <c:pt idx="13">
                  <c:v>PL is not reported by the entity. Progressive publishes no monthly plan. The target it does publish is a 96 combined ratio - a 4% underwriting margin - applied here to each month's earned premium. Replace these cells with your own figures and every chart o</c:v>
                </c:pt>
              </c:strCache>
            </c:strRef>
          </c:cat>
          <c:val>
            <c:numRef>
              <c:f>'C04A'!$P$11:$P$29</c:f>
              <c:numCache>
                <c:formatCode>0.000000</c:formatCode>
                <c:ptCount val="19"/>
                <c:pt idx="0">
                  <c:v>1</c:v>
                </c:pt>
                <c:pt idx="1">
                  <c:v>0.59863945578231292</c:v>
                </c:pt>
                <c:pt idx="2">
                  <c:v>0.60204081632653061</c:v>
                </c:pt>
                <c:pt idx="3">
                  <c:v>0.54308390022675734</c:v>
                </c:pt>
                <c:pt idx="4">
                  <c:v>0.36621315192743764</c:v>
                </c:pt>
                <c:pt idx="5">
                  <c:v>0.23129251700680273</c:v>
                </c:pt>
                <c:pt idx="6">
                  <c:v>0.22902494331065759</c:v>
                </c:pt>
                <c:pt idx="7">
                  <c:v>0.14625850340136054</c:v>
                </c:pt>
                <c:pt idx="8">
                  <c:v>0.13038548752834467</c:v>
                </c:pt>
                <c:pt idx="9">
                  <c:v>5.1020408163265307E-2</c:v>
                </c:pt>
                <c:pt idx="10">
                  <c:v>-0.25056689342403626</c:v>
                </c:pt>
                <c:pt idx="11">
                  <c:v>-0.30385487528344673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56-4B93-90E7-9EAECA75F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76"/>
        <c:axId val="126172880"/>
        <c:axId val="23837520"/>
      </c:barChart>
      <c:catAx>
        <c:axId val="1261728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837520"/>
        <c:crosses val="autoZero"/>
        <c:auto val="1"/>
        <c:lblAlgn val="ctr"/>
        <c:lblOffset val="100"/>
        <c:noMultiLvlLbl val="0"/>
      </c:catAx>
      <c:valAx>
        <c:axId val="23837520"/>
        <c:scaling>
          <c:orientation val="minMax"/>
          <c:max val="1.8260000000000001"/>
          <c:min val="-0.35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6172880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645161290322578E-2"/>
          <c:y val="0.1"/>
          <c:w val="0.90322580645161288"/>
          <c:h val="0.65158983536148896"/>
        </c:manualLayout>
      </c:layout>
      <c:barChart>
        <c:barDir val="col"/>
        <c:grouping val="stacked"/>
        <c:varyColors val="0"/>
        <c:ser>
          <c:idx val="0"/>
          <c:order val="0"/>
          <c:tx>
            <c:v>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'C05X'!$AG$11:$AG$27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0.90154711673699017</c:v>
                </c:pt>
                <c:pt idx="3">
                  <c:v>0.8942510548523207</c:v>
                </c:pt>
                <c:pt idx="4">
                  <c:v>0.8942510548523207</c:v>
                </c:pt>
                <c:pt idx="5">
                  <c:v>0.88704289732770747</c:v>
                </c:pt>
                <c:pt idx="6">
                  <c:v>0.88704289732770747</c:v>
                </c:pt>
                <c:pt idx="7">
                  <c:v>0.90603023909985936</c:v>
                </c:pt>
                <c:pt idx="8">
                  <c:v>0.90110759493670889</c:v>
                </c:pt>
                <c:pt idx="9">
                  <c:v>0.88335091420534462</c:v>
                </c:pt>
                <c:pt idx="10">
                  <c:v>0.88335091420534462</c:v>
                </c:pt>
                <c:pt idx="11">
                  <c:v>0.96993670886075944</c:v>
                </c:pt>
                <c:pt idx="12">
                  <c:v>0.99314345991561181</c:v>
                </c:pt>
                <c:pt idx="13">
                  <c:v>1</c:v>
                </c:pt>
                <c:pt idx="14">
                  <c:v>0</c:v>
                </c:pt>
                <c:pt idx="15">
                  <c:v>0.90154711673699017</c:v>
                </c:pt>
                <c:pt idx="16">
                  <c:v>0.90154711673699017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E2-4570-8CB9-7F194A09044A}"/>
            </c:ext>
          </c:extLst>
        </c:ser>
        <c:ser>
          <c:idx val="1"/>
          <c:order val="1"/>
          <c:tx>
            <c:v>up AC</c:v>
          </c:tx>
          <c:spPr>
            <a:solidFill>
              <a:srgbClr val="8CB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FE2-4570-8CB9-7F194A0904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FE2-4570-8CB9-7F194A09044A}"/>
                </c:ext>
              </c:extLst>
            </c:dLbl>
            <c:dLbl>
              <c:idx val="2"/>
              <c:tx>
                <c:strRef>
                  <c:f>'C05X'!$AI$13</c:f>
                  <c:strCache>
                    <c:ptCount val="1"/>
                    <c:pt idx="0">
                      <c:v>+33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{3AB84A19-C79C-47E9-BD6A-2A7920D99D5A}</c15:txfldGUID>
                      <c15:f>'C05X'!$AI$13</c15:f>
                      <c15:dlblFieldTableCache>
                        <c:ptCount val="1"/>
                        <c:pt idx="0">
                          <c:v>+33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4FE2-4570-8CB9-7F194A09044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FE2-4570-8CB9-7F194A09044A}"/>
                </c:ext>
              </c:extLst>
            </c:dLbl>
            <c:dLbl>
              <c:idx val="4"/>
              <c:tx>
                <c:strRef>
                  <c:f>'C05X'!$AI$15</c:f>
                  <c:strCache>
                    <c:ptCount val="1"/>
                    <c:pt idx="0">
                      <c:v>+224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{5A89D41D-E62A-4E3A-8A26-A51811DB5A8A}</c15:txfldGUID>
                      <c15:f>'C05X'!$AI$15</c15:f>
                      <c15:dlblFieldTableCache>
                        <c:ptCount val="1"/>
                        <c:pt idx="0">
                          <c:v>+224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4FE2-4570-8CB9-7F194A0904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FE2-4570-8CB9-7F194A09044A}"/>
                </c:ext>
              </c:extLst>
            </c:dLbl>
            <c:dLbl>
              <c:idx val="6"/>
              <c:tx>
                <c:strRef>
                  <c:f>'C05X'!$AI$17</c:f>
                  <c:strCache>
                    <c:ptCount val="1"/>
                    <c:pt idx="0">
                      <c:v>+438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{7D446295-862C-4612-B790-2BA2F824CBDB}</c15:txfldGUID>
                      <c15:f>'C05X'!$AI$17</c15:f>
                      <c15:dlblFieldTableCache>
                        <c:ptCount val="1"/>
                        <c:pt idx="0">
                          <c:v>+438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4FE2-4570-8CB9-7F194A09044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FE2-4570-8CB9-7F194A0904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FE2-4570-8CB9-7F194A09044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FE2-4570-8CB9-7F194A09044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FE2-4570-8CB9-7F194A09044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FE2-4570-8CB9-7F194A09044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E2-4570-8CB9-7F194A09044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FE2-4570-8CB9-7F194A0904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FE2-4570-8CB9-7F194A09044A}"/>
                </c:ext>
              </c:extLst>
            </c:dLbl>
            <c:dLbl>
              <c:idx val="15"/>
              <c:tx>
                <c:strRef>
                  <c:f>'C05X'!$AI$26</c:f>
                  <c:strCache>
                    <c:ptCount val="1"/>
                    <c:pt idx="0">
                      <c:v>+1,200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{E6EF3CB2-EEDF-4212-943E-A29FD3BF0684}</c15:txfldGUID>
                      <c15:f>'C05X'!$AI$26</c15:f>
                      <c15:dlblFieldTableCache>
                        <c:ptCount val="1"/>
                        <c:pt idx="0">
                          <c:v>+1,200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4FE2-4570-8CB9-7F194A09044A}"/>
                </c:ext>
              </c:extLst>
            </c:dLbl>
            <c:dLbl>
              <c:idx val="16"/>
              <c:tx>
                <c:strRef>
                  <c:f>'C05X'!$AI$27</c:f>
                  <c:strCache>
                    <c:ptCount val="1"/>
                    <c:pt idx="0">
                      <c:v>+1,200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{950966C9-BC52-494A-A211-DC8CF4C1A97E}</c15:txfldGUID>
                      <c15:f>'C05X'!$AI$27</c15:f>
                      <c15:dlblFieldTableCache>
                        <c:ptCount val="1"/>
                        <c:pt idx="0">
                          <c:v>+1,200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4FE2-4570-8CB9-7F194A09044A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'C05X'!$AH$11:$AH$27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2.9008438818565402E-3</c:v>
                </c:pt>
                <c:pt idx="3">
                  <c:v>0</c:v>
                </c:pt>
                <c:pt idx="4">
                  <c:v>1.969057665260197E-2</c:v>
                </c:pt>
                <c:pt idx="5">
                  <c:v>0</c:v>
                </c:pt>
                <c:pt idx="6">
                  <c:v>3.8502109704641352E-2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0.10548523206751055</c:v>
                </c:pt>
                <c:pt idx="16">
                  <c:v>0.10548523206751055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E2-4570-8CB9-7F194A09044A}"/>
            </c:ext>
          </c:extLst>
        </c:ser>
        <c:ser>
          <c:idx val="2"/>
          <c:order val="2"/>
          <c:tx>
            <c:v>down AC</c:v>
          </c:tx>
          <c:spPr>
            <a:solidFill>
              <a:srgbClr val="FF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FE2-4570-8CB9-7F194A0904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FE2-4570-8CB9-7F194A0904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FE2-4570-8CB9-7F194A09044A}"/>
                </c:ext>
              </c:extLst>
            </c:dLbl>
            <c:dLbl>
              <c:idx val="3"/>
              <c:tx>
                <c:strRef>
                  <c:f>'C05X'!$AK$14</c:f>
                  <c:strCache>
                    <c:ptCount val="1"/>
                    <c:pt idx="0">
                      <c:v>-116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{BC43D5E6-529B-4174-874D-5803E037FAF3}</c15:txfldGUID>
                      <c15:f>'C05X'!$AK$14</c15:f>
                      <c15:dlblFieldTableCache>
                        <c:ptCount val="1"/>
                        <c:pt idx="0">
                          <c:v>-116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4FE2-4570-8CB9-7F194A0904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FE2-4570-8CB9-7F194A09044A}"/>
                </c:ext>
              </c:extLst>
            </c:dLbl>
            <c:dLbl>
              <c:idx val="5"/>
              <c:tx>
                <c:strRef>
                  <c:f>'C05X'!$AK$16</c:f>
                  <c:strCache>
                    <c:ptCount val="1"/>
                    <c:pt idx="0">
                      <c:v>-306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{FF026F63-0C57-4403-A4A7-1DF42D7F59CF}</c15:txfldGUID>
                      <c15:f>'C05X'!$AK$16</c15:f>
                      <c15:dlblFieldTableCache>
                        <c:ptCount val="1"/>
                        <c:pt idx="0">
                          <c:v>-306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4FE2-4570-8CB9-7F194A0904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FE2-4570-8CB9-7F194A09044A}"/>
                </c:ext>
              </c:extLst>
            </c:dLbl>
            <c:dLbl>
              <c:idx val="7"/>
              <c:tx>
                <c:strRef>
                  <c:f>'C05X'!$AK$18</c:f>
                  <c:strCache>
                    <c:ptCount val="1"/>
                    <c:pt idx="0">
                      <c:v>-222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{93683E5E-83C3-4629-843E-9BD2698B5ABB}</c15:txfldGUID>
                      <c15:f>'C05X'!$AK$18</c15:f>
                      <c15:dlblFieldTableCache>
                        <c:ptCount val="1"/>
                        <c:pt idx="0">
                          <c:v>-222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4FE2-4570-8CB9-7F194A09044A}"/>
                </c:ext>
              </c:extLst>
            </c:dLbl>
            <c:dLbl>
              <c:idx val="8"/>
              <c:tx>
                <c:strRef>
                  <c:f>'C05X'!$AK$19</c:f>
                  <c:strCache>
                    <c:ptCount val="1"/>
                    <c:pt idx="0">
                      <c:v>-56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{2FA6124C-0FE3-45E5-B7EC-2D20B383F0C8}</c15:txfldGUID>
                      <c15:f>'C05X'!$AK$19</c15:f>
                      <c15:dlblFieldTableCache>
                        <c:ptCount val="1"/>
                        <c:pt idx="0">
                          <c:v>-56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4FE2-4570-8CB9-7F194A09044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FE2-4570-8CB9-7F194A09044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FE2-4570-8CB9-7F194A09044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FE2-4570-8CB9-7F194A09044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FE2-4570-8CB9-7F194A09044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FE2-4570-8CB9-7F194A0904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FE2-4570-8CB9-7F194A09044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FE2-4570-8CB9-7F194A09044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FE2-4570-8CB9-7F194A09044A}"/>
                </c:ext>
              </c:extLst>
            </c:dLbl>
            <c:numFmt formatCode="&quot;-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'C05X'!$AJ$11:$AJ$27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1.0196905766526019E-2</c:v>
                </c:pt>
                <c:pt idx="4">
                  <c:v>0</c:v>
                </c:pt>
                <c:pt idx="5">
                  <c:v>2.6898734177215191E-2</c:v>
                </c:pt>
                <c:pt idx="6">
                  <c:v>0</c:v>
                </c:pt>
                <c:pt idx="7">
                  <c:v>1.9514767932489453E-2</c:v>
                </c:pt>
                <c:pt idx="8">
                  <c:v>4.9226441631504926E-3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4FE2-4570-8CB9-7F194A09044A}"/>
            </c:ext>
          </c:extLst>
        </c:ser>
        <c:ser>
          <c:idx val="3"/>
          <c:order val="3"/>
          <c:tx>
            <c:v>up FC</c:v>
          </c:tx>
          <c:spPr>
            <a:pattFill prst="wdUpDiag">
              <a:fgClr>
                <a:srgbClr val="8CB400"/>
              </a:fgClr>
              <a:bgClr>
                <a:srgbClr val="FFFFFF"/>
              </a:bgClr>
            </a:pattFill>
            <a:ln w="9525">
              <a:solidFill>
                <a:srgbClr val="8CB400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FE2-4570-8CB9-7F194A0904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FE2-4570-8CB9-7F194A0904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FE2-4570-8CB9-7F194A09044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FE2-4570-8CB9-7F194A0904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4FE2-4570-8CB9-7F194A0904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4FE2-4570-8CB9-7F194A0904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4FE2-4570-8CB9-7F194A09044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4FE2-4570-8CB9-7F194A0904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FE2-4570-8CB9-7F194A09044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4FE2-4570-8CB9-7F194A09044A}"/>
                </c:ext>
              </c:extLst>
            </c:dLbl>
            <c:dLbl>
              <c:idx val="10"/>
              <c:tx>
                <c:strRef>
                  <c:f>'C05X'!$AM$21</c:f>
                  <c:strCache>
                    <c:ptCount val="1"/>
                    <c:pt idx="0">
                      <c:v>+985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{30316BC3-3A48-4AFA-A485-7E1C667438C5}</c15:txfldGUID>
                      <c15:f>'C05X'!$AM$21</c15:f>
                      <c15:dlblFieldTableCache>
                        <c:ptCount val="1"/>
                        <c:pt idx="0">
                          <c:v>+985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7-4FE2-4570-8CB9-7F194A09044A}"/>
                </c:ext>
              </c:extLst>
            </c:dLbl>
            <c:dLbl>
              <c:idx val="11"/>
              <c:tx>
                <c:strRef>
                  <c:f>'C05X'!$AM$22</c:f>
                  <c:strCache>
                    <c:ptCount val="1"/>
                    <c:pt idx="0">
                      <c:v>+264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{40544B8E-297B-48E7-9927-1C0055458C6F}</c15:txfldGUID>
                      <c15:f>'C05X'!$AM$22</c15:f>
                      <c15:dlblFieldTableCache>
                        <c:ptCount val="1"/>
                        <c:pt idx="0">
                          <c:v>+264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8-4FE2-4570-8CB9-7F194A09044A}"/>
                </c:ext>
              </c:extLst>
            </c:dLbl>
            <c:dLbl>
              <c:idx val="12"/>
              <c:tx>
                <c:strRef>
                  <c:f>'C05X'!$AM$23</c:f>
                  <c:strCache>
                    <c:ptCount val="1"/>
                    <c:pt idx="0">
                      <c:v>+78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{5FCD2B74-211A-4B18-B674-B9962232C692}</c15:txfldGUID>
                      <c15:f>'C05X'!$AM$23</c15:f>
                      <c15:dlblFieldTableCache>
                        <c:ptCount val="1"/>
                        <c:pt idx="0">
                          <c:v>+78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9-4FE2-4570-8CB9-7F194A09044A}"/>
                </c:ext>
              </c:extLst>
            </c:dLbl>
            <c:dLbl>
              <c:idx val="13"/>
              <c:tx>
                <c:strRef>
                  <c:f>'C05X'!$AM$24</c:f>
                  <c:strCache>
                    <c:ptCount val="1"/>
                    <c:pt idx="0">
                      <c:v>+80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{7B6D8F3A-1559-4B38-975C-51ED8ECB5121}</c15:txfldGUID>
                      <c15:f>'C05X'!$AM$24</c15:f>
                      <c15:dlblFieldTableCache>
                        <c:ptCount val="1"/>
                        <c:pt idx="0">
                          <c:v>+80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4FE2-4570-8CB9-7F194A0904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4FE2-4570-8CB9-7F194A09044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4FE2-4570-8CB9-7F194A09044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4FE2-4570-8CB9-7F194A09044A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'C05X'!$AL$11:$AL$27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8.658579465541491E-2</c:v>
                </c:pt>
                <c:pt idx="11">
                  <c:v>2.3206751054852322E-2</c:v>
                </c:pt>
                <c:pt idx="12">
                  <c:v>6.8565400843881861E-3</c:v>
                </c:pt>
                <c:pt idx="13">
                  <c:v>7.0323488045007029E-3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4FE2-4570-8CB9-7F194A09044A}"/>
            </c:ext>
          </c:extLst>
        </c:ser>
        <c:ser>
          <c:idx val="4"/>
          <c:order val="4"/>
          <c:tx>
            <c:v>down FC</c:v>
          </c:tx>
          <c:spPr>
            <a:pattFill prst="wdUpDiag">
              <a:fgClr>
                <a:srgbClr val="FF0000"/>
              </a:fgClr>
              <a:bgClr>
                <a:srgbClr val="FFFFFF"/>
              </a:bgClr>
            </a:pattFill>
            <a:ln w="9525">
              <a:solidFill>
                <a:srgbClr val="FF0000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4FE2-4570-8CB9-7F194A09044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4FE2-4570-8CB9-7F194A09044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4FE2-4570-8CB9-7F194A09044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4FE2-4570-8CB9-7F194A09044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4FE2-4570-8CB9-7F194A09044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4FE2-4570-8CB9-7F194A09044A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4FE2-4570-8CB9-7F194A09044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4FE2-4570-8CB9-7F194A09044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4FE2-4570-8CB9-7F194A09044A}"/>
                </c:ext>
              </c:extLst>
            </c:dLbl>
            <c:dLbl>
              <c:idx val="9"/>
              <c:tx>
                <c:strRef>
                  <c:f>'C05X'!$AO$20</c:f>
                  <c:strCache>
                    <c:ptCount val="1"/>
                    <c:pt idx="0">
                      <c:v>-202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{FAFC14A8-7C88-4E93-BD30-1B42E68FD338}</c15:txfldGUID>
                      <c15:f>'C05X'!$AO$20</c15:f>
                      <c15:dlblFieldTableCache>
                        <c:ptCount val="1"/>
                        <c:pt idx="0">
                          <c:v>-202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4FE2-4570-8CB9-7F194A09044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4FE2-4570-8CB9-7F194A09044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4FE2-4570-8CB9-7F194A09044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4FE2-4570-8CB9-7F194A09044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4FE2-4570-8CB9-7F194A09044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4FE2-4570-8CB9-7F194A09044A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4FE2-4570-8CB9-7F194A09044A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4FE2-4570-8CB9-7F194A09044A}"/>
                </c:ext>
              </c:extLst>
            </c:dLbl>
            <c:numFmt formatCode="&quot;-&quot;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'C05X'!$AN$11:$AN$27</c:f>
              <c:numCache>
                <c:formatCode>0.000000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1.7756680731364275E-2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4FE2-4570-8CB9-7F194A090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188656"/>
        <c:axId val="23946000"/>
      </c:barChart>
      <c:catAx>
        <c:axId val="1261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47625">
            <a:solidFill>
              <a:srgbClr val="808080"/>
            </a:solidFill>
          </a:ln>
        </c:spPr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946000"/>
        <c:crosses val="autoZero"/>
        <c:auto val="1"/>
        <c:lblAlgn val="ctr"/>
        <c:lblOffset val="100"/>
        <c:noMultiLvlLbl val="0"/>
      </c:catAx>
      <c:valAx>
        <c:axId val="23946000"/>
        <c:scaling>
          <c:orientation val="minMax"/>
          <c:max val="1.1009862953910614"/>
          <c:min val="0.79426510125698324"/>
        </c:scaling>
        <c:delete val="0"/>
        <c:axPos val="l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6188656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645161290322578E-2"/>
          <c:y val="3.6363636363636362E-2"/>
          <c:w val="0.90322580645161288"/>
          <c:h val="0.90909090909090917"/>
        </c:manualLayout>
      </c:layout>
      <c:barChart>
        <c:barDir val="col"/>
        <c:grouping val="clustered"/>
        <c:varyColors val="0"/>
        <c:ser>
          <c:idx val="0"/>
          <c:order val="0"/>
          <c:tx>
            <c:v>PY bar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48C-4F04-974A-36C28D5B46B0}"/>
                </c:ext>
              </c:extLst>
            </c:dLbl>
            <c:dLbl>
              <c:idx val="1"/>
              <c:tx>
                <c:strRef>
                  <c:f>'C05X'!$Z$12</c:f>
                  <c:strCache>
                    <c:ptCount val="1"/>
                    <c:pt idx="0">
                      <c:v>10,256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{5588AF0D-A118-4E6C-8681-F5C58C9CB05A}</c15:txfldGUID>
                      <c15:f>'C05X'!$Z$12</c15:f>
                      <c15:dlblFieldTableCache>
                        <c:ptCount val="1"/>
                        <c:pt idx="0">
                          <c:v>10,256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48C-4F04-974A-36C28D5B46B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8C-4F04-974A-36C28D5B46B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8C-4F04-974A-36C28D5B46B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8C-4F04-974A-36C28D5B46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8C-4F04-974A-36C28D5B46B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8C-4F04-974A-36C28D5B46B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8C-4F04-974A-36C28D5B46B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48C-4F04-974A-36C28D5B46B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48C-4F04-974A-36C28D5B46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48C-4F04-974A-36C28D5B46B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48C-4F04-974A-36C28D5B46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48C-4F04-974A-36C28D5B46B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48C-4F04-974A-36C28D5B46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48C-4F04-974A-36C28D5B46B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48C-4F04-974A-36C28D5B46B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48C-4F04-974A-36C28D5B46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'C05X'!$Y$11:$Y$27</c:f>
              <c:numCache>
                <c:formatCode>0.000000</c:formatCode>
                <c:ptCount val="17"/>
                <c:pt idx="0">
                  <c:v>#N/A</c:v>
                </c:pt>
                <c:pt idx="1">
                  <c:v>0.90154711673699017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48C-4F04-974A-36C28D5B46B0}"/>
            </c:ext>
          </c:extLst>
        </c:ser>
        <c:ser>
          <c:idx val="1"/>
          <c:order val="1"/>
          <c:tx>
            <c:v>PY bar</c:v>
          </c:tx>
          <c:spPr>
            <a:solidFill>
              <a:srgbClr val="FFFFFF"/>
            </a:solidFill>
            <a:ln w="9525">
              <a:solidFill>
                <a:srgbClr val="404040"/>
              </a:solidFill>
            </a:ln>
          </c:spPr>
          <c:invertIfNegative val="0"/>
          <c:dLbls>
            <c:dLbl>
              <c:idx val="0"/>
              <c:tx>
                <c:strRef>
                  <c:f>'C05X'!$AB$11</c:f>
                  <c:strCache>
                    <c:ptCount val="1"/>
                    <c:pt idx="0">
                      <c:v>10,256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{42B72775-ABA8-4589-92FC-3CEBFC22C772}</c15:txfldGUID>
                      <c15:f>'C05X'!$AB$11</c15:f>
                      <c15:dlblFieldTableCache>
                        <c:ptCount val="1"/>
                        <c:pt idx="0">
                          <c:v>10,256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848C-4F04-974A-36C28D5B46B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48C-4F04-974A-36C28D5B46B0}"/>
                </c:ext>
              </c:extLst>
            </c:dLbl>
            <c:dLbl>
              <c:idx val="2"/>
              <c:tx>
                <c:strRef>
                  <c:f>'C05X'!$AB$13</c:f>
                  <c:strCache>
                    <c:ptCount val="1"/>
                    <c:pt idx="0">
                      <c:v>1,047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{449161F3-54A2-46C7-9D08-558F36C2C5FA}</c15:txfldGUID>
                      <c15:f>'C05X'!$AB$13</c15:f>
                      <c15:dlblFieldTableCache>
                        <c:ptCount val="1"/>
                        <c:pt idx="0">
                          <c:v>1,047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848C-4F04-974A-36C28D5B46B0}"/>
                </c:ext>
              </c:extLst>
            </c:dLbl>
            <c:dLbl>
              <c:idx val="3"/>
              <c:tx>
                <c:strRef>
                  <c:f>'C05X'!$AB$14</c:f>
                  <c:strCache>
                    <c:ptCount val="1"/>
                    <c:pt idx="0">
                      <c:v>1,050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{9B3A3E12-7F74-41D9-AECB-48AD92F9043F}</c15:txfldGUID>
                      <c15:f>'C05X'!$AB$14</c15:f>
                      <c15:dlblFieldTableCache>
                        <c:ptCount val="1"/>
                        <c:pt idx="0">
                          <c:v>1,050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D-848C-4F04-974A-36C28D5B46B0}"/>
                </c:ext>
              </c:extLst>
            </c:dLbl>
            <c:dLbl>
              <c:idx val="4"/>
              <c:tx>
                <c:strRef>
                  <c:f>'C05X'!$AB$15</c:f>
                  <c:strCache>
                    <c:ptCount val="1"/>
                    <c:pt idx="0">
                      <c:v>618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{C1E902C4-71CC-46F4-A5D0-F6B2A19C897F}</c15:txfldGUID>
                      <c15:f>'C05X'!$AB$15</c15:f>
                      <c15:dlblFieldTableCache>
                        <c:ptCount val="1"/>
                        <c:pt idx="0">
                          <c:v>618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E-848C-4F04-974A-36C28D5B46B0}"/>
                </c:ext>
              </c:extLst>
            </c:dLbl>
            <c:dLbl>
              <c:idx val="5"/>
              <c:tx>
                <c:strRef>
                  <c:f>'C05X'!$AB$16</c:f>
                  <c:strCache>
                    <c:ptCount val="1"/>
                    <c:pt idx="0">
                      <c:v>1,003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{32BA9B6E-333E-4E86-B9A8-A904A2A99B3C}</c15:txfldGUID>
                      <c15:f>'C05X'!$AB$16</c15:f>
                      <c15:dlblFieldTableCache>
                        <c:ptCount val="1"/>
                        <c:pt idx="0">
                          <c:v>1,003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F-848C-4F04-974A-36C28D5B46B0}"/>
                </c:ext>
              </c:extLst>
            </c:dLbl>
            <c:dLbl>
              <c:idx val="6"/>
              <c:tx>
                <c:strRef>
                  <c:f>'C05X'!$AB$17</c:f>
                  <c:strCache>
                    <c:ptCount val="1"/>
                    <c:pt idx="0">
                      <c:v>880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{88192C4E-C216-4CD1-8F8A-E8DEF132EF8D}</c15:txfldGUID>
                      <c15:f>'C05X'!$AB$17</c15:f>
                      <c15:dlblFieldTableCache>
                        <c:ptCount val="1"/>
                        <c:pt idx="0">
                          <c:v>880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0-848C-4F04-974A-36C28D5B46B0}"/>
                </c:ext>
              </c:extLst>
            </c:dLbl>
            <c:dLbl>
              <c:idx val="7"/>
              <c:tx>
                <c:strRef>
                  <c:f>'C05X'!$AB$18</c:f>
                  <c:strCache>
                    <c:ptCount val="1"/>
                    <c:pt idx="0">
                      <c:v>932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{03B7C98F-8A04-4950-BC40-BEABF9C98AD2}</c15:txfldGUID>
                      <c15:f>'C05X'!$AB$18</c15:f>
                      <c15:dlblFieldTableCache>
                        <c:ptCount val="1"/>
                        <c:pt idx="0">
                          <c:v>932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1-848C-4F04-974A-36C28D5B46B0}"/>
                </c:ext>
              </c:extLst>
            </c:dLbl>
            <c:dLbl>
              <c:idx val="8"/>
              <c:tx>
                <c:strRef>
                  <c:f>'C05X'!$AB$19</c:f>
                  <c:strCache>
                    <c:ptCount val="1"/>
                    <c:pt idx="0">
                      <c:v>1,027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{CBD30488-42DC-4A5F-9942-035822AF16D8}</c15:txfldGUID>
                      <c15:f>'C05X'!$AB$19</c15:f>
                      <c15:dlblFieldTableCache>
                        <c:ptCount val="1"/>
                        <c:pt idx="0">
                          <c:v>1,027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2-848C-4F04-974A-36C28D5B46B0}"/>
                </c:ext>
              </c:extLst>
            </c:dLbl>
            <c:dLbl>
              <c:idx val="9"/>
              <c:tx>
                <c:strRef>
                  <c:f>'C05X'!$AB$20</c:f>
                  <c:strCache>
                    <c:ptCount val="1"/>
                    <c:pt idx="0">
                      <c:v>1,189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{524765B3-98B7-413C-B816-56389A9BCA22}</c15:txfldGUID>
                      <c15:f>'C05X'!$AB$20</c15:f>
                      <c15:dlblFieldTableCache>
                        <c:ptCount val="1"/>
                        <c:pt idx="0">
                          <c:v>1,189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3-848C-4F04-974A-36C28D5B46B0}"/>
                </c:ext>
              </c:extLst>
            </c:dLbl>
            <c:dLbl>
              <c:idx val="10"/>
              <c:tx>
                <c:strRef>
                  <c:f>'C05X'!$AB$21</c:f>
                  <c:strCache>
                    <c:ptCount val="1"/>
                    <c:pt idx="0">
                      <c:v>-27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{0B2DCA46-1558-401B-8822-69614FD67CBE}</c15:txfldGUID>
                      <c15:f>'C05X'!$AB$21</c15:f>
                      <c15:dlblFieldTableCache>
                        <c:ptCount val="1"/>
                        <c:pt idx="0">
                          <c:v>-27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4-848C-4F04-974A-36C28D5B46B0}"/>
                </c:ext>
              </c:extLst>
            </c:dLbl>
            <c:dLbl>
              <c:idx val="11"/>
              <c:tx>
                <c:strRef>
                  <c:f>'C05X'!$AB$22</c:f>
                  <c:strCache>
                    <c:ptCount val="1"/>
                    <c:pt idx="0">
                      <c:v>729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{C53D9FF9-367B-4E00-AD97-AB658DB7A219}</c15:txfldGUID>
                      <c15:f>'C05X'!$AB$22</c15:f>
                      <c15:dlblFieldTableCache>
                        <c:ptCount val="1"/>
                        <c:pt idx="0">
                          <c:v>729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5-848C-4F04-974A-36C28D5B46B0}"/>
                </c:ext>
              </c:extLst>
            </c:dLbl>
            <c:dLbl>
              <c:idx val="12"/>
              <c:tx>
                <c:strRef>
                  <c:f>'C05X'!$AB$23</c:f>
                  <c:strCache>
                    <c:ptCount val="1"/>
                    <c:pt idx="0">
                      <c:v>889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{286A28CC-E4EE-407C-93B3-0FE626917734}</c15:txfldGUID>
                      <c15:f>'C05X'!$AB$23</c15:f>
                      <c15:dlblFieldTableCache>
                        <c:ptCount val="1"/>
                        <c:pt idx="0">
                          <c:v>889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6-848C-4F04-974A-36C28D5B46B0}"/>
                </c:ext>
              </c:extLst>
            </c:dLbl>
            <c:dLbl>
              <c:idx val="13"/>
              <c:tx>
                <c:strRef>
                  <c:f>'C05X'!$AB$24</c:f>
                  <c:strCache>
                    <c:ptCount val="1"/>
                    <c:pt idx="0">
                      <c:v>919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{CD56BF99-4785-409C-A09E-2E0EA17675B2}</c15:txfldGUID>
                      <c15:f>'C05X'!$AB$24</c15:f>
                      <c15:dlblFieldTableCache>
                        <c:ptCount val="1"/>
                        <c:pt idx="0">
                          <c:v>919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7-848C-4F04-974A-36C28D5B46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48C-4F04-974A-36C28D5B46B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48C-4F04-974A-36C28D5B46B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48C-4F04-974A-36C28D5B46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'C05X'!$AA$11:$AA$27</c:f>
              <c:numCache>
                <c:formatCode>0.000000</c:formatCode>
                <c:ptCount val="17"/>
                <c:pt idx="0">
                  <c:v>0.90154711673699017</c:v>
                </c:pt>
                <c:pt idx="1">
                  <c:v>#N/A</c:v>
                </c:pt>
                <c:pt idx="2">
                  <c:v>9.2035864978902954E-2</c:v>
                </c:pt>
                <c:pt idx="3">
                  <c:v>9.2299578059071727E-2</c:v>
                </c:pt>
                <c:pt idx="4">
                  <c:v>5.4324894514767935E-2</c:v>
                </c:pt>
                <c:pt idx="5">
                  <c:v>8.8168073136427563E-2</c:v>
                </c:pt>
                <c:pt idx="6">
                  <c:v>7.7355836849507739E-2</c:v>
                </c:pt>
                <c:pt idx="7">
                  <c:v>8.1926863572433187E-2</c:v>
                </c:pt>
                <c:pt idx="8">
                  <c:v>9.0277777777777776E-2</c:v>
                </c:pt>
                <c:pt idx="9">
                  <c:v>0.10451828410689171</c:v>
                </c:pt>
                <c:pt idx="10">
                  <c:v>-2.3734177215189874E-3</c:v>
                </c:pt>
                <c:pt idx="11">
                  <c:v>6.4082278481012653E-2</c:v>
                </c:pt>
                <c:pt idx="12">
                  <c:v>7.8146976090014059E-2</c:v>
                </c:pt>
                <c:pt idx="13">
                  <c:v>8.0784106891701832E-2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48C-4F04-974A-36C28D5B46B0}"/>
            </c:ext>
          </c:extLst>
        </c:ser>
        <c:ser>
          <c:idx val="2"/>
          <c:order val="2"/>
          <c:tx>
            <c:v>AC bar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48C-4F04-974A-36C28D5B46B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48C-4F04-974A-36C28D5B46B0}"/>
                </c:ext>
              </c:extLst>
            </c:dLbl>
            <c:dLbl>
              <c:idx val="2"/>
              <c:tx>
                <c:strRef>
                  <c:f>'C05X'!$AD$13</c:f>
                  <c:strCache>
                    <c:ptCount val="1"/>
                    <c:pt idx="0">
                      <c:v>1,080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{79A80049-5768-43DD-9E79-737333914D6F}</c15:txfldGUID>
                      <c15:f>'C05X'!$AD$13</c15:f>
                      <c15:dlblFieldTableCache>
                        <c:ptCount val="1"/>
                        <c:pt idx="0">
                          <c:v>1,080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848C-4F04-974A-36C28D5B46B0}"/>
                </c:ext>
              </c:extLst>
            </c:dLbl>
            <c:dLbl>
              <c:idx val="3"/>
              <c:tx>
                <c:strRef>
                  <c:f>'C05X'!$AD$14</c:f>
                  <c:strCache>
                    <c:ptCount val="1"/>
                    <c:pt idx="0">
                      <c:v>934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{FD418B59-B427-4D17-8D87-FAB3BA4B0706}</c15:txfldGUID>
                      <c15:f>'C05X'!$AD$14</c15:f>
                      <c15:dlblFieldTableCache>
                        <c:ptCount val="1"/>
                        <c:pt idx="0">
                          <c:v>934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848C-4F04-974A-36C28D5B46B0}"/>
                </c:ext>
              </c:extLst>
            </c:dLbl>
            <c:dLbl>
              <c:idx val="4"/>
              <c:tx>
                <c:strRef>
                  <c:f>'C05X'!$AD$15</c:f>
                  <c:strCache>
                    <c:ptCount val="1"/>
                    <c:pt idx="0">
                      <c:v>842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{6797FC06-DD18-440D-A8C2-8889836B037E}</c15:txfldGUID>
                      <c15:f>'C05X'!$AD$15</c15:f>
                      <c15:dlblFieldTableCache>
                        <c:ptCount val="1"/>
                        <c:pt idx="0">
                          <c:v>842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848C-4F04-974A-36C28D5B46B0}"/>
                </c:ext>
              </c:extLst>
            </c:dLbl>
            <c:dLbl>
              <c:idx val="5"/>
              <c:tx>
                <c:strRef>
                  <c:f>'C05X'!$AD$16</c:f>
                  <c:strCache>
                    <c:ptCount val="1"/>
                    <c:pt idx="0">
                      <c:v>697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{B75B2B56-4DDB-4D4F-B12B-3D840EC62A78}</c15:txfldGUID>
                      <c15:f>'C05X'!$AD$16</c15:f>
                      <c15:dlblFieldTableCache>
                        <c:ptCount val="1"/>
                        <c:pt idx="0">
                          <c:v>697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848C-4F04-974A-36C28D5B46B0}"/>
                </c:ext>
              </c:extLst>
            </c:dLbl>
            <c:dLbl>
              <c:idx val="6"/>
              <c:tx>
                <c:strRef>
                  <c:f>'C05X'!$AD$17</c:f>
                  <c:strCache>
                    <c:ptCount val="1"/>
                    <c:pt idx="0">
                      <c:v>1,318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{DE396B22-DA73-43AB-A9D7-6F81D3C9E5FD}</c15:txfldGUID>
                      <c15:f>'C05X'!$AD$17</c15:f>
                      <c15:dlblFieldTableCache>
                        <c:ptCount val="1"/>
                        <c:pt idx="0">
                          <c:v>1,318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2-848C-4F04-974A-36C28D5B46B0}"/>
                </c:ext>
              </c:extLst>
            </c:dLbl>
            <c:dLbl>
              <c:idx val="7"/>
              <c:tx>
                <c:strRef>
                  <c:f>'C05X'!$AD$18</c:f>
                  <c:strCache>
                    <c:ptCount val="1"/>
                    <c:pt idx="0">
                      <c:v>710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{4FD3B34F-81FC-4A57-A990-AB4EAD45AA69}</c15:txfldGUID>
                      <c15:f>'C05X'!$AD$18</c15:f>
                      <c15:dlblFieldTableCache>
                        <c:ptCount val="1"/>
                        <c:pt idx="0">
                          <c:v>710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848C-4F04-974A-36C28D5B46B0}"/>
                </c:ext>
              </c:extLst>
            </c:dLbl>
            <c:dLbl>
              <c:idx val="8"/>
              <c:tx>
                <c:strRef>
                  <c:f>'C05X'!$AD$19</c:f>
                  <c:strCache>
                    <c:ptCount val="1"/>
                    <c:pt idx="0">
                      <c:v>971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{D9F3D662-72B3-4E19-A512-B7670CBD9933}</c15:txfldGUID>
                      <c15:f>'C05X'!$AD$19</c15:f>
                      <c15:dlblFieldTableCache>
                        <c:ptCount val="1"/>
                        <c:pt idx="0">
                          <c:v>971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4-848C-4F04-974A-36C28D5B46B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48C-4F04-974A-36C28D5B46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848C-4F04-974A-36C28D5B46B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48C-4F04-974A-36C28D5B46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848C-4F04-974A-36C28D5B46B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848C-4F04-974A-36C28D5B46B0}"/>
                </c:ext>
              </c:extLst>
            </c:dLbl>
            <c:dLbl>
              <c:idx val="14"/>
              <c:tx>
                <c:strRef>
                  <c:f>'C05X'!$AD$25</c:f>
                  <c:strCache>
                    <c:ptCount val="1"/>
                    <c:pt idx="0">
                      <c:v>6,552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{D9B1BAFE-59D0-4F53-887B-40E2434A7204}</c15:txfldGUID>
                      <c15:f>'C05X'!$AD$25</c15:f>
                      <c15:dlblFieldTableCache>
                        <c:ptCount val="1"/>
                        <c:pt idx="0">
                          <c:v>6,552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A-848C-4F04-974A-36C28D5B46B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848C-4F04-974A-36C28D5B46B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848C-4F04-974A-36C28D5B46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'C05X'!$AC$11:$AC$27</c:f>
              <c:numCache>
                <c:formatCode>0.000000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9.49367088607595E-2</c:v>
                </c:pt>
                <c:pt idx="3">
                  <c:v>8.2102672292545711E-2</c:v>
                </c:pt>
                <c:pt idx="4">
                  <c:v>7.4015471167369895E-2</c:v>
                </c:pt>
                <c:pt idx="5">
                  <c:v>6.1269338959212376E-2</c:v>
                </c:pt>
                <c:pt idx="6">
                  <c:v>0.11585794655414909</c:v>
                </c:pt>
                <c:pt idx="7">
                  <c:v>6.2412095639943745E-2</c:v>
                </c:pt>
                <c:pt idx="8">
                  <c:v>8.5355133614627279E-2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0.57594936708860756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48C-4F04-974A-36C28D5B46B0}"/>
            </c:ext>
          </c:extLst>
        </c:ser>
        <c:ser>
          <c:idx val="3"/>
          <c:order val="3"/>
          <c:tx>
            <c:v>FC bar</c:v>
          </c:tx>
          <c:spPr>
            <a:pattFill prst="wdUpDiag">
              <a:fgClr>
                <a:srgbClr val="404040"/>
              </a:fgClr>
              <a:bgClr>
                <a:srgbClr val="F2F2F2"/>
              </a:bgClr>
            </a:pattFill>
            <a:ln w="9525">
              <a:solidFill>
                <a:srgbClr val="404040"/>
              </a:solidFill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848C-4F04-974A-36C28D5B46B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848C-4F04-974A-36C28D5B46B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848C-4F04-974A-36C28D5B46B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848C-4F04-974A-36C28D5B46B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848C-4F04-974A-36C28D5B46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848C-4F04-974A-36C28D5B46B0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848C-4F04-974A-36C28D5B46B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848C-4F04-974A-36C28D5B46B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848C-4F04-974A-36C28D5B46B0}"/>
                </c:ext>
              </c:extLst>
            </c:dLbl>
            <c:dLbl>
              <c:idx val="9"/>
              <c:tx>
                <c:strRef>
                  <c:f>'C05X'!$AF$20</c:f>
                  <c:strCache>
                    <c:ptCount val="1"/>
                    <c:pt idx="0">
                      <c:v>987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{BF2C8B40-1516-40BC-A6B2-0224B5DB8FCE}</c15:txfldGUID>
                      <c15:f>'C05X'!$AF$20</c15:f>
                      <c15:dlblFieldTableCache>
                        <c:ptCount val="1"/>
                        <c:pt idx="0">
                          <c:v>987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7-848C-4F04-974A-36C28D5B46B0}"/>
                </c:ext>
              </c:extLst>
            </c:dLbl>
            <c:dLbl>
              <c:idx val="10"/>
              <c:tx>
                <c:strRef>
                  <c:f>'C05X'!$AF$21</c:f>
                  <c:strCache>
                    <c:ptCount val="1"/>
                    <c:pt idx="0">
                      <c:v>958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{E9EBDB50-CCA3-4A1D-B62F-8EC12219EF53}</c15:txfldGUID>
                      <c15:f>'C05X'!$AF$21</c15:f>
                      <c15:dlblFieldTableCache>
                        <c:ptCount val="1"/>
                        <c:pt idx="0">
                          <c:v>958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8-848C-4F04-974A-36C28D5B46B0}"/>
                </c:ext>
              </c:extLst>
            </c:dLbl>
            <c:dLbl>
              <c:idx val="11"/>
              <c:tx>
                <c:strRef>
                  <c:f>'C05X'!$AF$22</c:f>
                  <c:strCache>
                    <c:ptCount val="1"/>
                    <c:pt idx="0">
                      <c:v>993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{3DCBA81D-CE7A-4D13-AE79-FB58A4A876BE}</c15:txfldGUID>
                      <c15:f>'C05X'!$AF$22</c15:f>
                      <c15:dlblFieldTableCache>
                        <c:ptCount val="1"/>
                        <c:pt idx="0">
                          <c:v>993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9-848C-4F04-974A-36C28D5B46B0}"/>
                </c:ext>
              </c:extLst>
            </c:dLbl>
            <c:dLbl>
              <c:idx val="12"/>
              <c:tx>
                <c:strRef>
                  <c:f>'C05X'!$AF$23</c:f>
                  <c:strCache>
                    <c:ptCount val="1"/>
                    <c:pt idx="0">
                      <c:v>967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{F9F20FD9-B1F6-4CC0-AF3C-7281A7B0BB82}</c15:txfldGUID>
                      <c15:f>'C05X'!$AF$23</c15:f>
                      <c15:dlblFieldTableCache>
                        <c:ptCount val="1"/>
                        <c:pt idx="0">
                          <c:v>967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A-848C-4F04-974A-36C28D5B46B0}"/>
                </c:ext>
              </c:extLst>
            </c:dLbl>
            <c:dLbl>
              <c:idx val="13"/>
              <c:tx>
                <c:strRef>
                  <c:f>'C05X'!$AF$24</c:f>
                  <c:strCache>
                    <c:ptCount val="1"/>
                    <c:pt idx="0">
                      <c:v>999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{50D6A97C-FDFB-4EA8-AB54-1DCDA3E887DF}</c15:txfldGUID>
                      <c15:f>'C05X'!$AF$24</c15:f>
                      <c15:dlblFieldTableCache>
                        <c:ptCount val="1"/>
                        <c:pt idx="0">
                          <c:v>999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B-848C-4F04-974A-36C28D5B46B0}"/>
                </c:ext>
              </c:extLst>
            </c:dLbl>
            <c:dLbl>
              <c:idx val="14"/>
              <c:tx>
                <c:strRef>
                  <c:f>'C05X'!$AF$25</c:f>
                  <c:strCache>
                    <c:ptCount val="1"/>
                    <c:pt idx="0">
                      <c:v>4,904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{C176CE72-1E4F-4E33-BAA3-30EC3F9B0B77}</c15:txfldGUID>
                      <c15:f>'C05X'!$AF$25</c15:f>
                      <c15:dlblFieldTableCache>
                        <c:ptCount val="1"/>
                        <c:pt idx="0">
                          <c:v>4,904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4C-848C-4F04-974A-36C28D5B46B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848C-4F04-974A-36C28D5B46B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848C-4F04-974A-36C28D5B46B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'C05X'!$A$11:$A$27</c:f>
              <c:strCache>
                <c:ptCount val="17"/>
                <c:pt idx="0">
                  <c:v>2026 PL</c:v>
                </c:pt>
                <c:pt idx="1">
                  <c:v>2025 AC</c:v>
                </c:pt>
                <c:pt idx="2">
                  <c:v>Jan</c:v>
                </c:pt>
                <c:pt idx="3">
                  <c:v>Feb</c:v>
                </c:pt>
                <c:pt idx="4">
                  <c:v>Mar</c:v>
                </c:pt>
                <c:pt idx="5">
                  <c:v>Apr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Aug</c:v>
                </c:pt>
                <c:pt idx="10">
                  <c:v>Sep</c:v>
                </c:pt>
                <c:pt idx="11">
                  <c:v>Oct</c:v>
                </c:pt>
                <c:pt idx="12">
                  <c:v>Nov</c:v>
                </c:pt>
                <c:pt idx="13">
                  <c:v>Dec</c:v>
                </c:pt>
                <c:pt idx="14">
                  <c:v>2026 AC+FC</c:v>
                </c:pt>
                <c:pt idx="15">
                  <c:v>vs PY</c:v>
                </c:pt>
                <c:pt idx="16">
                  <c:v>vs PL</c:v>
                </c:pt>
              </c:strCache>
            </c:strRef>
          </c:cat>
          <c:val>
            <c:numRef>
              <c:f>'C05X'!$AE$11:$AE$27</c:f>
              <c:numCache>
                <c:formatCode>0.000000</c:formatCode>
                <c:ptCount val="1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8.6761603375527421E-2</c:v>
                </c:pt>
                <c:pt idx="10">
                  <c:v>8.4212376933895924E-2</c:v>
                </c:pt>
                <c:pt idx="11">
                  <c:v>8.7289029535864981E-2</c:v>
                </c:pt>
                <c:pt idx="12">
                  <c:v>8.5003516174402244E-2</c:v>
                </c:pt>
                <c:pt idx="13">
                  <c:v>8.7816455696202528E-2</c:v>
                </c:pt>
                <c:pt idx="14">
                  <c:v>0.4310829817158931</c:v>
                </c:pt>
                <c:pt idx="15">
                  <c:v>#N/A</c:v>
                </c:pt>
                <c:pt idx="16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48C-4F04-974A-36C28D5B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76"/>
        <c:axId val="126191440"/>
        <c:axId val="23943600"/>
      </c:barChart>
      <c:catAx>
        <c:axId val="12619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crossAx val="23943600"/>
        <c:crosses val="autoZero"/>
        <c:auto val="1"/>
        <c:lblAlgn val="ctr"/>
        <c:lblOffset val="100"/>
        <c:noMultiLvlLbl val="0"/>
      </c:catAx>
      <c:valAx>
        <c:axId val="23943600"/>
        <c:scaling>
          <c:orientation val="minMax"/>
          <c:max val="1.02"/>
          <c:min val="-2.403980446927374E-3"/>
        </c:scaling>
        <c:delete val="0"/>
        <c:axPos val="l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6191440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57142857142857"/>
          <c:y val="5.5813953488372092E-2"/>
          <c:w val="0.7857142857142857"/>
          <c:h val="0.93023255813953487"/>
        </c:manualLayout>
      </c:layout>
      <c:barChart>
        <c:barDir val="bar"/>
        <c:grouping val="stacked"/>
        <c:varyColors val="0"/>
        <c:ser>
          <c:idx val="0"/>
          <c:order val="0"/>
          <c:tx>
            <c:v>AC bar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65D-44C4-8112-0A6506EB5DF1}"/>
                </c:ext>
              </c:extLst>
            </c:dLbl>
            <c:dLbl>
              <c:idx val="1"/>
              <c:tx>
                <c:strRef>
                  <c:f>'C06F'!$W$12</c:f>
                  <c:strCache>
                    <c:ptCount val="1"/>
                    <c:pt idx="0">
                      <c:v>10,315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{B15DA771-53AA-4114-A687-9A27C457CD08}</c15:txfldGUID>
                      <c15:f>'C06F'!$W$12</c15:f>
                      <c15:dlblFieldTableCache>
                        <c:ptCount val="1"/>
                        <c:pt idx="0">
                          <c:v>10,315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65D-44C4-8112-0A6506EB5DF1}"/>
                </c:ext>
              </c:extLst>
            </c:dLbl>
            <c:dLbl>
              <c:idx val="2"/>
              <c:tx>
                <c:strRef>
                  <c:f>'C06F'!$W$13</c:f>
                  <c:strCache>
                    <c:ptCount val="1"/>
                    <c:pt idx="0">
                      <c:v>4,777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{3380A1D3-7B40-41F1-BFE4-BBD84735EECC}</c15:txfldGUID>
                      <c15:f>'C06F'!$W$13</c15:f>
                      <c15:dlblFieldTableCache>
                        <c:ptCount val="1"/>
                        <c:pt idx="0">
                          <c:v>4,777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65D-44C4-8112-0A6506EB5DF1}"/>
                </c:ext>
              </c:extLst>
            </c:dLbl>
            <c:dLbl>
              <c:idx val="3"/>
              <c:tx>
                <c:strRef>
                  <c:f>'C06F'!$W$14</c:f>
                  <c:strCache>
                    <c:ptCount val="1"/>
                    <c:pt idx="0">
                      <c:v>2,830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{7E9DFC4B-AD47-4528-8967-8268A6A6758F}</c15:txfldGUID>
                      <c15:f>'C06F'!$W$14</c15:f>
                      <c15:dlblFieldTableCache>
                        <c:ptCount val="1"/>
                        <c:pt idx="0">
                          <c:v>2,830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65D-44C4-8112-0A6506EB5DF1}"/>
                </c:ext>
              </c:extLst>
            </c:dLbl>
            <c:dLbl>
              <c:idx val="4"/>
              <c:tx>
                <c:strRef>
                  <c:f>'C06F'!$W$15</c:f>
                  <c:strCache>
                    <c:ptCount val="1"/>
                    <c:pt idx="0">
                      <c:v>3,359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{BA42DA86-78EB-460A-92D7-8FF9EE194EEE}</c15:txfldGUID>
                      <c15:f>'C06F'!$W$15</c15:f>
                      <c15:dlblFieldTableCache>
                        <c:ptCount val="1"/>
                        <c:pt idx="0">
                          <c:v>3,359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65D-44C4-8112-0A6506EB5DF1}"/>
                </c:ext>
              </c:extLst>
            </c:dLbl>
            <c:dLbl>
              <c:idx val="5"/>
              <c:tx>
                <c:strRef>
                  <c:f>'C06F'!$W$16</c:f>
                  <c:strCache>
                    <c:ptCount val="1"/>
                    <c:pt idx="0">
                      <c:v>4,084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{81EA2586-9A85-4361-A5CC-14E33B615C6C}</c15:txfldGUID>
                      <c15:f>'C06F'!$W$16</c15:f>
                      <c15:dlblFieldTableCache>
                        <c:ptCount val="1"/>
                        <c:pt idx="0">
                          <c:v>4,084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65D-44C4-8112-0A6506EB5DF1}"/>
                </c:ext>
              </c:extLst>
            </c:dLbl>
            <c:dLbl>
              <c:idx val="6"/>
              <c:tx>
                <c:strRef>
                  <c:f>'C06F'!$W$17</c:f>
                  <c:strCache>
                    <c:ptCount val="1"/>
                    <c:pt idx="0">
                      <c:v>2,445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{92D13AC7-8CE7-4D89-963C-88A5770AFA25}</c15:txfldGUID>
                      <c15:f>'C06F'!$W$17</c15:f>
                      <c15:dlblFieldTableCache>
                        <c:ptCount val="1"/>
                        <c:pt idx="0">
                          <c:v>2,445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65D-44C4-8112-0A6506EB5DF1}"/>
                </c:ext>
              </c:extLst>
            </c:dLbl>
            <c:dLbl>
              <c:idx val="7"/>
              <c:tx>
                <c:strRef>
                  <c:f>'C06F'!$W$18</c:f>
                  <c:strCache>
                    <c:ptCount val="1"/>
                    <c:pt idx="0">
                      <c:v>2,240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{DD45D22F-5C35-43E6-AEDE-536A04DA05B3}</c15:txfldGUID>
                      <c15:f>'C06F'!$W$18</c15:f>
                      <c15:dlblFieldTableCache>
                        <c:ptCount val="1"/>
                        <c:pt idx="0">
                          <c:v>2,240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65D-44C4-8112-0A6506EB5DF1}"/>
                </c:ext>
              </c:extLst>
            </c:dLbl>
            <c:dLbl>
              <c:idx val="8"/>
              <c:tx>
                <c:strRef>
                  <c:f>'C06F'!$W$19</c:f>
                  <c:strCache>
                    <c:ptCount val="1"/>
                    <c:pt idx="0">
                      <c:v>2,414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{C91E1E87-C749-4F44-9530-7BE36E8E833E}</c15:txfldGUID>
                      <c15:f>'C06F'!$W$19</c15:f>
                      <c15:dlblFieldTableCache>
                        <c:ptCount val="1"/>
                        <c:pt idx="0">
                          <c:v>2,414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65D-44C4-8112-0A6506EB5DF1}"/>
                </c:ext>
              </c:extLst>
            </c:dLbl>
            <c:dLbl>
              <c:idx val="9"/>
              <c:tx>
                <c:strRef>
                  <c:f>'C06F'!$W$20</c:f>
                  <c:strCache>
                    <c:ptCount val="1"/>
                    <c:pt idx="0">
                      <c:v>2,775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{E90DE732-228A-459F-A699-483F55502B3D}</c15:txfldGUID>
                      <c15:f>'C06F'!$W$20</c15:f>
                      <c15:dlblFieldTableCache>
                        <c:ptCount val="1"/>
                        <c:pt idx="0">
                          <c:v>2,775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65D-44C4-8112-0A6506EB5DF1}"/>
                </c:ext>
              </c:extLst>
            </c:dLbl>
            <c:dLbl>
              <c:idx val="10"/>
              <c:tx>
                <c:strRef>
                  <c:f>'C06F'!$W$21</c:f>
                  <c:strCache>
                    <c:ptCount val="1"/>
                    <c:pt idx="0">
                      <c:v>10,261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{51E52335-EFF9-48A0-99F2-1440ACB1AD80}</c15:txfldGUID>
                      <c15:f>'C06F'!$W$21</c15:f>
                      <c15:dlblFieldTableCache>
                        <c:ptCount val="1"/>
                        <c:pt idx="0">
                          <c:v>10,261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65D-44C4-8112-0A6506EB5DF1}"/>
                </c:ext>
              </c:extLst>
            </c:dLbl>
            <c:dLbl>
              <c:idx val="11"/>
              <c:tx>
                <c:strRef>
                  <c:f>'C06F'!$W$22</c:f>
                  <c:strCache>
                    <c:ptCount val="1"/>
                    <c:pt idx="0">
                      <c:v>37,674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{371224B8-AC27-42E0-B846-790E90D8D73A}</c15:txfldGUID>
                      <c15:f>'C06F'!$W$22</c15:f>
                      <c15:dlblFieldTableCache>
                        <c:ptCount val="1"/>
                        <c:pt idx="0">
                          <c:v>37,674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565D-44C4-8112-0A6506EB5DF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65D-44C4-8112-0A6506EB5DF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65D-44C4-8112-0A6506EB5DF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65D-44C4-8112-0A6506EB5DF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65D-44C4-8112-0A6506EB5DF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65D-44C4-8112-0A6506EB5DF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65D-44C4-8112-0A6506EB5DF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65D-44C4-8112-0A6506EB5DF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65D-44C4-8112-0A6506EB5DF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'C06F'!$V$11:$V$30</c:f>
              <c:numCache>
                <c:formatCode>0.000000</c:formatCode>
                <c:ptCount val="20"/>
                <c:pt idx="0">
                  <c:v>0</c:v>
                </c:pt>
                <c:pt idx="1">
                  <c:v>0.12401712073484503</c:v>
                </c:pt>
                <c:pt idx="2">
                  <c:v>5.743381345131892E-2</c:v>
                </c:pt>
                <c:pt idx="3">
                  <c:v>3.4025055906893982E-2</c:v>
                </c:pt>
                <c:pt idx="4">
                  <c:v>4.038521653401303E-2</c:v>
                </c:pt>
                <c:pt idx="5">
                  <c:v>4.9101882799913434E-2</c:v>
                </c:pt>
                <c:pt idx="6">
                  <c:v>2.9396205545002045E-2</c:v>
                </c:pt>
                <c:pt idx="7">
                  <c:v>2.6931493014643999E-2</c:v>
                </c:pt>
                <c:pt idx="8">
                  <c:v>2.9023492918460094E-2</c:v>
                </c:pt>
                <c:pt idx="9">
                  <c:v>3.3363791569480848E-2</c:v>
                </c:pt>
                <c:pt idx="10">
                  <c:v>0.12336787938538486</c:v>
                </c:pt>
                <c:pt idx="11">
                  <c:v>0.45295404814004375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65D-44C4-8112-0A6506EB5DF1}"/>
            </c:ext>
          </c:extLst>
        </c:ser>
        <c:ser>
          <c:idx val="1"/>
          <c:order val="1"/>
          <c:tx>
            <c:v>PY short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'C06F'!$X$11:$X$30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65D-44C4-8112-0A6506EB5DF1}"/>
            </c:ext>
          </c:extLst>
        </c:ser>
        <c:ser>
          <c:idx val="2"/>
          <c:order val="2"/>
          <c:tx>
            <c:v>PL bar</c:v>
          </c:tx>
          <c:spPr>
            <a:solidFill>
              <a:srgbClr val="FFFFFF"/>
            </a:solidFill>
            <a:ln w="9525">
              <a:solidFill>
                <a:srgbClr val="404040"/>
              </a:solidFill>
            </a:ln>
          </c:spPr>
          <c:invertIfNegative val="0"/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'C06F'!$Y$11:$Y$30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65D-44C4-8112-0A6506EB5DF1}"/>
            </c:ext>
          </c:extLst>
        </c:ser>
        <c:ser>
          <c:idx val="3"/>
          <c:order val="3"/>
          <c:tx>
            <c:v>PY bar</c:v>
          </c:tx>
          <c:spPr>
            <a:solidFill>
              <a:srgbClr val="A6A6A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'C06F'!$AB$11</c:f>
                  <c:strCache>
                    <c:ptCount val="1"/>
                    <c:pt idx="0">
                      <c:v>74,424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{9AF13AF1-A85B-4322-B7D1-5D89515EF270}</c15:txfldGUID>
                      <c15:f>'C06F'!$AB$11</c15:f>
                      <c15:dlblFieldTableCache>
                        <c:ptCount val="1"/>
                        <c:pt idx="0">
                          <c:v>74,424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3-565D-44C4-8112-0A6506EB5DF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565D-44C4-8112-0A6506EB5DF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565D-44C4-8112-0A6506EB5D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565D-44C4-8112-0A6506EB5DF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565D-44C4-8112-0A6506EB5DF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565D-44C4-8112-0A6506EB5DF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565D-44C4-8112-0A6506EB5DF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565D-44C4-8112-0A6506EB5DF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565D-44C4-8112-0A6506EB5DF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565D-44C4-8112-0A6506EB5DF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565D-44C4-8112-0A6506EB5DF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565D-44C4-8112-0A6506EB5DF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565D-44C4-8112-0A6506EB5DF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565D-44C4-8112-0A6506EB5DF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565D-44C4-8112-0A6506EB5DF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565D-44C4-8112-0A6506EB5DF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565D-44C4-8112-0A6506EB5DF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565D-44C4-8112-0A6506EB5DF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565D-44C4-8112-0A6506EB5DF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565D-44C4-8112-0A6506EB5DF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'C06F'!$AA$11:$AA$30</c:f>
              <c:numCache>
                <c:formatCode>0.000000</c:formatCode>
                <c:ptCount val="20"/>
                <c:pt idx="0">
                  <c:v>0.89479885541154691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565D-44C4-8112-0A6506EB5DF1}"/>
            </c:ext>
          </c:extLst>
        </c:ser>
        <c:ser>
          <c:idx val="4"/>
          <c:order val="4"/>
          <c:tx>
            <c:v>AC total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565D-44C4-8112-0A6506EB5DF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565D-44C4-8112-0A6506EB5DF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565D-44C4-8112-0A6506EB5DF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565D-44C4-8112-0A6506EB5DF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565D-44C4-8112-0A6506EB5DF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565D-44C4-8112-0A6506EB5DF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565D-44C4-8112-0A6506EB5DF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565D-44C4-8112-0A6506EB5DF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565D-44C4-8112-0A6506EB5DF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565D-44C4-8112-0A6506EB5DF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565D-44C4-8112-0A6506EB5DF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565D-44C4-8112-0A6506EB5DF1}"/>
                </c:ext>
              </c:extLst>
            </c:dLbl>
            <c:dLbl>
              <c:idx val="12"/>
              <c:tx>
                <c:strRef>
                  <c:f>'C06F'!$AD$23</c:f>
                  <c:strCache>
                    <c:ptCount val="1"/>
                    <c:pt idx="0">
                      <c:v>83,174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{69649F84-6630-40B3-9505-0B4C612A7694}</c15:txfldGUID>
                      <c15:f>'C06F'!$AD$23</c15:f>
                      <c15:dlblFieldTableCache>
                        <c:ptCount val="1"/>
                        <c:pt idx="0">
                          <c:v>83,174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54-565D-44C4-8112-0A6506EB5DF1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565D-44C4-8112-0A6506EB5DF1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565D-44C4-8112-0A6506EB5DF1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565D-44C4-8112-0A6506EB5DF1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8-565D-44C4-8112-0A6506EB5DF1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565D-44C4-8112-0A6506EB5DF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A-565D-44C4-8112-0A6506EB5DF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565D-44C4-8112-0A6506EB5DF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'C06F'!$AC$11:$AC$30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565D-44C4-8112-0A6506EB5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6177984"/>
        <c:axId val="23883120"/>
      </c:barChart>
      <c:catAx>
        <c:axId val="1261779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883120"/>
        <c:crosses val="autoZero"/>
        <c:auto val="1"/>
        <c:lblAlgn val="ctr"/>
        <c:lblOffset val="100"/>
        <c:noMultiLvlLbl val="0"/>
      </c:catAx>
      <c:valAx>
        <c:axId val="23883120"/>
        <c:scaling>
          <c:orientation val="minMax"/>
          <c:max val="1.02"/>
          <c:min val="0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6177984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"/>
          <c:y val="5.5813953488372092E-2"/>
          <c:w val="0.8571428571428571"/>
          <c:h val="0.93023255813953487"/>
        </c:manualLayout>
      </c:layout>
      <c:barChart>
        <c:barDir val="bar"/>
        <c:grouping val="stacked"/>
        <c:varyColors val="0"/>
        <c:ser>
          <c:idx val="0"/>
          <c:order val="0"/>
          <c:tx>
            <c:v>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'C06F'!$AE$11:$AE$30</c:f>
              <c:numCache>
                <c:formatCode>0.000000</c:formatCode>
                <c:ptCount val="20"/>
                <c:pt idx="0">
                  <c:v>0</c:v>
                </c:pt>
                <c:pt idx="1">
                  <c:v>0.89479885541154691</c:v>
                </c:pt>
                <c:pt idx="2">
                  <c:v>0.90290234929184598</c:v>
                </c:pt>
                <c:pt idx="3">
                  <c:v>0.91075336042513289</c:v>
                </c:pt>
                <c:pt idx="4">
                  <c:v>0.91825570490778363</c:v>
                </c:pt>
                <c:pt idx="5">
                  <c:v>0.92461586553490271</c:v>
                </c:pt>
                <c:pt idx="6">
                  <c:v>0.93001418712578454</c:v>
                </c:pt>
                <c:pt idx="7">
                  <c:v>0.93334455478875611</c:v>
                </c:pt>
                <c:pt idx="8">
                  <c:v>0.93636232476495063</c:v>
                </c:pt>
                <c:pt idx="9">
                  <c:v>0.9390314280905091</c:v>
                </c:pt>
                <c:pt idx="10">
                  <c:v>0.94079880731959509</c:v>
                </c:pt>
                <c:pt idx="11">
                  <c:v>0.94126770384976077</c:v>
                </c:pt>
                <c:pt idx="12">
                  <c:v>0</c:v>
                </c:pt>
                <c:pt idx="13">
                  <c:v>0.89479885541154691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08-4420-A44F-DE64EC945C50}"/>
            </c:ext>
          </c:extLst>
        </c:ser>
        <c:ser>
          <c:idx val="1"/>
          <c:order val="1"/>
          <c:tx>
            <c:v>step up</c:v>
          </c:tx>
          <c:spPr>
            <a:solidFill>
              <a:srgbClr val="8CB4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08-4420-A44F-DE64EC945C50}"/>
                </c:ext>
              </c:extLst>
            </c:dLbl>
            <c:dLbl>
              <c:idx val="1"/>
              <c:tx>
                <c:strRef>
                  <c:f>'C06F'!$AG$12</c:f>
                  <c:strCache>
                    <c:ptCount val="1"/>
                    <c:pt idx="0">
                      <c:v>+674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{26F26ABD-BC47-4EFA-A9F3-4C6BD56F8362}</c15:txfldGUID>
                      <c15:f>'C06F'!$AG$12</c15:f>
                      <c15:dlblFieldTableCache>
                        <c:ptCount val="1"/>
                        <c:pt idx="0">
                          <c:v>+674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6B08-4420-A44F-DE64EC945C50}"/>
                </c:ext>
              </c:extLst>
            </c:dLbl>
            <c:dLbl>
              <c:idx val="2"/>
              <c:tx>
                <c:strRef>
                  <c:f>'C06F'!$AG$13</c:f>
                  <c:strCache>
                    <c:ptCount val="1"/>
                    <c:pt idx="0">
                      <c:v>+653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{85D71EAE-FC83-4CC9-A0E2-0BE044CE2118}</c15:txfldGUID>
                      <c15:f>'C06F'!$AG$13</c15:f>
                      <c15:dlblFieldTableCache>
                        <c:ptCount val="1"/>
                        <c:pt idx="0">
                          <c:v>+653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6B08-4420-A44F-DE64EC945C50}"/>
                </c:ext>
              </c:extLst>
            </c:dLbl>
            <c:dLbl>
              <c:idx val="3"/>
              <c:tx>
                <c:strRef>
                  <c:f>'C06F'!$AG$14</c:f>
                  <c:strCache>
                    <c:ptCount val="1"/>
                    <c:pt idx="0">
                      <c:v>+624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{5FA4E027-E8B7-4D15-B617-64931629836F}</c15:txfldGUID>
                      <c15:f>'C06F'!$AG$14</c15:f>
                      <c15:dlblFieldTableCache>
                        <c:ptCount val="1"/>
                        <c:pt idx="0">
                          <c:v>+624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6B08-4420-A44F-DE64EC945C50}"/>
                </c:ext>
              </c:extLst>
            </c:dLbl>
            <c:dLbl>
              <c:idx val="4"/>
              <c:tx>
                <c:strRef>
                  <c:f>'C06F'!$AG$15</c:f>
                  <c:strCache>
                    <c:ptCount val="1"/>
                    <c:pt idx="0">
                      <c:v>+529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{D26F5BC9-9B07-4E67-BC09-8CEE37C5D0A2}</c15:txfldGUID>
                      <c15:f>'C06F'!$AG$15</c15:f>
                      <c15:dlblFieldTableCache>
                        <c:ptCount val="1"/>
                        <c:pt idx="0">
                          <c:v>+529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6B08-4420-A44F-DE64EC945C50}"/>
                </c:ext>
              </c:extLst>
            </c:dLbl>
            <c:dLbl>
              <c:idx val="5"/>
              <c:tx>
                <c:strRef>
                  <c:f>'C06F'!$AG$16</c:f>
                  <c:strCache>
                    <c:ptCount val="1"/>
                    <c:pt idx="0">
                      <c:v>+449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{D9BB14DB-3E0C-4781-88B4-2BE9CABAB9AE}</c15:txfldGUID>
                      <c15:f>'C06F'!$AG$16</c15:f>
                      <c15:dlblFieldTableCache>
                        <c:ptCount val="1"/>
                        <c:pt idx="0">
                          <c:v>+449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6B08-4420-A44F-DE64EC945C50}"/>
                </c:ext>
              </c:extLst>
            </c:dLbl>
            <c:dLbl>
              <c:idx val="6"/>
              <c:tx>
                <c:strRef>
                  <c:f>'C06F'!$AG$17</c:f>
                  <c:strCache>
                    <c:ptCount val="1"/>
                    <c:pt idx="0">
                      <c:v>+277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{8F7E6FB3-9BEE-4430-9865-51A321C5D5EE}</c15:txfldGUID>
                      <c15:f>'C06F'!$AG$17</c15:f>
                      <c15:dlblFieldTableCache>
                        <c:ptCount val="1"/>
                        <c:pt idx="0">
                          <c:v>+277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6B08-4420-A44F-DE64EC945C50}"/>
                </c:ext>
              </c:extLst>
            </c:dLbl>
            <c:dLbl>
              <c:idx val="7"/>
              <c:tx>
                <c:strRef>
                  <c:f>'C06F'!$AG$18</c:f>
                  <c:strCache>
                    <c:ptCount val="1"/>
                    <c:pt idx="0">
                      <c:v>+251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{8A03D6A1-EFFD-4957-B357-ABF7E1F7C6D3}</c15:txfldGUID>
                      <c15:f>'C06F'!$AG$18</c15:f>
                      <c15:dlblFieldTableCache>
                        <c:ptCount val="1"/>
                        <c:pt idx="0">
                          <c:v>+251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6B08-4420-A44F-DE64EC945C50}"/>
                </c:ext>
              </c:extLst>
            </c:dLbl>
            <c:dLbl>
              <c:idx val="8"/>
              <c:tx>
                <c:strRef>
                  <c:f>'C06F'!$AG$19</c:f>
                  <c:strCache>
                    <c:ptCount val="1"/>
                    <c:pt idx="0">
                      <c:v>+222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{7D486B16-481F-424C-B695-8FD35DECE791}</c15:txfldGUID>
                      <c15:f>'C06F'!$AG$19</c15:f>
                      <c15:dlblFieldTableCache>
                        <c:ptCount val="1"/>
                        <c:pt idx="0">
                          <c:v>+222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6B08-4420-A44F-DE64EC945C50}"/>
                </c:ext>
              </c:extLst>
            </c:dLbl>
            <c:dLbl>
              <c:idx val="9"/>
              <c:tx>
                <c:strRef>
                  <c:f>'C06F'!$AG$20</c:f>
                  <c:strCache>
                    <c:ptCount val="1"/>
                    <c:pt idx="0">
                      <c:v>+147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{735D791A-E344-4000-8655-FAFC6BFC5932}</c15:txfldGUID>
                      <c15:f>'C06F'!$AG$20</c15:f>
                      <c15:dlblFieldTableCache>
                        <c:ptCount val="1"/>
                        <c:pt idx="0">
                          <c:v>+147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6B08-4420-A44F-DE64EC945C50}"/>
                </c:ext>
              </c:extLst>
            </c:dLbl>
            <c:dLbl>
              <c:idx val="10"/>
              <c:tx>
                <c:strRef>
                  <c:f>'C06F'!$AG$21</c:f>
                  <c:strCache>
                    <c:ptCount val="1"/>
                    <c:pt idx="0">
                      <c:v>+39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{8D2DF346-2D02-4757-9CD6-B1E03A55FFB4}</c15:txfldGUID>
                      <c15:f>'C06F'!$AG$21</c15:f>
                      <c15:dlblFieldTableCache>
                        <c:ptCount val="1"/>
                        <c:pt idx="0">
                          <c:v>+39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3-6B08-4420-A44F-DE64EC945C50}"/>
                </c:ext>
              </c:extLst>
            </c:dLbl>
            <c:dLbl>
              <c:idx val="11"/>
              <c:tx>
                <c:strRef>
                  <c:f>'C06F'!$AG$22</c:f>
                  <c:strCache>
                    <c:ptCount val="1"/>
                    <c:pt idx="0">
                      <c:v>+4,885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{097B44A4-5D8A-4A8E-B932-B0DA76167F88}</c15:txfldGUID>
                      <c15:f>'C06F'!$AG$22</c15:f>
                      <c15:dlblFieldTableCache>
                        <c:ptCount val="1"/>
                        <c:pt idx="0">
                          <c:v>+4,885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4-6B08-4420-A44F-DE64EC945C5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B08-4420-A44F-DE64EC945C50}"/>
                </c:ext>
              </c:extLst>
            </c:dLbl>
            <c:dLbl>
              <c:idx val="13"/>
              <c:tx>
                <c:strRef>
                  <c:f>'C06F'!$AG$24</c:f>
                  <c:strCache>
                    <c:ptCount val="1"/>
                    <c:pt idx="0">
                      <c:v>+8,750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{780234EE-32F6-4F92-9425-6F68EA88720A}</c15:txfldGUID>
                      <c15:f>'C06F'!$AG$24</c15:f>
                      <c15:dlblFieldTableCache>
                        <c:ptCount val="1"/>
                        <c:pt idx="0">
                          <c:v>+8,750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6-6B08-4420-A44F-DE64EC945C5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B08-4420-A44F-DE64EC945C5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B08-4420-A44F-DE64EC945C5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B08-4420-A44F-DE64EC945C5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6B08-4420-A44F-DE64EC945C5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B08-4420-A44F-DE64EC945C5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B08-4420-A44F-DE64EC945C50}"/>
                </c:ext>
              </c:extLst>
            </c:dLbl>
            <c:numFmt formatCode="\+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'C06F'!$AF$11:$AF$30</c:f>
              <c:numCache>
                <c:formatCode>0.000000</c:formatCode>
                <c:ptCount val="20"/>
                <c:pt idx="0">
                  <c:v>0</c:v>
                </c:pt>
                <c:pt idx="1">
                  <c:v>8.103493880299132E-3</c:v>
                </c:pt>
                <c:pt idx="2">
                  <c:v>7.8510111332868449E-3</c:v>
                </c:pt>
                <c:pt idx="3">
                  <c:v>7.5023444826508284E-3</c:v>
                </c:pt>
                <c:pt idx="4">
                  <c:v>6.3601606271190513E-3</c:v>
                </c:pt>
                <c:pt idx="5">
                  <c:v>5.3983215908817656E-3</c:v>
                </c:pt>
                <c:pt idx="6">
                  <c:v>3.3303676629716015E-3</c:v>
                </c:pt>
                <c:pt idx="7">
                  <c:v>3.0177699761944838E-3</c:v>
                </c:pt>
                <c:pt idx="8">
                  <c:v>2.6691033255584677E-3</c:v>
                </c:pt>
                <c:pt idx="9">
                  <c:v>1.7673792290860124E-3</c:v>
                </c:pt>
                <c:pt idx="10">
                  <c:v>4.6889653016567677E-4</c:v>
                </c:pt>
                <c:pt idx="11">
                  <c:v>5.8732296150239255E-2</c:v>
                </c:pt>
                <c:pt idx="12">
                  <c:v>0</c:v>
                </c:pt>
                <c:pt idx="13">
                  <c:v>0.10520114458845312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08-4420-A44F-DE64EC945C50}"/>
            </c:ext>
          </c:extLst>
        </c:ser>
        <c:ser>
          <c:idx val="2"/>
          <c:order val="2"/>
          <c:tx>
            <c:v>step down</c:v>
          </c:tx>
          <c:spPr>
            <a:solidFill>
              <a:srgbClr val="FF000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'C06F'!$A$11:$A$30</c:f>
              <c:strCache>
                <c:ptCount val="14"/>
                <c:pt idx="0">
                  <c:v>PY</c:v>
                </c:pt>
                <c:pt idx="1">
                  <c:v>Texas</c:v>
                </c:pt>
                <c:pt idx="2">
                  <c:v>California</c:v>
                </c:pt>
                <c:pt idx="3">
                  <c:v>New Jersey</c:v>
                </c:pt>
                <c:pt idx="4">
                  <c:v>New York</c:v>
                </c:pt>
                <c:pt idx="5">
                  <c:v>Georgia</c:v>
                </c:pt>
                <c:pt idx="6">
                  <c:v>Ohio</c:v>
                </c:pt>
                <c:pt idx="7">
                  <c:v>Arizona</c:v>
                </c:pt>
                <c:pt idx="8">
                  <c:v>Pennsylvania</c:v>
                </c:pt>
                <c:pt idx="9">
                  <c:v>Michigan</c:v>
                </c:pt>
                <c:pt idx="10">
                  <c:v>Florida</c:v>
                </c:pt>
                <c:pt idx="11">
                  <c:v>All other</c:v>
                </c:pt>
                <c:pt idx="12">
                  <c:v>AC</c:v>
                </c:pt>
                <c:pt idx="13">
                  <c:v>ΔPY</c:v>
                </c:pt>
              </c:strCache>
            </c:strRef>
          </c:cat>
          <c:val>
            <c:numRef>
              <c:f>'C06F'!$AH$11:$AH$30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B08-4420-A44F-DE64EC945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711744"/>
        <c:axId val="24004560"/>
      </c:barChart>
      <c:catAx>
        <c:axId val="1297117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47625">
            <a:solidFill>
              <a:srgbClr val="808080"/>
            </a:solidFill>
          </a:ln>
        </c:spPr>
        <c:crossAx val="24004560"/>
        <c:crosses val="autoZero"/>
        <c:auto val="1"/>
        <c:lblAlgn val="ctr"/>
        <c:lblOffset val="100"/>
        <c:noMultiLvlLbl val="0"/>
      </c:catAx>
      <c:valAx>
        <c:axId val="24004560"/>
        <c:scaling>
          <c:orientation val="minMax"/>
          <c:max val="1.0864903367966825"/>
          <c:min val="0.80830851861486441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9711744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499999999999998"/>
          <c:y val="5.9701492537313432E-2"/>
          <c:w val="0.7"/>
          <c:h val="0.92039800995024879"/>
        </c:manualLayout>
      </c:layout>
      <c:barChart>
        <c:barDir val="bar"/>
        <c:grouping val="stacked"/>
        <c:varyColors val="0"/>
        <c:ser>
          <c:idx val="0"/>
          <c:order val="0"/>
          <c:tx>
            <c:v>AC base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'C12A'!$A$11:$A$30</c:f>
              <c:strCache>
                <c:ptCount val="10"/>
                <c:pt idx="0">
                  <c:v>Premiums earned</c:v>
                </c:pt>
                <c:pt idx="1">
                  <c:v>Investment income</c:v>
                </c:pt>
                <c:pt idx="2">
                  <c:v>Other revenues</c:v>
                </c:pt>
                <c:pt idx="3">
                  <c:v>Total revenues</c:v>
                </c:pt>
                <c:pt idx="4">
                  <c:v>Losses and LAE</c:v>
                </c:pt>
                <c:pt idx="5">
                  <c:v>Acquisition costs</c:v>
                </c:pt>
                <c:pt idx="6">
                  <c:v>Other expenses</c:v>
                </c:pt>
                <c:pt idx="7">
                  <c:v>Pretax income</c:v>
                </c:pt>
                <c:pt idx="8">
                  <c:v>Income taxes</c:v>
                </c:pt>
                <c:pt idx="9">
                  <c:v>Net income</c:v>
                </c:pt>
              </c:strCache>
            </c:strRef>
          </c:cat>
          <c:val>
            <c:numRef>
              <c:f>'C12A'!$AE$11:$AE$30</c:f>
              <c:numCache>
                <c:formatCode>0.000000</c:formatCode>
                <c:ptCount val="20"/>
                <c:pt idx="0">
                  <c:v>0</c:v>
                </c:pt>
                <c:pt idx="1">
                  <c:v>0.94454909916437235</c:v>
                </c:pt>
                <c:pt idx="2">
                  <c:v>0.97459305414674202</c:v>
                </c:pt>
                <c:pt idx="3">
                  <c:v>0</c:v>
                </c:pt>
                <c:pt idx="4">
                  <c:v>0.26492134795279265</c:v>
                </c:pt>
                <c:pt idx="5">
                  <c:v>0.18981146049686839</c:v>
                </c:pt>
                <c:pt idx="6">
                  <c:v>7.8957961004041288E-2</c:v>
                </c:pt>
                <c:pt idx="7">
                  <c:v>0</c:v>
                </c:pt>
                <c:pt idx="8">
                  <c:v>6.2841134135149496E-2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1F7-417A-BF4D-1C167D07509F}"/>
            </c:ext>
          </c:extLst>
        </c:ser>
        <c:ser>
          <c:idx val="1"/>
          <c:order val="1"/>
          <c:tx>
            <c:v>AC adds</c:v>
          </c:tx>
          <c:spPr>
            <a:solidFill>
              <a:srgbClr val="40404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tx>
                <c:strRef>
                  <c:f>'C12A'!$AG$11</c:f>
                  <c:strCache>
                    <c:ptCount val="1"/>
                    <c:pt idx="0">
                      <c:v>58,665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{36777491-E506-4AC3-AAC7-60315D238134}</c15:txfldGUID>
                      <c15:f>'C12A'!$AG$11</c15:f>
                      <c15:dlblFieldTableCache>
                        <c:ptCount val="1"/>
                        <c:pt idx="0">
                          <c:v>58,665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7-61F7-417A-BF4D-1C167D07509F}"/>
                </c:ext>
              </c:extLst>
            </c:dLbl>
            <c:dLbl>
              <c:idx val="1"/>
              <c:tx>
                <c:strRef>
                  <c:f>'C12A'!$AG$12</c:f>
                  <c:strCache>
                    <c:ptCount val="1"/>
                    <c:pt idx="0">
                      <c:v>1,866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{829FAA3E-BCBA-4440-A8F8-FA08E74DBFCC}</c15:txfldGUID>
                      <c15:f>'C12A'!$AG$12</c15:f>
                      <c15:dlblFieldTableCache>
                        <c:ptCount val="1"/>
                        <c:pt idx="0">
                          <c:v>1,866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8-61F7-417A-BF4D-1C167D07509F}"/>
                </c:ext>
              </c:extLst>
            </c:dLbl>
            <c:dLbl>
              <c:idx val="2"/>
              <c:tx>
                <c:strRef>
                  <c:f>'C12A'!$AG$13</c:f>
                  <c:strCache>
                    <c:ptCount val="1"/>
                    <c:pt idx="0">
                      <c:v>1,578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{81A35EFD-9366-4141-8404-8F1C08042DBA}</c15:txfldGUID>
                      <c15:f>'C12A'!$AG$13</c15:f>
                      <c15:dlblFieldTableCache>
                        <c:ptCount val="1"/>
                        <c:pt idx="0">
                          <c:v>1,578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9-61F7-417A-BF4D-1C167D07509F}"/>
                </c:ext>
              </c:extLst>
            </c:dLbl>
            <c:dLbl>
              <c:idx val="3"/>
              <c:tx>
                <c:strRef>
                  <c:f>'C12A'!$AG$14</c:f>
                  <c:strCache>
                    <c:ptCount val="1"/>
                    <c:pt idx="0">
                      <c:v>62,109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{907BBB8A-1B47-4065-8F9F-C20A255D45F2}</c15:txfldGUID>
                      <c15:f>'C12A'!$AG$14</c15:f>
                      <c15:dlblFieldTableCache>
                        <c:ptCount val="1"/>
                        <c:pt idx="0">
                          <c:v>62,109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A-61F7-417A-BF4D-1C167D07509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F7-417A-BF4D-1C167D07509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F7-417A-BF4D-1C167D07509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1F7-417A-BF4D-1C167D07509F}"/>
                </c:ext>
              </c:extLst>
            </c:dLbl>
            <c:dLbl>
              <c:idx val="7"/>
              <c:tx>
                <c:strRef>
                  <c:f>'C12A'!$AG$18</c:f>
                  <c:strCache>
                    <c:ptCount val="1"/>
                    <c:pt idx="0">
                      <c:v>4,904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{53677B25-DBEB-4CE7-80CA-B3236683EEC9}</c15:txfldGUID>
                      <c15:f>'C12A'!$AG$18</c15:f>
                      <c15:dlblFieldTableCache>
                        <c:ptCount val="1"/>
                        <c:pt idx="0">
                          <c:v>4,904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B-61F7-417A-BF4D-1C167D07509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1F7-417A-BF4D-1C167D07509F}"/>
                </c:ext>
              </c:extLst>
            </c:dLbl>
            <c:dLbl>
              <c:idx val="9"/>
              <c:tx>
                <c:strRef>
                  <c:f>'C12A'!$AG$20</c:f>
                  <c:strCache>
                    <c:ptCount val="1"/>
                    <c:pt idx="0">
                      <c:v>3,903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{798B73EE-5711-4D2C-B69D-968A899B7092}</c15:txfldGUID>
                      <c15:f>'C12A'!$AG$20</c15:f>
                      <c15:dlblFieldTableCache>
                        <c:ptCount val="1"/>
                        <c:pt idx="0">
                          <c:v>3,903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C-61F7-417A-BF4D-1C167D07509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1F7-417A-BF4D-1C167D07509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1F7-417A-BF4D-1C167D07509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1F7-417A-BF4D-1C167D07509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61F7-417A-BF4D-1C167D07509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1F7-417A-BF4D-1C167D07509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1F7-417A-BF4D-1C167D07509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1F7-417A-BF4D-1C167D07509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1F7-417A-BF4D-1C167D07509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1F7-417A-BF4D-1C167D07509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61F7-417A-BF4D-1C167D0750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'C12A'!$A$11:$A$30</c:f>
              <c:strCache>
                <c:ptCount val="10"/>
                <c:pt idx="0">
                  <c:v>Premiums earned</c:v>
                </c:pt>
                <c:pt idx="1">
                  <c:v>Investment income</c:v>
                </c:pt>
                <c:pt idx="2">
                  <c:v>Other revenues</c:v>
                </c:pt>
                <c:pt idx="3">
                  <c:v>Total revenues</c:v>
                </c:pt>
                <c:pt idx="4">
                  <c:v>Losses and LAE</c:v>
                </c:pt>
                <c:pt idx="5">
                  <c:v>Acquisition costs</c:v>
                </c:pt>
                <c:pt idx="6">
                  <c:v>Other expenses</c:v>
                </c:pt>
                <c:pt idx="7">
                  <c:v>Pretax income</c:v>
                </c:pt>
                <c:pt idx="8">
                  <c:v>Income taxes</c:v>
                </c:pt>
                <c:pt idx="9">
                  <c:v>Net income</c:v>
                </c:pt>
              </c:strCache>
            </c:strRef>
          </c:cat>
          <c:val>
            <c:numRef>
              <c:f>'C12A'!$AF$11:$AF$30</c:f>
              <c:numCache>
                <c:formatCode>0.000000</c:formatCode>
                <c:ptCount val="20"/>
                <c:pt idx="0">
                  <c:v>0.94454909916437235</c:v>
                </c:pt>
                <c:pt idx="1">
                  <c:v>3.0043954982369704E-2</c:v>
                </c:pt>
                <c:pt idx="2">
                  <c:v>2.5406945853257982E-2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7.8957961004041288E-2</c:v>
                </c:pt>
                <c:pt idx="8">
                  <c:v>0</c:v>
                </c:pt>
                <c:pt idx="9">
                  <c:v>6.2841134135149496E-2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1F7-417A-BF4D-1C167D07509F}"/>
            </c:ext>
          </c:extLst>
        </c:ser>
        <c:ser>
          <c:idx val="2"/>
          <c:order val="2"/>
          <c:tx>
            <c:v>AC subs</c:v>
          </c:tx>
          <c:spPr>
            <a:solidFill>
              <a:srgbClr val="7F7F7F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1F7-417A-BF4D-1C167D07509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61F7-417A-BF4D-1C167D07509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1F7-417A-BF4D-1C167D07509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1F7-417A-BF4D-1C167D07509F}"/>
                </c:ext>
              </c:extLst>
            </c:dLbl>
            <c:dLbl>
              <c:idx val="4"/>
              <c:tx>
                <c:strRef>
                  <c:f>'C12A'!$AI$15</c:f>
                  <c:strCache>
                    <c:ptCount val="1"/>
                    <c:pt idx="0">
                      <c:v>45,655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{6F0F9F63-D1B5-4A4C-B1AF-BBE1EA7E9AFC}</c15:txfldGUID>
                      <c15:f>'C12A'!$AI$15</c15:f>
                      <c15:dlblFieldTableCache>
                        <c:ptCount val="1"/>
                        <c:pt idx="0">
                          <c:v>45,655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E-61F7-417A-BF4D-1C167D07509F}"/>
                </c:ext>
              </c:extLst>
            </c:dLbl>
            <c:dLbl>
              <c:idx val="5"/>
              <c:tx>
                <c:strRef>
                  <c:f>'C12A'!$AI$16</c:f>
                  <c:strCache>
                    <c:ptCount val="1"/>
                    <c:pt idx="0">
                      <c:v>4,665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{0CA7DE1B-EEF2-4E05-9C6B-3E63C6F1A15C}</c15:txfldGUID>
                      <c15:f>'C12A'!$AI$16</c15:f>
                      <c15:dlblFieldTableCache>
                        <c:ptCount val="1"/>
                        <c:pt idx="0">
                          <c:v>4,665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2F-61F7-417A-BF4D-1C167D07509F}"/>
                </c:ext>
              </c:extLst>
            </c:dLbl>
            <c:dLbl>
              <c:idx val="6"/>
              <c:tx>
                <c:strRef>
                  <c:f>'C12A'!$AI$17</c:f>
                  <c:strCache>
                    <c:ptCount val="1"/>
                    <c:pt idx="0">
                      <c:v>6,885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{3BA72277-05D6-4FE4-98CE-F0EA5EAEDB1A}</c15:txfldGUID>
                      <c15:f>'C12A'!$AI$17</c15:f>
                      <c15:dlblFieldTableCache>
                        <c:ptCount val="1"/>
                        <c:pt idx="0">
                          <c:v>6,885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0-61F7-417A-BF4D-1C167D07509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1F7-417A-BF4D-1C167D07509F}"/>
                </c:ext>
              </c:extLst>
            </c:dLbl>
            <c:dLbl>
              <c:idx val="8"/>
              <c:tx>
                <c:strRef>
                  <c:f>'C12A'!$AI$19</c:f>
                  <c:strCache>
                    <c:ptCount val="1"/>
                    <c:pt idx="0">
                      <c:v>1,001</c:v>
                    </c:pt>
                  </c:strCache>
                </c:strRef>
              </c:tx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{FCBF901E-723B-45FA-BBB2-D0CC17BE02AA}</c15:txfldGUID>
                      <c15:f>'C12A'!$AI$19</c15:f>
                      <c15:dlblFieldTableCache>
                        <c:ptCount val="1"/>
                        <c:pt idx="0">
                          <c:v>1,001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31-61F7-417A-BF4D-1C167D07509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61F7-417A-BF4D-1C167D07509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61F7-417A-BF4D-1C167D07509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61F7-417A-BF4D-1C167D07509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61F7-417A-BF4D-1C167D07509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61F7-417A-BF4D-1C167D07509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61F7-417A-BF4D-1C167D07509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61F7-417A-BF4D-1C167D07509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61F7-417A-BF4D-1C167D07509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1F7-417A-BF4D-1C167D07509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61F7-417A-BF4D-1C167D07509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61F7-417A-BF4D-1C167D0750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'C12A'!$A$11:$A$30</c:f>
              <c:strCache>
                <c:ptCount val="10"/>
                <c:pt idx="0">
                  <c:v>Premiums earned</c:v>
                </c:pt>
                <c:pt idx="1">
                  <c:v>Investment income</c:v>
                </c:pt>
                <c:pt idx="2">
                  <c:v>Other revenues</c:v>
                </c:pt>
                <c:pt idx="3">
                  <c:v>Total revenues</c:v>
                </c:pt>
                <c:pt idx="4">
                  <c:v>Losses and LAE</c:v>
                </c:pt>
                <c:pt idx="5">
                  <c:v>Acquisition costs</c:v>
                </c:pt>
                <c:pt idx="6">
                  <c:v>Other expenses</c:v>
                </c:pt>
                <c:pt idx="7">
                  <c:v>Pretax income</c:v>
                </c:pt>
                <c:pt idx="8">
                  <c:v>Income taxes</c:v>
                </c:pt>
                <c:pt idx="9">
                  <c:v>Net income</c:v>
                </c:pt>
              </c:strCache>
            </c:strRef>
          </c:cat>
          <c:val>
            <c:numRef>
              <c:f>'C12A'!$AH$11:$AH$30</c:f>
              <c:numCache>
                <c:formatCode>0.000000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0.73507865204720735</c:v>
                </c:pt>
                <c:pt idx="5">
                  <c:v>7.5109887455924257E-2</c:v>
                </c:pt>
                <c:pt idx="6">
                  <c:v>0.11085349949282712</c:v>
                </c:pt>
                <c:pt idx="7">
                  <c:v>0</c:v>
                </c:pt>
                <c:pt idx="8">
                  <c:v>1.6116826868891786E-2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1F7-417A-BF4D-1C167D075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708496"/>
        <c:axId val="23958960"/>
      </c:barChart>
      <c:catAx>
        <c:axId val="1297084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23958960"/>
        <c:crosses val="autoZero"/>
        <c:auto val="1"/>
        <c:lblAlgn val="ctr"/>
        <c:lblOffset val="100"/>
        <c:noMultiLvlLbl val="0"/>
      </c:catAx>
      <c:valAx>
        <c:axId val="23958960"/>
        <c:scaling>
          <c:orientation val="minMax"/>
          <c:max val="1.0556000000000001"/>
          <c:min val="-0.03"/>
        </c:scaling>
        <c:delete val="0"/>
        <c:axPos val="b"/>
        <c:numFmt formatCode="0.000000" sourceLinked="1"/>
        <c:majorTickMark val="none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crossAx val="129708496"/>
        <c:crosses val="max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5</xdr:row>
      <xdr:rowOff>107950</xdr:rowOff>
    </xdr:from>
    <xdr:to>
      <xdr:col>12</xdr:col>
      <xdr:colOff>381000</xdr:colOff>
      <xdr:row>67</xdr:row>
      <xdr:rowOff>171450</xdr:rowOff>
    </xdr:to>
    <xdr:graphicFrame macro="">
      <xdr:nvGraphicFramePr>
        <xdr:cNvPr id="2" name="panel_segment">
          <a:extLst>
            <a:ext uri="{FF2B5EF4-FFF2-40B4-BE49-F238E27FC236}">
              <a16:creationId xmlns:a16="http://schemas.microsoft.com/office/drawing/2014/main" id="{3C0E765D-8B2D-E6C3-0F1C-DA5696EB9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228600</xdr:colOff>
      <xdr:row>0</xdr:row>
      <xdr:rowOff>127000</xdr:rowOff>
    </xdr:from>
    <xdr:to>
      <xdr:col>12</xdr:col>
      <xdr:colOff>381000</xdr:colOff>
      <xdr:row>1</xdr:row>
      <xdr:rowOff>133350</xdr:rowOff>
    </xdr:to>
    <xdr:sp macro="" textlink="'C01A'!$B$1">
      <xdr:nvSpPr>
        <xdr:cNvPr id="3" name="title_C01A_entity">
          <a:extLst>
            <a:ext uri="{FF2B5EF4-FFF2-40B4-BE49-F238E27FC236}">
              <a16:creationId xmlns:a16="http://schemas.microsoft.com/office/drawing/2014/main" id="{97C0CC72-5084-A237-C24A-EA0F42397D80}"/>
            </a:ext>
          </a:extLst>
        </xdr:cNvPr>
        <xdr:cNvSpPr txBox="1"/>
      </xdr:nvSpPr>
      <xdr:spPr>
        <a:xfrm>
          <a:off x="5175250" y="127000"/>
          <a:ext cx="381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D396049D-C1F3-46A4-A9EE-6510B0A79A97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1</xdr:row>
      <xdr:rowOff>133350</xdr:rowOff>
    </xdr:from>
    <xdr:to>
      <xdr:col>12</xdr:col>
      <xdr:colOff>381000</xdr:colOff>
      <xdr:row>2</xdr:row>
      <xdr:rowOff>139700</xdr:rowOff>
    </xdr:to>
    <xdr:sp macro="" textlink="'C01A'!$B$7">
      <xdr:nvSpPr>
        <xdr:cNvPr id="4" name="title_C01A_subject">
          <a:extLst>
            <a:ext uri="{FF2B5EF4-FFF2-40B4-BE49-F238E27FC236}">
              <a16:creationId xmlns:a16="http://schemas.microsoft.com/office/drawing/2014/main" id="{99886B58-4A2E-4080-674D-8AB5FFF0063B}"/>
            </a:ext>
          </a:extLst>
        </xdr:cNvPr>
        <xdr:cNvSpPr txBox="1"/>
      </xdr:nvSpPr>
      <xdr:spPr>
        <a:xfrm>
          <a:off x="5175250" y="317500"/>
          <a:ext cx="381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CDE6BA44-6782-40B1-B598-87A6B680DF8D}" type="TxLink">
            <a:rPr lang="en-US" sz="1100" b="1" i="0" u="none" strike="noStrike">
              <a:solidFill>
                <a:srgbClr val="808080"/>
              </a:solidFill>
              <a:latin typeface="Arial" panose="020B0604020202020204" pitchFamily="34" charset="0"/>
            </a:rPr>
            <a:pPr algn="l"/>
            <a:t>Net premiums written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2</xdr:row>
      <xdr:rowOff>139700</xdr:rowOff>
    </xdr:from>
    <xdr:to>
      <xdr:col>12</xdr:col>
      <xdr:colOff>381000</xdr:colOff>
      <xdr:row>3</xdr:row>
      <xdr:rowOff>146050</xdr:rowOff>
    </xdr:to>
    <xdr:sp macro="" textlink="'C01A'!$B$4">
      <xdr:nvSpPr>
        <xdr:cNvPr id="5" name="title_C01A_period">
          <a:extLst>
            <a:ext uri="{FF2B5EF4-FFF2-40B4-BE49-F238E27FC236}">
              <a16:creationId xmlns:a16="http://schemas.microsoft.com/office/drawing/2014/main" id="{742FB62A-9528-6A02-FE76-3E230838D5BA}"/>
            </a:ext>
          </a:extLst>
        </xdr:cNvPr>
        <xdr:cNvSpPr txBox="1"/>
      </xdr:nvSpPr>
      <xdr:spPr>
        <a:xfrm>
          <a:off x="5175250" y="508000"/>
          <a:ext cx="381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91860851-F7E7-4DA8-9FB8-3A69FAB1DE61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2021..2025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6</xdr:col>
      <xdr:colOff>228600</xdr:colOff>
      <xdr:row>3</xdr:row>
      <xdr:rowOff>146050</xdr:rowOff>
    </xdr:from>
    <xdr:to>
      <xdr:col>12</xdr:col>
      <xdr:colOff>381000</xdr:colOff>
      <xdr:row>5</xdr:row>
      <xdr:rowOff>107950</xdr:rowOff>
    </xdr:to>
    <xdr:sp macro="" textlink="'C01A'!$B$6">
      <xdr:nvSpPr>
        <xdr:cNvPr id="6" name="title_C01A_message">
          <a:extLst>
            <a:ext uri="{FF2B5EF4-FFF2-40B4-BE49-F238E27FC236}">
              <a16:creationId xmlns:a16="http://schemas.microsoft.com/office/drawing/2014/main" id="{0A90774D-0CCD-53DE-EE6D-6632AB202074}"/>
            </a:ext>
          </a:extLst>
        </xdr:cNvPr>
        <xdr:cNvSpPr txBox="1"/>
      </xdr:nvSpPr>
      <xdr:spPr>
        <a:xfrm>
          <a:off x="5175250" y="698500"/>
          <a:ext cx="381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FB2854F0-1899-416C-962C-A74C0F00B3B4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Direct auto has grown from 18,911 to 39,631 $m since 2021, +110%, and now writes 48% of premium; Texas and Florida together account for 25% of the 2025 book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228600</xdr:colOff>
      <xdr:row>5</xdr:row>
      <xdr:rowOff>107950</xdr:rowOff>
    </xdr:from>
    <xdr:to>
      <xdr:col>34</xdr:col>
      <xdr:colOff>25400</xdr:colOff>
      <xdr:row>9</xdr:row>
      <xdr:rowOff>51405</xdr:rowOff>
    </xdr:to>
    <xdr:graphicFrame macro="">
      <xdr:nvGraphicFramePr>
        <xdr:cNvPr id="2" name="panel_premium">
          <a:extLst>
            <a:ext uri="{FF2B5EF4-FFF2-40B4-BE49-F238E27FC236}">
              <a16:creationId xmlns:a16="http://schemas.microsoft.com/office/drawing/2014/main" id="{C5079044-57C1-168A-221F-0CE6CB300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22</xdr:col>
      <xdr:colOff>228600</xdr:colOff>
      <xdr:row>0</xdr:row>
      <xdr:rowOff>127000</xdr:rowOff>
    </xdr:from>
    <xdr:to>
      <xdr:col>34</xdr:col>
      <xdr:colOff>25400</xdr:colOff>
      <xdr:row>1</xdr:row>
      <xdr:rowOff>133350</xdr:rowOff>
    </xdr:to>
    <xdr:sp macro="" textlink="'C02A'!$B$1">
      <xdr:nvSpPr>
        <xdr:cNvPr id="3" name="title_C02A_entity">
          <a:extLst>
            <a:ext uri="{FF2B5EF4-FFF2-40B4-BE49-F238E27FC236}">
              <a16:creationId xmlns:a16="http://schemas.microsoft.com/office/drawing/2014/main" id="{81B467E5-997E-19CA-34C6-055FE4B8B768}"/>
            </a:ext>
          </a:extLst>
        </xdr:cNvPr>
        <xdr:cNvSpPr txBox="1"/>
      </xdr:nvSpPr>
      <xdr:spPr>
        <a:xfrm>
          <a:off x="14928850" y="127000"/>
          <a:ext cx="711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33CB798D-86B3-4D24-BAEF-F4B59143A510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1</xdr:row>
      <xdr:rowOff>133350</xdr:rowOff>
    </xdr:from>
    <xdr:to>
      <xdr:col>34</xdr:col>
      <xdr:colOff>25400</xdr:colOff>
      <xdr:row>2</xdr:row>
      <xdr:rowOff>139700</xdr:rowOff>
    </xdr:to>
    <xdr:sp macro="" textlink="'C02A'!$B$7">
      <xdr:nvSpPr>
        <xdr:cNvPr id="4" name="title_C02A_subject">
          <a:extLst>
            <a:ext uri="{FF2B5EF4-FFF2-40B4-BE49-F238E27FC236}">
              <a16:creationId xmlns:a16="http://schemas.microsoft.com/office/drawing/2014/main" id="{FD2BBCB2-5AD6-E6C5-7D8D-C86B751405CF}"/>
            </a:ext>
          </a:extLst>
        </xdr:cNvPr>
        <xdr:cNvSpPr txBox="1"/>
      </xdr:nvSpPr>
      <xdr:spPr>
        <a:xfrm>
          <a:off x="14928850" y="317500"/>
          <a:ext cx="711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3C46B448-645C-4604-92E9-41A7248A7CA0}" type="TxLink">
            <a:rPr lang="en-US" sz="1100" b="1" i="0" u="none" strike="noStrike">
              <a:solidFill>
                <a:srgbClr val="808080"/>
              </a:solidFill>
              <a:latin typeface="Arial" panose="020B0604020202020204" pitchFamily="34" charset="0"/>
            </a:rPr>
            <a:pPr algn="l"/>
            <a:t>Net premiums earned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2</xdr:row>
      <xdr:rowOff>139700</xdr:rowOff>
    </xdr:from>
    <xdr:to>
      <xdr:col>34</xdr:col>
      <xdr:colOff>25400</xdr:colOff>
      <xdr:row>3</xdr:row>
      <xdr:rowOff>146050</xdr:rowOff>
    </xdr:to>
    <xdr:sp macro="" textlink="'C02A'!$B$4">
      <xdr:nvSpPr>
        <xdr:cNvPr id="5" name="title_C02A_period">
          <a:extLst>
            <a:ext uri="{FF2B5EF4-FFF2-40B4-BE49-F238E27FC236}">
              <a16:creationId xmlns:a16="http://schemas.microsoft.com/office/drawing/2014/main" id="{30544FE9-0D63-BACB-29B6-EDB8AD57944F}"/>
            </a:ext>
          </a:extLst>
        </xdr:cNvPr>
        <xdr:cNvSpPr txBox="1"/>
      </xdr:nvSpPr>
      <xdr:spPr>
        <a:xfrm>
          <a:off x="14928850" y="508000"/>
          <a:ext cx="7112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A669C7AD-2E70-448E-9BF8-799143AA13E7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22</xdr:col>
      <xdr:colOff>228600</xdr:colOff>
      <xdr:row>3</xdr:row>
      <xdr:rowOff>146050</xdr:rowOff>
    </xdr:from>
    <xdr:to>
      <xdr:col>34</xdr:col>
      <xdr:colOff>25400</xdr:colOff>
      <xdr:row>5</xdr:row>
      <xdr:rowOff>107950</xdr:rowOff>
    </xdr:to>
    <xdr:sp macro="" textlink="'C02A'!$B$6">
      <xdr:nvSpPr>
        <xdr:cNvPr id="6" name="title_C02A_message">
          <a:extLst>
            <a:ext uri="{FF2B5EF4-FFF2-40B4-BE49-F238E27FC236}">
              <a16:creationId xmlns:a16="http://schemas.microsoft.com/office/drawing/2014/main" id="{90896C65-D5B9-CE15-6B04-A7453665CC07}"/>
            </a:ext>
          </a:extLst>
        </xdr:cNvPr>
        <xdr:cNvSpPr txBox="1"/>
      </xdr:nvSpPr>
      <xdr:spPr>
        <a:xfrm>
          <a:off x="14928850" y="698500"/>
          <a:ext cx="7112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E35F6545-A13D-4C9F-8E5B-6BA0248F6E1F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Of 81,659 $m earned in 2025, 53,866 went to losses and 17,523 to expenses, leaving an underwriting result of 10,270 $m (12.6%); Property keeps the largest share of its premium at 24.9% and Direct auto the smallest at 9.9%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29</xdr:col>
      <xdr:colOff>228600</xdr:colOff>
      <xdr:row>0</xdr:row>
      <xdr:rowOff>127000</xdr:rowOff>
    </xdr:from>
    <xdr:to>
      <xdr:col>40</xdr:col>
      <xdr:colOff>127000</xdr:colOff>
      <xdr:row>1</xdr:row>
      <xdr:rowOff>127000</xdr:rowOff>
    </xdr:to>
    <xdr:sp macro="" textlink="'C03A'!$B$1">
      <xdr:nvSpPr>
        <xdr:cNvPr id="2" name="title_C03A_entity">
          <a:extLst>
            <a:ext uri="{FF2B5EF4-FFF2-40B4-BE49-F238E27FC236}">
              <a16:creationId xmlns:a16="http://schemas.microsoft.com/office/drawing/2014/main" id="{9472C67B-9ABC-536D-CEBA-F02424B5FA70}"/>
            </a:ext>
          </a:extLst>
        </xdr:cNvPr>
        <xdr:cNvSpPr txBox="1"/>
      </xdr:nvSpPr>
      <xdr:spPr>
        <a:xfrm>
          <a:off x="8674100" y="1270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A521B4C4-F89C-49DD-BF99-BDD353E6F9F1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1</xdr:row>
      <xdr:rowOff>127000</xdr:rowOff>
    </xdr:from>
    <xdr:to>
      <xdr:col>40</xdr:col>
      <xdr:colOff>127000</xdr:colOff>
      <xdr:row>2</xdr:row>
      <xdr:rowOff>127000</xdr:rowOff>
    </xdr:to>
    <xdr:sp macro="" textlink="'C03A'!$B$7">
      <xdr:nvSpPr>
        <xdr:cNvPr id="3" name="title_C03A_subject">
          <a:extLst>
            <a:ext uri="{FF2B5EF4-FFF2-40B4-BE49-F238E27FC236}">
              <a16:creationId xmlns:a16="http://schemas.microsoft.com/office/drawing/2014/main" id="{D3383707-82D1-4423-F9D1-160A5A5E31E8}"/>
            </a:ext>
          </a:extLst>
        </xdr:cNvPr>
        <xdr:cNvSpPr txBox="1"/>
      </xdr:nvSpPr>
      <xdr:spPr>
        <a:xfrm>
          <a:off x="8674100" y="3175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A0B19619-80B0-4191-9E64-F4A5133A2B48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premiums written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2</xdr:row>
      <xdr:rowOff>127000</xdr:rowOff>
    </xdr:from>
    <xdr:to>
      <xdr:col>40</xdr:col>
      <xdr:colOff>127000</xdr:colOff>
      <xdr:row>3</xdr:row>
      <xdr:rowOff>127000</xdr:rowOff>
    </xdr:to>
    <xdr:sp macro="" textlink="'C03A'!$B$4">
      <xdr:nvSpPr>
        <xdr:cNvPr id="4" name="title_C03A_period">
          <a:extLst>
            <a:ext uri="{FF2B5EF4-FFF2-40B4-BE49-F238E27FC236}">
              <a16:creationId xmlns:a16="http://schemas.microsoft.com/office/drawing/2014/main" id="{6FE23626-A0A9-FB11-9F67-BA4EF171B0D2}"/>
            </a:ext>
          </a:extLst>
        </xdr:cNvPr>
        <xdr:cNvSpPr txBox="1"/>
      </xdr:nvSpPr>
      <xdr:spPr>
        <a:xfrm>
          <a:off x="8674100" y="508000"/>
          <a:ext cx="660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080F22DF-ED27-406C-9A2B-33C8EDC09AF3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2026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3</xdr:row>
      <xdr:rowOff>127000</xdr:rowOff>
    </xdr:from>
    <xdr:to>
      <xdr:col>40</xdr:col>
      <xdr:colOff>127000</xdr:colOff>
      <xdr:row>5</xdr:row>
      <xdr:rowOff>76200</xdr:rowOff>
    </xdr:to>
    <xdr:sp macro="" textlink="'C03A'!$B$6">
      <xdr:nvSpPr>
        <xdr:cNvPr id="5" name="title_C03A_message">
          <a:extLst>
            <a:ext uri="{FF2B5EF4-FFF2-40B4-BE49-F238E27FC236}">
              <a16:creationId xmlns:a16="http://schemas.microsoft.com/office/drawing/2014/main" id="{3155E9A3-6867-F90E-94F6-0B0D588DB385}"/>
            </a:ext>
          </a:extLst>
        </xdr:cNvPr>
        <xdr:cNvSpPr txBox="1"/>
      </xdr:nvSpPr>
      <xdr:spPr>
        <a:xfrm>
          <a:off x="8674100" y="698500"/>
          <a:ext cx="6604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F60EE213-F9D1-4D4E-A493-E1A4BC78AEBA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premiums written are running +2.5% to +9.6% above prior year through Jul; on that pace the year closes +4,753 $m (+5.7%) above 2025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29</xdr:col>
      <xdr:colOff>228600</xdr:colOff>
      <xdr:row>5</xdr:row>
      <xdr:rowOff>139700</xdr:rowOff>
    </xdr:from>
    <xdr:to>
      <xdr:col>40</xdr:col>
      <xdr:colOff>127000</xdr:colOff>
      <xdr:row>20</xdr:row>
      <xdr:rowOff>95250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7F983162-DC6D-48B8-C137-37003E9BC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25</xdr:col>
      <xdr:colOff>228600</xdr:colOff>
      <xdr:row>0</xdr:row>
      <xdr:rowOff>127000</xdr:rowOff>
    </xdr:from>
    <xdr:to>
      <xdr:col>33</xdr:col>
      <xdr:colOff>431800</xdr:colOff>
      <xdr:row>1</xdr:row>
      <xdr:rowOff>127000</xdr:rowOff>
    </xdr:to>
    <xdr:sp macro="" textlink="'C04A'!$B$1">
      <xdr:nvSpPr>
        <xdr:cNvPr id="2" name="title_C04A_entity">
          <a:extLst>
            <a:ext uri="{FF2B5EF4-FFF2-40B4-BE49-F238E27FC236}">
              <a16:creationId xmlns:a16="http://schemas.microsoft.com/office/drawing/2014/main" id="{865C2EE9-4098-4958-1EB3-83F07A062EC5}"/>
            </a:ext>
          </a:extLst>
        </xdr:cNvPr>
        <xdr:cNvSpPr txBox="1"/>
      </xdr:nvSpPr>
      <xdr:spPr>
        <a:xfrm>
          <a:off x="8020050" y="1270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A5EC2D2C-08D1-4D5F-9843-1898D2B4062C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1</xdr:row>
      <xdr:rowOff>127000</xdr:rowOff>
    </xdr:from>
    <xdr:to>
      <xdr:col>33</xdr:col>
      <xdr:colOff>431800</xdr:colOff>
      <xdr:row>2</xdr:row>
      <xdr:rowOff>127000</xdr:rowOff>
    </xdr:to>
    <xdr:sp macro="" textlink="'C04A'!$B$7">
      <xdr:nvSpPr>
        <xdr:cNvPr id="3" name="title_C04A_subject">
          <a:extLst>
            <a:ext uri="{FF2B5EF4-FFF2-40B4-BE49-F238E27FC236}">
              <a16:creationId xmlns:a16="http://schemas.microsoft.com/office/drawing/2014/main" id="{CAB3D2C0-E0C5-22F1-7445-FDCA75BA4DFC}"/>
            </a:ext>
          </a:extLst>
        </xdr:cNvPr>
        <xdr:cNvSpPr txBox="1"/>
      </xdr:nvSpPr>
      <xdr:spPr>
        <a:xfrm>
          <a:off x="8020050" y="3175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BF7517FB-A0EF-4292-9841-35B295167C40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Underwriting result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2</xdr:row>
      <xdr:rowOff>127000</xdr:rowOff>
    </xdr:from>
    <xdr:to>
      <xdr:col>33</xdr:col>
      <xdr:colOff>431800</xdr:colOff>
      <xdr:row>3</xdr:row>
      <xdr:rowOff>127000</xdr:rowOff>
    </xdr:to>
    <xdr:sp macro="" textlink="'C04A'!$B$4">
      <xdr:nvSpPr>
        <xdr:cNvPr id="4" name="title_C04A_period">
          <a:extLst>
            <a:ext uri="{FF2B5EF4-FFF2-40B4-BE49-F238E27FC236}">
              <a16:creationId xmlns:a16="http://schemas.microsoft.com/office/drawing/2014/main" id="{3EA4D31F-C150-EE30-E8DE-D5A7F1A22E16}"/>
            </a:ext>
          </a:extLst>
        </xdr:cNvPr>
        <xdr:cNvSpPr txBox="1"/>
      </xdr:nvSpPr>
      <xdr:spPr>
        <a:xfrm>
          <a:off x="8020050" y="508000"/>
          <a:ext cx="5080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5B45DEFC-85F7-4D9B-BB42-0ED73A66EE37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2023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3</xdr:row>
      <xdr:rowOff>127000</xdr:rowOff>
    </xdr:from>
    <xdr:to>
      <xdr:col>33</xdr:col>
      <xdr:colOff>431800</xdr:colOff>
      <xdr:row>5</xdr:row>
      <xdr:rowOff>76200</xdr:rowOff>
    </xdr:to>
    <xdr:sp macro="" textlink="'C04A'!$B$6">
      <xdr:nvSpPr>
        <xdr:cNvPr id="5" name="title_C04A_message">
          <a:extLst>
            <a:ext uri="{FF2B5EF4-FFF2-40B4-BE49-F238E27FC236}">
              <a16:creationId xmlns:a16="http://schemas.microsoft.com/office/drawing/2014/main" id="{63CFDA1A-CC64-31EF-50A1-2BA469940B3E}"/>
            </a:ext>
          </a:extLst>
        </xdr:cNvPr>
        <xdr:cNvSpPr txBox="1"/>
      </xdr:nvSpPr>
      <xdr:spPr>
        <a:xfrm>
          <a:off x="8020050" y="698500"/>
          <a:ext cx="508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787C345D-CD07-46CB-8BB7-9E133DEB3715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6 of 12 months beat the 96 combined ratio target in 2023; Dec by +670 $m and Mar missed it by 441 $m, a spread of 1,111 $m across the year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25</xdr:col>
      <xdr:colOff>228600</xdr:colOff>
      <xdr:row>5</xdr:row>
      <xdr:rowOff>139700</xdr:rowOff>
    </xdr:from>
    <xdr:to>
      <xdr:col>34</xdr:col>
      <xdr:colOff>203200</xdr:colOff>
      <xdr:row>29</xdr:row>
      <xdr:rowOff>146050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B0BD83B9-35A5-5CA5-8591-33F45D3D7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47</xdr:col>
      <xdr:colOff>228600</xdr:colOff>
      <xdr:row>0</xdr:row>
      <xdr:rowOff>127000</xdr:rowOff>
    </xdr:from>
    <xdr:to>
      <xdr:col>60</xdr:col>
      <xdr:colOff>177800</xdr:colOff>
      <xdr:row>1</xdr:row>
      <xdr:rowOff>127000</xdr:rowOff>
    </xdr:to>
    <xdr:sp macro="" textlink="'C05X'!$B$1">
      <xdr:nvSpPr>
        <xdr:cNvPr id="2" name="title_C05X_entity">
          <a:extLst>
            <a:ext uri="{FF2B5EF4-FFF2-40B4-BE49-F238E27FC236}">
              <a16:creationId xmlns:a16="http://schemas.microsoft.com/office/drawing/2014/main" id="{BA029B26-0216-9149-BD77-AD82E788501A}"/>
            </a:ext>
          </a:extLst>
        </xdr:cNvPr>
        <xdr:cNvSpPr txBox="1"/>
      </xdr:nvSpPr>
      <xdr:spPr>
        <a:xfrm>
          <a:off x="13188950" y="1270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EF879563-700B-4B61-B7C8-790F5983A4BB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1</xdr:row>
      <xdr:rowOff>127000</xdr:rowOff>
    </xdr:from>
    <xdr:to>
      <xdr:col>60</xdr:col>
      <xdr:colOff>177800</xdr:colOff>
      <xdr:row>2</xdr:row>
      <xdr:rowOff>127000</xdr:rowOff>
    </xdr:to>
    <xdr:sp macro="" textlink="'C05X'!$B$7">
      <xdr:nvSpPr>
        <xdr:cNvPr id="3" name="title_C05X_subject">
          <a:extLst>
            <a:ext uri="{FF2B5EF4-FFF2-40B4-BE49-F238E27FC236}">
              <a16:creationId xmlns:a16="http://schemas.microsoft.com/office/drawing/2014/main" id="{236098A5-57EB-28B0-10AA-C2F471E7B202}"/>
            </a:ext>
          </a:extLst>
        </xdr:cNvPr>
        <xdr:cNvSpPr txBox="1"/>
      </xdr:nvSpPr>
      <xdr:spPr>
        <a:xfrm>
          <a:off x="13188950" y="3175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745AB4FB-7F2D-4A28-9E5C-1CF76CC1B4FE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Underwriting result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2</xdr:row>
      <xdr:rowOff>127000</xdr:rowOff>
    </xdr:from>
    <xdr:to>
      <xdr:col>60</xdr:col>
      <xdr:colOff>177800</xdr:colOff>
      <xdr:row>3</xdr:row>
      <xdr:rowOff>127000</xdr:rowOff>
    </xdr:to>
    <xdr:sp macro="" textlink="'C05X'!$B$4">
      <xdr:nvSpPr>
        <xdr:cNvPr id="4" name="title_C05X_period">
          <a:extLst>
            <a:ext uri="{FF2B5EF4-FFF2-40B4-BE49-F238E27FC236}">
              <a16:creationId xmlns:a16="http://schemas.microsoft.com/office/drawing/2014/main" id="{B4C38D1E-02F0-82E1-4561-33B4235490AC}"/>
            </a:ext>
          </a:extLst>
        </xdr:cNvPr>
        <xdr:cNvSpPr txBox="1"/>
      </xdr:nvSpPr>
      <xdr:spPr>
        <a:xfrm>
          <a:off x="13188950" y="508000"/>
          <a:ext cx="7874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70D32F29-C0A1-4C35-BACC-D5E6AA52B86A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2026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3</xdr:row>
      <xdr:rowOff>127000</xdr:rowOff>
    </xdr:from>
    <xdr:to>
      <xdr:col>60</xdr:col>
      <xdr:colOff>177800</xdr:colOff>
      <xdr:row>5</xdr:row>
      <xdr:rowOff>76200</xdr:rowOff>
    </xdr:to>
    <xdr:sp macro="" textlink="'C05X'!$B$6">
      <xdr:nvSpPr>
        <xdr:cNvPr id="5" name="title_C05X_message">
          <a:extLst>
            <a:ext uri="{FF2B5EF4-FFF2-40B4-BE49-F238E27FC236}">
              <a16:creationId xmlns:a16="http://schemas.microsoft.com/office/drawing/2014/main" id="{3FE7FE68-019C-D716-6195-23372F73FC4E}"/>
            </a:ext>
          </a:extLst>
        </xdr:cNvPr>
        <xdr:cNvSpPr txBox="1"/>
      </xdr:nvSpPr>
      <xdr:spPr>
        <a:xfrm>
          <a:off x="13188950" y="698500"/>
          <a:ext cx="7874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8466A262-F7B3-4CDF-91AD-DBEB741DB912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underwriting result is running +1,200 $m (+11.7%) ahead of 2025, with 7 of twelve months up and Sep contributing +985 on its own. Both years sit far above the 96 combined ratio target, drawn as the second opening column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5</xdr:row>
      <xdr:rowOff>139700</xdr:rowOff>
    </xdr:from>
    <xdr:to>
      <xdr:col>60</xdr:col>
      <xdr:colOff>177800</xdr:colOff>
      <xdr:row>11</xdr:row>
      <xdr:rowOff>50800</xdr:rowOff>
    </xdr:to>
    <xdr:graphicFrame macro="">
      <xdr:nvGraphicFramePr>
        <xdr:cNvPr id="6" name="tier_wf">
          <a:extLst>
            <a:ext uri="{FF2B5EF4-FFF2-40B4-BE49-F238E27FC236}">
              <a16:creationId xmlns:a16="http://schemas.microsoft.com/office/drawing/2014/main" id="{1C53DA72-F6E5-E30F-6C05-20FF075E6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47</xdr:col>
      <xdr:colOff>228600</xdr:colOff>
      <xdr:row>11</xdr:row>
      <xdr:rowOff>177800</xdr:rowOff>
    </xdr:from>
    <xdr:to>
      <xdr:col>60</xdr:col>
      <xdr:colOff>177800</xdr:colOff>
      <xdr:row>33</xdr:row>
      <xdr:rowOff>76200</xdr:rowOff>
    </xdr:to>
    <xdr:graphicFrame macro="">
      <xdr:nvGraphicFramePr>
        <xdr:cNvPr id="7" name="tier_measure">
          <a:extLst>
            <a:ext uri="{FF2B5EF4-FFF2-40B4-BE49-F238E27FC236}">
              <a16:creationId xmlns:a16="http://schemas.microsoft.com/office/drawing/2014/main" id="{88815661-6BCA-0C81-FE1D-CC71D943E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39</xdr:col>
      <xdr:colOff>228600</xdr:colOff>
      <xdr:row>0</xdr:row>
      <xdr:rowOff>127000</xdr:rowOff>
    </xdr:from>
    <xdr:to>
      <xdr:col>48</xdr:col>
      <xdr:colOff>203200</xdr:colOff>
      <xdr:row>1</xdr:row>
      <xdr:rowOff>127000</xdr:rowOff>
    </xdr:to>
    <xdr:sp macro="" textlink="'C06F'!$B$1">
      <xdr:nvSpPr>
        <xdr:cNvPr id="2" name="title_C06F_entity">
          <a:extLst>
            <a:ext uri="{FF2B5EF4-FFF2-40B4-BE49-F238E27FC236}">
              <a16:creationId xmlns:a16="http://schemas.microsoft.com/office/drawing/2014/main" id="{A7CF3FDD-6D96-3407-7216-0FA9CBAAD22D}"/>
            </a:ext>
          </a:extLst>
        </xdr:cNvPr>
        <xdr:cNvSpPr txBox="1"/>
      </xdr:nvSpPr>
      <xdr:spPr>
        <a:xfrm>
          <a:off x="12325350" y="1270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31A8BF43-3482-4786-8B0C-7C6EF45D9959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1</xdr:row>
      <xdr:rowOff>127000</xdr:rowOff>
    </xdr:from>
    <xdr:to>
      <xdr:col>48</xdr:col>
      <xdr:colOff>203200</xdr:colOff>
      <xdr:row>2</xdr:row>
      <xdr:rowOff>127000</xdr:rowOff>
    </xdr:to>
    <xdr:sp macro="" textlink="'C06F'!$B$7">
      <xdr:nvSpPr>
        <xdr:cNvPr id="3" name="title_C06F_subject">
          <a:extLst>
            <a:ext uri="{FF2B5EF4-FFF2-40B4-BE49-F238E27FC236}">
              <a16:creationId xmlns:a16="http://schemas.microsoft.com/office/drawing/2014/main" id="{874A3829-DC0D-AC40-E24F-3DC0BDDDFF16}"/>
            </a:ext>
          </a:extLst>
        </xdr:cNvPr>
        <xdr:cNvSpPr txBox="1"/>
      </xdr:nvSpPr>
      <xdr:spPr>
        <a:xfrm>
          <a:off x="12325350" y="3175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00069BC8-2AAD-4214-8B17-F763A86FBF07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premiums written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2</xdr:row>
      <xdr:rowOff>127000</xdr:rowOff>
    </xdr:from>
    <xdr:to>
      <xdr:col>48</xdr:col>
      <xdr:colOff>203200</xdr:colOff>
      <xdr:row>3</xdr:row>
      <xdr:rowOff>127000</xdr:rowOff>
    </xdr:to>
    <xdr:sp macro="" textlink="'C06F'!$B$4">
      <xdr:nvSpPr>
        <xdr:cNvPr id="4" name="title_C06F_period">
          <a:extLst>
            <a:ext uri="{FF2B5EF4-FFF2-40B4-BE49-F238E27FC236}">
              <a16:creationId xmlns:a16="http://schemas.microsoft.com/office/drawing/2014/main" id="{825D8C3A-1FCB-6764-A599-8D9B025CA458}"/>
            </a:ext>
          </a:extLst>
        </xdr:cNvPr>
        <xdr:cNvSpPr txBox="1"/>
      </xdr:nvSpPr>
      <xdr:spPr>
        <a:xfrm>
          <a:off x="12325350" y="508000"/>
          <a:ext cx="54610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204B56D1-41B2-4293-820E-314C410FD3CC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2025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3</xdr:row>
      <xdr:rowOff>127000</xdr:rowOff>
    </xdr:from>
    <xdr:to>
      <xdr:col>48</xdr:col>
      <xdr:colOff>203200</xdr:colOff>
      <xdr:row>5</xdr:row>
      <xdr:rowOff>76200</xdr:rowOff>
    </xdr:to>
    <xdr:sp macro="" textlink="'C06F'!$B$6">
      <xdr:nvSpPr>
        <xdr:cNvPr id="5" name="title_C06F_message">
          <a:extLst>
            <a:ext uri="{FF2B5EF4-FFF2-40B4-BE49-F238E27FC236}">
              <a16:creationId xmlns:a16="http://schemas.microsoft.com/office/drawing/2014/main" id="{7C4E0CBE-D55F-91EB-CB3B-5FE31F043BB4}"/>
            </a:ext>
          </a:extLst>
        </xdr:cNvPr>
        <xdr:cNvSpPr txBox="1"/>
      </xdr:nvSpPr>
      <xdr:spPr>
        <a:xfrm>
          <a:off x="12325350" y="698500"/>
          <a:ext cx="5461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0137C6B0-8F83-4FE8-A21A-0DE6B2F3D966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Premium grew +8,750 $m (+11.8%) and every one of the ten largest states grew. But 56% of the increase came from outside the top ten - +4,885 $m against +3,865 from all ten named states put together, Texas included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39</xdr:col>
      <xdr:colOff>228600</xdr:colOff>
      <xdr:row>5</xdr:row>
      <xdr:rowOff>139700</xdr:rowOff>
    </xdr:from>
    <xdr:to>
      <xdr:col>51</xdr:col>
      <xdr:colOff>25400</xdr:colOff>
      <xdr:row>33</xdr:row>
      <xdr:rowOff>63500</xdr:rowOff>
    </xdr:to>
    <xdr:graphicFrame macro="">
      <xdr:nvGraphicFramePr>
        <xdr:cNvPr id="6" name="tier_measure">
          <a:extLst>
            <a:ext uri="{FF2B5EF4-FFF2-40B4-BE49-F238E27FC236}">
              <a16:creationId xmlns:a16="http://schemas.microsoft.com/office/drawing/2014/main" id="{70B81731-2CD7-606D-39FE-8563D07872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51</xdr:col>
      <xdr:colOff>152400</xdr:colOff>
      <xdr:row>5</xdr:row>
      <xdr:rowOff>139700</xdr:rowOff>
    </xdr:from>
    <xdr:to>
      <xdr:col>54</xdr:col>
      <xdr:colOff>101600</xdr:colOff>
      <xdr:row>33</xdr:row>
      <xdr:rowOff>63500</xdr:rowOff>
    </xdr:to>
    <xdr:graphicFrame macro="">
      <xdr:nvGraphicFramePr>
        <xdr:cNvPr id="7" name="tier_wf">
          <a:extLst>
            <a:ext uri="{FF2B5EF4-FFF2-40B4-BE49-F238E27FC236}">
              <a16:creationId xmlns:a16="http://schemas.microsoft.com/office/drawing/2014/main" id="{F174E157-C6FB-489F-B460-FDB5F0FD35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47</xdr:col>
      <xdr:colOff>228600</xdr:colOff>
      <xdr:row>0</xdr:row>
      <xdr:rowOff>127000</xdr:rowOff>
    </xdr:from>
    <xdr:to>
      <xdr:col>55</xdr:col>
      <xdr:colOff>457200</xdr:colOff>
      <xdr:row>1</xdr:row>
      <xdr:rowOff>127000</xdr:rowOff>
    </xdr:to>
    <xdr:sp macro="" textlink="'C12A'!$B$1">
      <xdr:nvSpPr>
        <xdr:cNvPr id="2" name="title_C12A_entity">
          <a:extLst>
            <a:ext uri="{FF2B5EF4-FFF2-40B4-BE49-F238E27FC236}">
              <a16:creationId xmlns:a16="http://schemas.microsoft.com/office/drawing/2014/main" id="{39BBCDAD-B2BB-A343-21FD-063D3735E530}"/>
            </a:ext>
          </a:extLst>
        </xdr:cNvPr>
        <xdr:cNvSpPr txBox="1"/>
      </xdr:nvSpPr>
      <xdr:spPr>
        <a:xfrm>
          <a:off x="14954250" y="1270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36427488-0FB6-49E9-9E1D-0204B5BBBE5A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The Progressive Corporation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1</xdr:row>
      <xdr:rowOff>127000</xdr:rowOff>
    </xdr:from>
    <xdr:to>
      <xdr:col>55</xdr:col>
      <xdr:colOff>457200</xdr:colOff>
      <xdr:row>2</xdr:row>
      <xdr:rowOff>127000</xdr:rowOff>
    </xdr:to>
    <xdr:sp macro="" textlink="'C12A'!$B$7">
      <xdr:nvSpPr>
        <xdr:cNvPr id="3" name="title_C12A_subject">
          <a:extLst>
            <a:ext uri="{FF2B5EF4-FFF2-40B4-BE49-F238E27FC236}">
              <a16:creationId xmlns:a16="http://schemas.microsoft.com/office/drawing/2014/main" id="{2D76A4E6-C334-7159-5482-E0787A7FAE70}"/>
            </a:ext>
          </a:extLst>
        </xdr:cNvPr>
        <xdr:cNvSpPr txBox="1"/>
      </xdr:nvSpPr>
      <xdr:spPr>
        <a:xfrm>
          <a:off x="14954250" y="3175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843B34B5-19B0-408A-A6AD-16D75192E6F6}" type="TxLink"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Profit and loss statement in $m</a:t>
          </a:fld>
          <a:endParaRPr lang="en-US" sz="1100" b="1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2</xdr:row>
      <xdr:rowOff>127000</xdr:rowOff>
    </xdr:from>
    <xdr:to>
      <xdr:col>55</xdr:col>
      <xdr:colOff>457200</xdr:colOff>
      <xdr:row>3</xdr:row>
      <xdr:rowOff>127000</xdr:rowOff>
    </xdr:to>
    <xdr:sp macro="" textlink="'C12A'!$B$4">
      <xdr:nvSpPr>
        <xdr:cNvPr id="4" name="title_C12A_period">
          <a:extLst>
            <a:ext uri="{FF2B5EF4-FFF2-40B4-BE49-F238E27FC236}">
              <a16:creationId xmlns:a16="http://schemas.microsoft.com/office/drawing/2014/main" id="{B1DFE2BB-BDBC-0FA3-DDA9-639E6DA59698}"/>
            </a:ext>
          </a:extLst>
        </xdr:cNvPr>
        <xdr:cNvSpPr txBox="1"/>
      </xdr:nvSpPr>
      <xdr:spPr>
        <a:xfrm>
          <a:off x="14954250" y="508000"/>
          <a:ext cx="51054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15DD5034-35CA-4ED5-8E37-3297470BA148}" type="TxLink"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AC 2023, PY and ΔPY</a:t>
          </a:fld>
          <a:endParaRPr lang="en-US" sz="11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3</xdr:row>
      <xdr:rowOff>127000</xdr:rowOff>
    </xdr:from>
    <xdr:to>
      <xdr:col>55</xdr:col>
      <xdr:colOff>457200</xdr:colOff>
      <xdr:row>5</xdr:row>
      <xdr:rowOff>76200</xdr:rowOff>
    </xdr:to>
    <xdr:sp macro="" textlink="'C12A'!$B$6">
      <xdr:nvSpPr>
        <xdr:cNvPr id="5" name="title_C12A_message">
          <a:extLst>
            <a:ext uri="{FF2B5EF4-FFF2-40B4-BE49-F238E27FC236}">
              <a16:creationId xmlns:a16="http://schemas.microsoft.com/office/drawing/2014/main" id="{DDE39030-3C0A-C75F-A753-E1E350867341}"/>
            </a:ext>
          </a:extLst>
        </xdr:cNvPr>
        <xdr:cNvSpPr txBox="1"/>
      </xdr:nvSpPr>
      <xdr:spPr>
        <a:xfrm>
          <a:off x="14954250" y="698500"/>
          <a:ext cx="51054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/>
        <a:lstStyle/>
        <a:p>
          <a:pPr algn="l"/>
          <a:fld id="{0E87E7DA-3384-4B55-ADF3-0184FC2A56A2}" type="TxLink">
            <a:rPr lang="en-US" sz="1000" b="0" i="0" u="none" strike="noStrike">
              <a:solidFill>
                <a:srgbClr val="000000"/>
              </a:solidFill>
              <a:latin typeface="Arial" panose="020B0604020202020204" pitchFamily="34" charset="0"/>
            </a:rPr>
            <a:pPr algn="l"/>
            <a:t>Net income rose from 722 to 3,903 $m, +441%, as an underwriting result that had nearly vanished in 2022 recovered; 3 lines move too far to be drawn to scale and carry the overflow marks</a:t>
          </a:fld>
          <a:endParaRPr lang="en-US" sz="1000" b="0">
            <a:latin typeface="Arial" panose="020B0604020202020204" pitchFamily="34" charset="0"/>
          </a:endParaRPr>
        </a:p>
      </xdr:txBody>
    </xdr:sp>
    <xdr:clientData/>
  </xdr:twoCellAnchor>
  <xdr:twoCellAnchor editAs="absolute">
    <xdr:from>
      <xdr:col>47</xdr:col>
      <xdr:colOff>228600</xdr:colOff>
      <xdr:row>5</xdr:row>
      <xdr:rowOff>139700</xdr:rowOff>
    </xdr:from>
    <xdr:to>
      <xdr:col>55</xdr:col>
      <xdr:colOff>431800</xdr:colOff>
      <xdr:row>32</xdr:row>
      <xdr:rowOff>57150</xdr:rowOff>
    </xdr:to>
    <xdr:graphicFrame macro="">
      <xdr:nvGraphicFramePr>
        <xdr:cNvPr id="6" name="tier_wf_ac">
          <a:extLst>
            <a:ext uri="{FF2B5EF4-FFF2-40B4-BE49-F238E27FC236}">
              <a16:creationId xmlns:a16="http://schemas.microsoft.com/office/drawing/2014/main" id="{DD915AB5-6CEC-7A8F-0967-1D66F46A2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C803-5E47-4BD3-B6EF-86BDBFEA1F56}">
  <sheetPr>
    <pageSetUpPr fitToPage="1"/>
  </sheetPr>
  <dimension ref="A2:A28"/>
  <sheetViews>
    <sheetView showGridLines="0" tabSelected="1" workbookViewId="0"/>
  </sheetViews>
  <sheetFormatPr defaultRowHeight="14.5" x14ac:dyDescent="0.35"/>
  <cols>
    <col min="1" max="1" width="100.6328125" customWidth="1"/>
  </cols>
  <sheetData>
    <row r="2" spans="1:1" ht="22" customHeight="1" x14ac:dyDescent="0.45">
      <c r="A2" s="2" t="s">
        <v>0</v>
      </c>
    </row>
    <row r="3" spans="1:1" x14ac:dyDescent="0.35">
      <c r="A3" s="3"/>
    </row>
    <row r="4" spans="1:1" x14ac:dyDescent="0.35">
      <c r="A4" s="3" t="s">
        <v>1</v>
      </c>
    </row>
    <row r="5" spans="1:1" x14ac:dyDescent="0.35">
      <c r="A5" s="3"/>
    </row>
    <row r="6" spans="1:1" ht="43.5" x14ac:dyDescent="0.35">
      <c r="A6" s="3" t="s">
        <v>2</v>
      </c>
    </row>
    <row r="7" spans="1:1" x14ac:dyDescent="0.35">
      <c r="A7" s="3"/>
    </row>
    <row r="8" spans="1:1" ht="43.5" x14ac:dyDescent="0.35">
      <c r="A8" s="3" t="s">
        <v>3</v>
      </c>
    </row>
    <row r="9" spans="1:1" x14ac:dyDescent="0.35">
      <c r="A9" s="3"/>
    </row>
    <row r="10" spans="1:1" ht="58" x14ac:dyDescent="0.35">
      <c r="A10" s="3" t="s">
        <v>4</v>
      </c>
    </row>
    <row r="11" spans="1:1" x14ac:dyDescent="0.35">
      <c r="A11" s="3"/>
    </row>
    <row r="12" spans="1:1" ht="29" x14ac:dyDescent="0.35">
      <c r="A12" s="3" t="s">
        <v>5</v>
      </c>
    </row>
    <row r="13" spans="1:1" x14ac:dyDescent="0.35">
      <c r="A13" s="3"/>
    </row>
    <row r="14" spans="1:1" ht="26.5" x14ac:dyDescent="0.35">
      <c r="A14" s="4" t="s">
        <v>6</v>
      </c>
    </row>
    <row r="15" spans="1:1" x14ac:dyDescent="0.35">
      <c r="A15" s="3"/>
    </row>
    <row r="16" spans="1:1" ht="43.5" x14ac:dyDescent="0.35">
      <c r="A16" s="3" t="s">
        <v>7</v>
      </c>
    </row>
    <row r="17" spans="1:1" x14ac:dyDescent="0.35">
      <c r="A17" s="3"/>
    </row>
    <row r="18" spans="1:1" ht="39.5" x14ac:dyDescent="0.35">
      <c r="A18" s="4" t="s">
        <v>8</v>
      </c>
    </row>
    <row r="19" spans="1:1" x14ac:dyDescent="0.35">
      <c r="A19" s="3"/>
    </row>
    <row r="20" spans="1:1" ht="24.5" x14ac:dyDescent="0.35">
      <c r="A20" s="5" t="s">
        <v>9</v>
      </c>
    </row>
    <row r="21" spans="1:1" x14ac:dyDescent="0.35">
      <c r="A21" s="3"/>
    </row>
    <row r="22" spans="1:1" ht="24.5" x14ac:dyDescent="0.35">
      <c r="A22" s="5" t="s">
        <v>10</v>
      </c>
    </row>
    <row r="23" spans="1:1" x14ac:dyDescent="0.35">
      <c r="A23" s="3"/>
    </row>
    <row r="24" spans="1:1" x14ac:dyDescent="0.35">
      <c r="A24" s="7" t="s">
        <v>11</v>
      </c>
    </row>
    <row r="25" spans="1:1" x14ac:dyDescent="0.35">
      <c r="A25" s="3"/>
    </row>
    <row r="26" spans="1:1" ht="58" x14ac:dyDescent="0.35">
      <c r="A26" s="3" t="s">
        <v>12</v>
      </c>
    </row>
    <row r="27" spans="1:1" x14ac:dyDescent="0.35">
      <c r="A27" s="3"/>
    </row>
    <row r="28" spans="1:1" ht="29" x14ac:dyDescent="0.35">
      <c r="A28" s="3" t="s">
        <v>13</v>
      </c>
    </row>
  </sheetData>
  <pageMargins left="0.5" right="0.5" top="0.5" bottom="0.5" header="0.25" footer="0.25"/>
  <pageSetup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784B2-CB4F-4177-B056-623B06DA9CE5}">
  <dimension ref="A1:D20"/>
  <sheetViews>
    <sheetView workbookViewId="0"/>
  </sheetViews>
  <sheetFormatPr defaultRowHeight="14.5" x14ac:dyDescent="0.35"/>
  <cols>
    <col min="1" max="1" width="10.6328125" customWidth="1"/>
    <col min="2" max="3" width="12.6328125" customWidth="1"/>
    <col min="4" max="4" width="96.6328125" style="12" customWidth="1"/>
  </cols>
  <sheetData>
    <row r="1" spans="1:4" ht="18.5" x14ac:dyDescent="0.45">
      <c r="A1" s="1" t="s">
        <v>14</v>
      </c>
    </row>
    <row r="3" spans="1:4" x14ac:dyDescent="0.35">
      <c r="A3" s="8" t="s">
        <v>15</v>
      </c>
      <c r="B3" s="8" t="s">
        <v>16</v>
      </c>
      <c r="C3" s="8" t="s">
        <v>17</v>
      </c>
      <c r="D3" s="13" t="s">
        <v>18</v>
      </c>
    </row>
    <row r="4" spans="1:4" s="10" customFormat="1" ht="29" x14ac:dyDescent="0.35">
      <c r="A4" s="10" t="s">
        <v>19</v>
      </c>
      <c r="B4" s="10" t="s">
        <v>20</v>
      </c>
      <c r="C4" s="10" t="s">
        <v>21</v>
      </c>
      <c r="D4" s="14" t="s">
        <v>22</v>
      </c>
    </row>
    <row r="5" spans="1:4" s="10" customFormat="1" ht="43.5" x14ac:dyDescent="0.35">
      <c r="A5" s="10" t="s">
        <v>23</v>
      </c>
      <c r="B5" s="10" t="s">
        <v>20</v>
      </c>
      <c r="C5" s="10" t="s">
        <v>21</v>
      </c>
      <c r="D5" s="14" t="s">
        <v>24</v>
      </c>
    </row>
    <row r="6" spans="1:4" s="10" customFormat="1" x14ac:dyDescent="0.35">
      <c r="A6" s="10" t="s">
        <v>25</v>
      </c>
      <c r="B6" s="10" t="s">
        <v>20</v>
      </c>
      <c r="C6" s="10" t="s">
        <v>21</v>
      </c>
      <c r="D6" s="14" t="s">
        <v>26</v>
      </c>
    </row>
    <row r="7" spans="1:4" s="10" customFormat="1" x14ac:dyDescent="0.35">
      <c r="A7" s="10" t="s">
        <v>25</v>
      </c>
      <c r="B7" s="10" t="s">
        <v>27</v>
      </c>
      <c r="C7" s="10" t="s">
        <v>21</v>
      </c>
      <c r="D7" s="14" t="s">
        <v>28</v>
      </c>
    </row>
    <row r="8" spans="1:4" s="10" customFormat="1" ht="29" x14ac:dyDescent="0.35">
      <c r="A8" s="11" t="s">
        <v>25</v>
      </c>
      <c r="B8" s="11" t="s">
        <v>29</v>
      </c>
      <c r="C8" s="11" t="s">
        <v>30</v>
      </c>
      <c r="D8" s="15" t="s">
        <v>31</v>
      </c>
    </row>
    <row r="9" spans="1:4" s="10" customFormat="1" ht="29" x14ac:dyDescent="0.35">
      <c r="A9" s="10" t="s">
        <v>32</v>
      </c>
      <c r="B9" s="10" t="s">
        <v>20</v>
      </c>
      <c r="C9" s="10" t="s">
        <v>21</v>
      </c>
      <c r="D9" s="14" t="s">
        <v>33</v>
      </c>
    </row>
    <row r="10" spans="1:4" s="10" customFormat="1" ht="29" x14ac:dyDescent="0.35">
      <c r="A10" s="11" t="s">
        <v>32</v>
      </c>
      <c r="B10" s="11" t="s">
        <v>34</v>
      </c>
      <c r="C10" s="11" t="s">
        <v>30</v>
      </c>
      <c r="D10" s="15" t="s">
        <v>35</v>
      </c>
    </row>
    <row r="11" spans="1:4" s="10" customFormat="1" x14ac:dyDescent="0.35">
      <c r="A11" s="10" t="s">
        <v>36</v>
      </c>
      <c r="B11" s="10" t="s">
        <v>20</v>
      </c>
      <c r="C11" s="10" t="s">
        <v>37</v>
      </c>
      <c r="D11" s="14" t="s">
        <v>38</v>
      </c>
    </row>
    <row r="12" spans="1:4" s="10" customFormat="1" x14ac:dyDescent="0.35">
      <c r="A12" s="10" t="s">
        <v>36</v>
      </c>
      <c r="B12" s="10" t="s">
        <v>27</v>
      </c>
      <c r="C12" s="10" t="s">
        <v>37</v>
      </c>
      <c r="D12" s="14" t="s">
        <v>39</v>
      </c>
    </row>
    <row r="13" spans="1:4" s="10" customFormat="1" ht="29" x14ac:dyDescent="0.35">
      <c r="A13" s="11" t="s">
        <v>36</v>
      </c>
      <c r="B13" s="11" t="s">
        <v>34</v>
      </c>
      <c r="C13" s="11" t="s">
        <v>30</v>
      </c>
      <c r="D13" s="15" t="s">
        <v>40</v>
      </c>
    </row>
    <row r="14" spans="1:4" s="10" customFormat="1" ht="29" x14ac:dyDescent="0.35">
      <c r="A14" s="11" t="s">
        <v>36</v>
      </c>
      <c r="B14" s="11" t="s">
        <v>29</v>
      </c>
      <c r="C14" s="11" t="s">
        <v>30</v>
      </c>
      <c r="D14" s="15" t="s">
        <v>41</v>
      </c>
    </row>
    <row r="15" spans="1:4" s="10" customFormat="1" ht="29" x14ac:dyDescent="0.35">
      <c r="A15" s="10" t="s">
        <v>42</v>
      </c>
      <c r="B15" s="10" t="s">
        <v>20</v>
      </c>
      <c r="C15" s="10" t="s">
        <v>21</v>
      </c>
      <c r="D15" s="14" t="s">
        <v>43</v>
      </c>
    </row>
    <row r="16" spans="1:4" s="10" customFormat="1" ht="29" x14ac:dyDescent="0.35">
      <c r="A16" s="10" t="s">
        <v>42</v>
      </c>
      <c r="B16" s="10" t="s">
        <v>27</v>
      </c>
      <c r="C16" s="10" t="s">
        <v>21</v>
      </c>
      <c r="D16" s="14" t="s">
        <v>44</v>
      </c>
    </row>
    <row r="17" spans="1:4" s="10" customFormat="1" ht="29" x14ac:dyDescent="0.35">
      <c r="A17" s="10" t="s">
        <v>45</v>
      </c>
      <c r="B17" s="10" t="s">
        <v>20</v>
      </c>
      <c r="C17" s="10" t="s">
        <v>21</v>
      </c>
      <c r="D17" s="14" t="s">
        <v>46</v>
      </c>
    </row>
    <row r="18" spans="1:4" s="10" customFormat="1" x14ac:dyDescent="0.35">
      <c r="A18" s="10" t="s">
        <v>45</v>
      </c>
      <c r="B18" s="10" t="s">
        <v>27</v>
      </c>
      <c r="C18" s="10" t="s">
        <v>21</v>
      </c>
      <c r="D18" s="14" t="s">
        <v>47</v>
      </c>
    </row>
    <row r="20" spans="1:4" x14ac:dyDescent="0.35">
      <c r="A20" s="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A01A-8E71-4002-A933-6B84E9FB3483}">
  <sheetPr>
    <pageSetUpPr fitToPage="1"/>
  </sheetPr>
  <dimension ref="A1:F54"/>
  <sheetViews>
    <sheetView showGridLines="0" workbookViewId="0"/>
  </sheetViews>
  <sheetFormatPr defaultRowHeight="14.5" x14ac:dyDescent="0.35"/>
  <cols>
    <col min="1" max="1" width="22.6328125" customWidth="1"/>
    <col min="2" max="6" width="9.6328125" customWidth="1"/>
  </cols>
  <sheetData>
    <row r="1" spans="1:6" ht="14.5" customHeight="1" x14ac:dyDescent="0.35">
      <c r="A1" s="17" t="s">
        <v>49</v>
      </c>
      <c r="B1" s="19" t="s">
        <v>50</v>
      </c>
      <c r="C1" s="19"/>
      <c r="D1" s="19"/>
      <c r="E1" s="19"/>
      <c r="F1" s="19"/>
    </row>
    <row r="2" spans="1:6" ht="14.5" customHeight="1" x14ac:dyDescent="0.35">
      <c r="A2" s="17" t="s">
        <v>51</v>
      </c>
      <c r="B2" s="19" t="s">
        <v>52</v>
      </c>
      <c r="C2" s="19"/>
      <c r="D2" s="19"/>
      <c r="E2" s="19"/>
      <c r="F2" s="19"/>
    </row>
    <row r="3" spans="1:6" x14ac:dyDescent="0.35">
      <c r="A3" s="17" t="s">
        <v>53</v>
      </c>
      <c r="B3" s="19" t="s">
        <v>54</v>
      </c>
      <c r="C3" s="18"/>
      <c r="D3" s="18"/>
      <c r="E3" s="18"/>
      <c r="F3" s="18"/>
    </row>
    <row r="4" spans="1:6" x14ac:dyDescent="0.35">
      <c r="A4" s="17" t="s">
        <v>55</v>
      </c>
      <c r="B4" s="19" t="s">
        <v>56</v>
      </c>
      <c r="C4" s="18"/>
      <c r="D4" s="18"/>
      <c r="E4" s="18"/>
      <c r="F4" s="18"/>
    </row>
    <row r="5" spans="1:6" x14ac:dyDescent="0.35">
      <c r="A5" s="17" t="s">
        <v>57</v>
      </c>
      <c r="B5" s="19" t="s">
        <v>34</v>
      </c>
      <c r="C5" s="18"/>
      <c r="D5" s="18"/>
      <c r="E5" s="18"/>
      <c r="F5" s="18"/>
    </row>
    <row r="6" spans="1:6" ht="48" customHeight="1" x14ac:dyDescent="0.35">
      <c r="A6" s="17" t="s">
        <v>58</v>
      </c>
      <c r="B6" s="19" t="s">
        <v>59</v>
      </c>
      <c r="C6" s="19"/>
      <c r="D6" s="19"/>
      <c r="E6" s="19"/>
      <c r="F6" s="19"/>
    </row>
    <row r="7" spans="1:6" ht="14.5" customHeight="1" x14ac:dyDescent="0.35">
      <c r="A7" s="17" t="s">
        <v>60</v>
      </c>
      <c r="B7" s="20" t="str">
        <f>B2&amp;IF(B3="",""," in "&amp;B3)</f>
        <v>Net premiums written in $m</v>
      </c>
      <c r="C7" s="20"/>
      <c r="D7" s="20"/>
      <c r="E7" s="20"/>
      <c r="F7" s="20"/>
    </row>
    <row r="9" spans="1:6" x14ac:dyDescent="0.35">
      <c r="A9" s="6" t="s">
        <v>61</v>
      </c>
      <c r="B9" s="22" t="s">
        <v>62</v>
      </c>
      <c r="C9" s="22" t="s">
        <v>63</v>
      </c>
      <c r="D9" s="22" t="s">
        <v>64</v>
      </c>
      <c r="E9" s="22" t="s">
        <v>65</v>
      </c>
      <c r="F9" s="22" t="s">
        <v>66</v>
      </c>
    </row>
    <row r="10" spans="1:6" x14ac:dyDescent="0.35">
      <c r="A10" s="21" t="s">
        <v>67</v>
      </c>
      <c r="B10" s="23">
        <v>17258</v>
      </c>
      <c r="C10" s="23">
        <v>18334</v>
      </c>
      <c r="D10" s="23">
        <v>22278</v>
      </c>
      <c r="E10" s="23">
        <v>26967</v>
      </c>
      <c r="F10" s="23">
        <v>29825</v>
      </c>
    </row>
    <row r="11" spans="1:6" x14ac:dyDescent="0.35">
      <c r="A11" s="21" t="s">
        <v>68</v>
      </c>
      <c r="B11" s="23">
        <v>18911</v>
      </c>
      <c r="C11" s="23">
        <v>20944</v>
      </c>
      <c r="D11" s="23">
        <v>26303</v>
      </c>
      <c r="E11" s="23">
        <v>33432</v>
      </c>
      <c r="F11" s="23">
        <v>39631</v>
      </c>
    </row>
    <row r="12" spans="1:6" x14ac:dyDescent="0.35">
      <c r="A12" s="21" t="s">
        <v>69</v>
      </c>
      <c r="B12" s="23">
        <v>2216</v>
      </c>
      <c r="C12" s="23">
        <v>2402</v>
      </c>
      <c r="D12" s="23">
        <v>2831</v>
      </c>
      <c r="E12" s="23">
        <v>3071</v>
      </c>
      <c r="F12" s="23">
        <v>3102</v>
      </c>
    </row>
    <row r="13" spans="1:6" x14ac:dyDescent="0.35">
      <c r="A13" s="21" t="s">
        <v>70</v>
      </c>
      <c r="B13" s="23">
        <v>8016</v>
      </c>
      <c r="C13" s="23">
        <v>9399</v>
      </c>
      <c r="D13" s="23">
        <v>10138</v>
      </c>
      <c r="E13" s="23">
        <v>10953</v>
      </c>
      <c r="F13" s="23">
        <v>10613</v>
      </c>
    </row>
    <row r="14" spans="1:6" x14ac:dyDescent="0.35">
      <c r="A14" s="21" t="s">
        <v>71</v>
      </c>
      <c r="B14" s="23">
        <v>4</v>
      </c>
      <c r="C14" s="23">
        <v>2</v>
      </c>
      <c r="D14" s="23">
        <v>0</v>
      </c>
      <c r="E14" s="23">
        <v>1</v>
      </c>
      <c r="F14" s="23">
        <v>3</v>
      </c>
    </row>
    <row r="15" spans="1:6" x14ac:dyDescent="0.35">
      <c r="A15" s="24" t="s">
        <v>72</v>
      </c>
      <c r="B15" s="25">
        <f>SUM(B10:B14)</f>
        <v>46405</v>
      </c>
      <c r="C15" s="25">
        <f>SUM(C10:C14)</f>
        <v>51081</v>
      </c>
      <c r="D15" s="25">
        <f>SUM(D10:D14)</f>
        <v>61550</v>
      </c>
      <c r="E15" s="25">
        <f>SUM(E10:E14)</f>
        <v>74424</v>
      </c>
      <c r="F15" s="25">
        <f>SUM(F10:F14)</f>
        <v>83174</v>
      </c>
    </row>
    <row r="17" spans="1:6" x14ac:dyDescent="0.35">
      <c r="A17" t="s">
        <v>73</v>
      </c>
      <c r="B17" s="26">
        <f>MAX(_xlfn.AGGREGATE(4,6,B15:F15),0.000000001)</f>
        <v>83174</v>
      </c>
    </row>
    <row r="20" spans="1:6" hidden="1" x14ac:dyDescent="0.35"/>
    <row r="21" spans="1:6" hidden="1" x14ac:dyDescent="0.35"/>
    <row r="22" spans="1:6" hidden="1" x14ac:dyDescent="0.35"/>
    <row r="23" spans="1:6" hidden="1" x14ac:dyDescent="0.35"/>
    <row r="24" spans="1:6" hidden="1" x14ac:dyDescent="0.35"/>
    <row r="25" spans="1:6" hidden="1" x14ac:dyDescent="0.35"/>
    <row r="26" spans="1:6" hidden="1" x14ac:dyDescent="0.35"/>
    <row r="27" spans="1:6" hidden="1" x14ac:dyDescent="0.35"/>
    <row r="28" spans="1:6" hidden="1" x14ac:dyDescent="0.35"/>
    <row r="29" spans="1:6" hidden="1" x14ac:dyDescent="0.35">
      <c r="B29">
        <f>IF(ISBLANK(B10),NA(),B10/$B$17)</f>
        <v>0.20749272609228844</v>
      </c>
      <c r="C29">
        <f>IF(ISBLANK(C10),NA(),C10/$B$17)</f>
        <v>0.22042946112967995</v>
      </c>
      <c r="D29">
        <f>IF(ISBLANK(D10),NA(),D10/$B$17)</f>
        <v>0.26784812561617816</v>
      </c>
      <c r="E29">
        <f>IF(ISBLANK(E10),NA(),E10/$B$17)</f>
        <v>0.32422391612763601</v>
      </c>
      <c r="F29">
        <f>IF(ISBLANK(F10),NA(),F10/$B$17)</f>
        <v>0.35858561569721309</v>
      </c>
    </row>
    <row r="30" spans="1:6" hidden="1" x14ac:dyDescent="0.35">
      <c r="B30">
        <f>IF(ISBLANK(B11),NA(),B11/$B$17)</f>
        <v>0.22736672517854137</v>
      </c>
      <c r="C30">
        <f>IF(ISBLANK(C11),NA(),C11/$B$17)</f>
        <v>0.25180945968692137</v>
      </c>
      <c r="D30">
        <f>IF(ISBLANK(D11),NA(),D11/$B$17)</f>
        <v>0.31624065212686658</v>
      </c>
      <c r="E30">
        <f>IF(ISBLANK(E11),NA(),E11/$B$17)</f>
        <v>0.40195253324356167</v>
      </c>
      <c r="F30">
        <f>IF(ISBLANK(F11),NA(),F11/$B$17)</f>
        <v>0.47648303556399835</v>
      </c>
    </row>
    <row r="31" spans="1:6" hidden="1" x14ac:dyDescent="0.35">
      <c r="B31">
        <f>IF(ISBLANK(B12),NA(),B12/$B$17)</f>
        <v>2.6642941303772812E-2</v>
      </c>
      <c r="C31">
        <f>IF(ISBLANK(C12),NA(),C12/$B$17)</f>
        <v>2.8879217063024504E-2</v>
      </c>
      <c r="D31">
        <f>IF(ISBLANK(D12),NA(),D12/$B$17)</f>
        <v>3.4037078894846945E-2</v>
      </c>
      <c r="E31">
        <f>IF(ISBLANK(E12),NA(),E12/$B$17)</f>
        <v>3.6922596003558801E-2</v>
      </c>
      <c r="F31">
        <f>IF(ISBLANK(F12),NA(),F12/$B$17)</f>
        <v>3.7295308630100756E-2</v>
      </c>
    </row>
    <row r="32" spans="1:6" hidden="1" x14ac:dyDescent="0.35">
      <c r="B32">
        <f>IF(ISBLANK(B13),NA(),B13/$B$17)</f>
        <v>9.6376271430976032E-2</v>
      </c>
      <c r="C32">
        <f>IF(ISBLANK(C13),NA(),C13/$B$17)</f>
        <v>0.11300406376992811</v>
      </c>
      <c r="D32">
        <f>IF(ISBLANK(D13),NA(),D13/$B$17)</f>
        <v>0.12188905186717003</v>
      </c>
      <c r="E32">
        <f>IF(ISBLANK(E13),NA(),E13/$B$17)</f>
        <v>0.13168778704883738</v>
      </c>
      <c r="F32">
        <f>IF(ISBLANK(F13),NA(),F13/$B$17)</f>
        <v>0.12759997114482891</v>
      </c>
    </row>
    <row r="33" spans="2:6" hidden="1" x14ac:dyDescent="0.35">
      <c r="B33">
        <f>IF(ISBLANK(B14),NA(),B14/$B$17)</f>
        <v>4.8091951811864287E-5</v>
      </c>
      <c r="C33">
        <f>IF(ISBLANK(C14),NA(),C14/$B$17)</f>
        <v>2.4045975905932144E-5</v>
      </c>
      <c r="D33">
        <f>IF(ISBLANK(D14),NA(),D14/$B$17)</f>
        <v>0</v>
      </c>
      <c r="E33">
        <f>IF(ISBLANK(E14),NA(),E14/$B$17)</f>
        <v>1.2022987952966072E-5</v>
      </c>
      <c r="F33">
        <f>IF(ISBLANK(F14),NA(),F14/$B$17)</f>
        <v>3.6068963858898214E-5</v>
      </c>
    </row>
    <row r="34" spans="2:6" hidden="1" x14ac:dyDescent="0.35">
      <c r="B34">
        <f>IF(ISBLANK(B15),NA(),B15/$B$17)</f>
        <v>0.5579267559573905</v>
      </c>
      <c r="C34">
        <f>IF(ISBLANK(C15),NA(),C15/$B$17)</f>
        <v>0.61414624762545988</v>
      </c>
      <c r="D34">
        <f>IF(ISBLANK(D15),NA(),D15/$B$17)</f>
        <v>0.74001490850506169</v>
      </c>
      <c r="E34">
        <f>IF(ISBLANK(E15),NA(),E15/$B$17)</f>
        <v>0.89479885541154691</v>
      </c>
      <c r="F34">
        <f>IF(ISBLANK(F15),NA(),F15/$B$17)</f>
        <v>1</v>
      </c>
    </row>
    <row r="35" spans="2:6" hidden="1" x14ac:dyDescent="0.35"/>
    <row r="36" spans="2:6" hidden="1" x14ac:dyDescent="0.35"/>
    <row r="37" spans="2:6" hidden="1" x14ac:dyDescent="0.35"/>
    <row r="38" spans="2:6" hidden="1" x14ac:dyDescent="0.35"/>
    <row r="39" spans="2:6" hidden="1" x14ac:dyDescent="0.35"/>
    <row r="40" spans="2:6" hidden="1" x14ac:dyDescent="0.35"/>
    <row r="41" spans="2:6" hidden="1" x14ac:dyDescent="0.35"/>
    <row r="42" spans="2:6" hidden="1" x14ac:dyDescent="0.35"/>
    <row r="43" spans="2:6" hidden="1" x14ac:dyDescent="0.35"/>
    <row r="44" spans="2:6" hidden="1" x14ac:dyDescent="0.35"/>
    <row r="45" spans="2:6" hidden="1" x14ac:dyDescent="0.35"/>
    <row r="46" spans="2:6" hidden="1" x14ac:dyDescent="0.35"/>
    <row r="47" spans="2:6" hidden="1" x14ac:dyDescent="0.35"/>
    <row r="48" spans="2:6" hidden="1" x14ac:dyDescent="0.35">
      <c r="B48" t="str">
        <f>IF(ISBLANK(B10),"",IF(B10/83180*264&lt;(LEN(TEXT(B10,"# ##0")))*5,"",TEXT(B10,"# ##0")))</f>
        <v>17 258</v>
      </c>
      <c r="C48" t="str">
        <f>IF(ISBLANK(C10),"",IF(C10/83180*264&lt;(LEN(TEXT(C10,"# ##0")))*5,"",TEXT(C10,"# ##0")))</f>
        <v>18 334</v>
      </c>
      <c r="D48" t="str">
        <f>IF(ISBLANK(D10),"",IF(D10/83180*264&lt;(LEN(TEXT(D10,"# ##0")))*5,"",TEXT(D10,"# ##0")))</f>
        <v>22 278</v>
      </c>
      <c r="E48" t="str">
        <f>IF(ISBLANK(E10),"",IF(E10/83180*264&lt;(LEN(TEXT(E10,"# ##0")))*5,"",TEXT(E10,"# ##0")))</f>
        <v>26 967</v>
      </c>
      <c r="F48" t="str">
        <f>IF(ISBLANK(F10),"",IF(F10/83180*264&lt;(LEN(TEXT(F10,"# ##0")))*5,"",TEXT(F10,"# ##0")))</f>
        <v>29 825</v>
      </c>
    </row>
    <row r="49" spans="2:6" hidden="1" x14ac:dyDescent="0.35">
      <c r="B49" t="str">
        <f>IF(ISBLANK(B11),"",IF(B11/83180*264&lt;(LEN(TEXT(B11,"# ##0")))*5,"",TEXT(B11,"# ##0")))</f>
        <v>18 911</v>
      </c>
      <c r="C49" t="str">
        <f>IF(ISBLANK(C11),"",IF(C11/83180*264&lt;(LEN(TEXT(C11,"# ##0")))*5,"",TEXT(C11,"# ##0")))</f>
        <v>20 944</v>
      </c>
      <c r="D49" t="str">
        <f>IF(ISBLANK(D11),"",IF(D11/83180*264&lt;(LEN(TEXT(D11,"# ##0")))*5,"",TEXT(D11,"# ##0")))</f>
        <v>26 303</v>
      </c>
      <c r="E49" t="str">
        <f>IF(ISBLANK(E11),"",IF(E11/83180*264&lt;(LEN(TEXT(E11,"# ##0")))*5,"",TEXT(E11,"# ##0")))</f>
        <v>33 432</v>
      </c>
      <c r="F49" t="str">
        <f>IF(ISBLANK(F11),"",IF(F11/83180*264&lt;(LEN(TEXT(F11,"# ##0")))*5,"",TEXT(F11,"# ##0")))</f>
        <v>39 631</v>
      </c>
    </row>
    <row r="50" spans="2:6" hidden="1" x14ac:dyDescent="0.35">
      <c r="B50" t="str">
        <f>IF(ISBLANK(B12),"",IF(B12/83180*264&lt;(LEN(TEXT(B12,"# ##0")))*5,"",TEXT(B12,"# ##0")))</f>
        <v/>
      </c>
      <c r="C50" t="str">
        <f>IF(ISBLANK(C12),"",IF(C12/83180*264&lt;(LEN(TEXT(C12,"# ##0")))*5,"",TEXT(C12,"# ##0")))</f>
        <v/>
      </c>
      <c r="D50" t="str">
        <f>IF(ISBLANK(D12),"",IF(D12/83180*264&lt;(LEN(TEXT(D12,"# ##0")))*5,"",TEXT(D12,"# ##0")))</f>
        <v/>
      </c>
      <c r="E50" t="str">
        <f>IF(ISBLANK(E12),"",IF(E12/83180*264&lt;(LEN(TEXT(E12,"# ##0")))*5,"",TEXT(E12,"# ##0")))</f>
        <v/>
      </c>
      <c r="F50" t="str">
        <f>IF(ISBLANK(F12),"",IF(F12/83180*264&lt;(LEN(TEXT(F12,"# ##0")))*5,"",TEXT(F12,"# ##0")))</f>
        <v/>
      </c>
    </row>
    <row r="51" spans="2:6" hidden="1" x14ac:dyDescent="0.35">
      <c r="B51" t="str">
        <f>IF(ISBLANK(B13),"",IF(B13/83180*264&lt;(LEN(TEXT(B13,"# ##0")))*5,"",TEXT(B13,"# ##0")))</f>
        <v>8 016</v>
      </c>
      <c r="C51" t="str">
        <f>IF(ISBLANK(C13),"",IF(C13/83180*264&lt;(LEN(TEXT(C13,"# ##0")))*5,"",TEXT(C13,"# ##0")))</f>
        <v>9 399</v>
      </c>
      <c r="D51" t="str">
        <f>IF(ISBLANK(D13),"",IF(D13/83180*264&lt;(LEN(TEXT(D13,"# ##0")))*5,"",TEXT(D13,"# ##0")))</f>
        <v>10 138</v>
      </c>
      <c r="E51" t="str">
        <f>IF(ISBLANK(E13),"",IF(E13/83180*264&lt;(LEN(TEXT(E13,"# ##0")))*5,"",TEXT(E13,"# ##0")))</f>
        <v>10 953</v>
      </c>
      <c r="F51" t="str">
        <f>IF(ISBLANK(F13),"",IF(F13/83180*264&lt;(LEN(TEXT(F13,"# ##0")))*5,"",TEXT(F13,"# ##0")))</f>
        <v>10 613</v>
      </c>
    </row>
    <row r="52" spans="2:6" hidden="1" x14ac:dyDescent="0.35">
      <c r="B52" t="str">
        <f>IF(ISBLANK(B14),"",IF(B14/83180*264&lt;(LEN(TEXT(B14,"# ##0"))+LEN(TEXT(B15,"# ##0")))*5,"",TEXT(B14,"# ##0")))</f>
        <v/>
      </c>
      <c r="C52" t="str">
        <f>IF(ISBLANK(C14),"",IF(C14/83180*264&lt;(LEN(TEXT(C14,"# ##0"))+LEN(TEXT(C15,"# ##0")))*5,"",TEXT(C14,"# ##0")))</f>
        <v/>
      </c>
      <c r="D52" t="str">
        <f>IF(ISBLANK(D14),"",IF(D14/83180*264&lt;(LEN(TEXT(D14,"# ##0"))+LEN(TEXT(D15,"# ##0")))*5,"",TEXT(D14,"# ##0")))</f>
        <v/>
      </c>
      <c r="E52" t="str">
        <f>IF(ISBLANK(E14),"",IF(E14/83180*264&lt;(LEN(TEXT(E14,"# ##0"))+LEN(TEXT(E15,"# ##0")))*5,"",TEXT(E14,"# ##0")))</f>
        <v/>
      </c>
      <c r="F52" t="str">
        <f>IF(ISBLANK(F14),"",IF(F14/83180*264&lt;(LEN(TEXT(F14,"# ##0"))+LEN(TEXT(F15,"# ##0")))*5,"",TEXT(F14,"# ##0")))</f>
        <v/>
      </c>
    </row>
    <row r="53" spans="2:6" hidden="1" x14ac:dyDescent="0.35">
      <c r="B53" t="str">
        <f>IF(ISBLANK(B15),"",IF(B15/83180*264&lt;(LEN(TEXT(B15,"# ##0")))*5,"",TEXT(B15,"# ##0")))</f>
        <v>46 405</v>
      </c>
      <c r="C53" t="str">
        <f>IF(ISBLANK(C15),"",IF(C15/83180*264&lt;(LEN(TEXT(C15,"# ##0")))*5,"",TEXT(C15,"# ##0")))</f>
        <v>51 081</v>
      </c>
      <c r="D53" t="str">
        <f>IF(ISBLANK(D15),"",IF(D15/83180*264&lt;(LEN(TEXT(D15,"# ##0")))*5,"",TEXT(D15,"# ##0")))</f>
        <v>61 550</v>
      </c>
      <c r="E53" t="str">
        <f>IF(ISBLANK(E15),"",IF(E15/83180*264&lt;(LEN(TEXT(E15,"# ##0")))*5,"",TEXT(E15,"# ##0")))</f>
        <v>74 424</v>
      </c>
      <c r="F53" t="str">
        <f>IF(ISBLANK(F15),"",IF(F15/83180*264&lt;(LEN(TEXT(F15,"# ##0")))*5,"",TEXT(F15,"# ##0")))</f>
        <v>83 174</v>
      </c>
    </row>
    <row r="54" spans="2:6" hidden="1" x14ac:dyDescent="0.35"/>
  </sheetData>
  <mergeCells count="7">
    <mergeCell ref="B7:F7"/>
    <mergeCell ref="B1:F1"/>
    <mergeCell ref="B2:F2"/>
    <mergeCell ref="B3:F3"/>
    <mergeCell ref="B4:F4"/>
    <mergeCell ref="B5:F5"/>
    <mergeCell ref="B6:F6"/>
  </mergeCells>
  <printOptions horizontalCentered="1" verticalCentered="1"/>
  <pageMargins left="0.25" right="0.25" top="0.25" bottom="0.25" header="0.125" footer="0.125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806C-D24B-4FD6-9A3D-ED393AEF50DE}">
  <sheetPr>
    <pageSetUpPr fitToPage="1"/>
  </sheetPr>
  <dimension ref="A1:V48"/>
  <sheetViews>
    <sheetView showGridLines="0" workbookViewId="0"/>
  </sheetViews>
  <sheetFormatPr defaultRowHeight="14.5" x14ac:dyDescent="0.35"/>
  <cols>
    <col min="1" max="1" width="17.6328125" customWidth="1"/>
    <col min="2" max="22" width="9.1796875" customWidth="1"/>
  </cols>
  <sheetData>
    <row r="1" spans="1:22" ht="14.5" customHeight="1" x14ac:dyDescent="0.35">
      <c r="A1" s="1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2" x14ac:dyDescent="0.35">
      <c r="A2" s="17" t="s">
        <v>51</v>
      </c>
      <c r="B2" s="19" t="s">
        <v>74</v>
      </c>
      <c r="C2" s="18"/>
      <c r="D2" s="18"/>
      <c r="E2" s="18"/>
      <c r="F2" s="18"/>
    </row>
    <row r="3" spans="1:22" x14ac:dyDescent="0.35">
      <c r="A3" s="17" t="s">
        <v>53</v>
      </c>
      <c r="B3" s="19" t="s">
        <v>54</v>
      </c>
      <c r="C3" s="18"/>
      <c r="D3" s="18"/>
      <c r="E3" s="18"/>
      <c r="F3" s="18"/>
    </row>
    <row r="4" spans="1:22" x14ac:dyDescent="0.35">
      <c r="A4" s="17" t="s">
        <v>55</v>
      </c>
      <c r="B4" s="19" t="s">
        <v>75</v>
      </c>
      <c r="C4" s="18"/>
      <c r="D4" s="18"/>
      <c r="E4" s="18"/>
      <c r="F4" s="18"/>
    </row>
    <row r="5" spans="1:22" x14ac:dyDescent="0.35">
      <c r="A5" s="17" t="s">
        <v>57</v>
      </c>
      <c r="B5" s="19" t="s">
        <v>34</v>
      </c>
      <c r="C5" s="18"/>
      <c r="D5" s="18"/>
      <c r="E5" s="18"/>
      <c r="F5" s="18"/>
    </row>
    <row r="6" spans="1:22" ht="60" customHeight="1" x14ac:dyDescent="0.35">
      <c r="A6" s="17" t="s">
        <v>58</v>
      </c>
      <c r="B6" s="19" t="s">
        <v>76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</row>
    <row r="7" spans="1:22" ht="14.5" customHeight="1" x14ac:dyDescent="0.35">
      <c r="A7" s="17" t="s">
        <v>60</v>
      </c>
      <c r="B7" s="20" t="str">
        <f>B2&amp;IF(B3="",""," in "&amp;B3)</f>
        <v>Net premiums earned in $m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</row>
    <row r="9" spans="1:22" x14ac:dyDescent="0.35">
      <c r="A9" s="6" t="s">
        <v>23</v>
      </c>
      <c r="B9" s="22" t="s">
        <v>67</v>
      </c>
      <c r="C9" s="22" t="s">
        <v>68</v>
      </c>
      <c r="D9" s="22" t="s">
        <v>69</v>
      </c>
      <c r="E9" s="22" t="s">
        <v>70</v>
      </c>
    </row>
    <row r="10" spans="1:22" x14ac:dyDescent="0.35">
      <c r="A10" s="21" t="s">
        <v>77</v>
      </c>
      <c r="B10" s="23">
        <v>19186</v>
      </c>
      <c r="C10" s="23">
        <v>26030</v>
      </c>
      <c r="D10" s="23">
        <v>1424</v>
      </c>
      <c r="E10" s="23">
        <v>7225</v>
      </c>
    </row>
    <row r="11" spans="1:22" x14ac:dyDescent="0.35">
      <c r="A11" s="21" t="s">
        <v>78</v>
      </c>
      <c r="B11" s="23">
        <v>5906</v>
      </c>
      <c r="C11" s="23">
        <v>8460</v>
      </c>
      <c r="D11" s="23">
        <v>916</v>
      </c>
      <c r="E11" s="23">
        <v>2241</v>
      </c>
    </row>
    <row r="12" spans="1:22" x14ac:dyDescent="0.35">
      <c r="A12" s="21" t="s">
        <v>79</v>
      </c>
      <c r="B12" s="23">
        <v>4290</v>
      </c>
      <c r="C12" s="23">
        <v>3790</v>
      </c>
      <c r="D12" s="23">
        <v>776</v>
      </c>
      <c r="E12" s="23">
        <v>1415</v>
      </c>
    </row>
    <row r="13" spans="1:22" x14ac:dyDescent="0.35">
      <c r="A13" s="24" t="s">
        <v>72</v>
      </c>
      <c r="B13" s="25">
        <f>SUM(B10:B12)</f>
        <v>29382</v>
      </c>
      <c r="C13" s="25">
        <f>SUM(C10:C12)</f>
        <v>38280</v>
      </c>
      <c r="D13" s="25">
        <f>SUM(D10:D12)</f>
        <v>3116</v>
      </c>
      <c r="E13" s="25">
        <f>SUM(E10:E12)</f>
        <v>10881</v>
      </c>
    </row>
    <row r="15" spans="1:22" x14ac:dyDescent="0.35">
      <c r="A15" t="s">
        <v>73</v>
      </c>
      <c r="B15" s="26">
        <f>MAX(_xlfn.AGGREGATE(4,6,$B$13:$E$13),0.000000001)</f>
        <v>38280</v>
      </c>
    </row>
    <row r="18" spans="2:5" hidden="1" x14ac:dyDescent="0.35"/>
    <row r="19" spans="2:5" hidden="1" x14ac:dyDescent="0.35"/>
    <row r="20" spans="2:5" hidden="1" x14ac:dyDescent="0.35"/>
    <row r="21" spans="2:5" hidden="1" x14ac:dyDescent="0.35"/>
    <row r="22" spans="2:5" hidden="1" x14ac:dyDescent="0.35"/>
    <row r="23" spans="2:5" hidden="1" x14ac:dyDescent="0.35"/>
    <row r="24" spans="2:5" hidden="1" x14ac:dyDescent="0.35"/>
    <row r="25" spans="2:5" hidden="1" x14ac:dyDescent="0.35"/>
    <row r="26" spans="2:5" hidden="1" x14ac:dyDescent="0.35"/>
    <row r="27" spans="2:5" hidden="1" x14ac:dyDescent="0.35">
      <c r="B27">
        <f>IF(ISBLANK(B10),NA(),B10/$B$15)</f>
        <v>0.50120167189132703</v>
      </c>
      <c r="C27">
        <f>IF(ISBLANK(C10),NA(),C10/$B$15)</f>
        <v>0.67998955067920586</v>
      </c>
      <c r="D27">
        <f>IF(ISBLANK(D10),NA(),D10/$B$15)</f>
        <v>3.7199582027168235E-2</v>
      </c>
      <c r="E27">
        <f>IF(ISBLANK(E10),NA(),E10/$B$15)</f>
        <v>0.18874085684430511</v>
      </c>
    </row>
    <row r="28" spans="2:5" hidden="1" x14ac:dyDescent="0.35">
      <c r="B28">
        <f>IF(ISBLANK(B11),NA(),B11/$B$15)</f>
        <v>0.15428422152560084</v>
      </c>
      <c r="C28">
        <f>IF(ISBLANK(C11),NA(),C11/$B$15)</f>
        <v>0.22100313479623823</v>
      </c>
      <c r="D28">
        <f>IF(ISBLANK(D11),NA(),D11/$B$15)</f>
        <v>2.392894461859979E-2</v>
      </c>
      <c r="E28">
        <f>IF(ISBLANK(E11),NA(),E11/$B$15)</f>
        <v>5.8542319749216302E-2</v>
      </c>
    </row>
    <row r="29" spans="2:5" hidden="1" x14ac:dyDescent="0.35">
      <c r="B29">
        <f>IF(ISBLANK(B12),NA(),B12/$B$15)</f>
        <v>0.11206896551724138</v>
      </c>
      <c r="C29">
        <f>IF(ISBLANK(C12),NA(),C12/$B$15)</f>
        <v>9.9007314524555898E-2</v>
      </c>
      <c r="D29">
        <f>IF(ISBLANK(D12),NA(),D12/$B$15)</f>
        <v>2.0271682340647856E-2</v>
      </c>
      <c r="E29">
        <f>IF(ISBLANK(E12),NA(),E12/$B$15)</f>
        <v>3.6964472309299896E-2</v>
      </c>
    </row>
    <row r="30" spans="2:5" hidden="1" x14ac:dyDescent="0.35">
      <c r="B30">
        <f>IF(ISBLANK(B13),NA(),B13/$B$15)</f>
        <v>0.7675548589341693</v>
      </c>
      <c r="C30">
        <f>IF(ISBLANK(C13),NA(),C13/$B$15)</f>
        <v>1</v>
      </c>
      <c r="D30">
        <f>IF(ISBLANK(D13),NA(),D13/$B$15)</f>
        <v>8.1400208986415881E-2</v>
      </c>
      <c r="E30">
        <f>IF(ISBLANK(E13),NA(),E13/$B$15)</f>
        <v>0.28424764890282134</v>
      </c>
    </row>
    <row r="31" spans="2:5" hidden="1" x14ac:dyDescent="0.35"/>
    <row r="32" spans="2:5" hidden="1" x14ac:dyDescent="0.35"/>
    <row r="33" spans="2:5" hidden="1" x14ac:dyDescent="0.35"/>
    <row r="34" spans="2:5" hidden="1" x14ac:dyDescent="0.35"/>
    <row r="35" spans="2:5" hidden="1" x14ac:dyDescent="0.35"/>
    <row r="36" spans="2:5" hidden="1" x14ac:dyDescent="0.35"/>
    <row r="37" spans="2:5" hidden="1" x14ac:dyDescent="0.35"/>
    <row r="38" spans="2:5" hidden="1" x14ac:dyDescent="0.35"/>
    <row r="39" spans="2:5" hidden="1" x14ac:dyDescent="0.35"/>
    <row r="40" spans="2:5" hidden="1" x14ac:dyDescent="0.35"/>
    <row r="41" spans="2:5" hidden="1" x14ac:dyDescent="0.35"/>
    <row r="42" spans="2:5" hidden="1" x14ac:dyDescent="0.35"/>
    <row r="43" spans="2:5" hidden="1" x14ac:dyDescent="0.35"/>
    <row r="44" spans="2:5" hidden="1" x14ac:dyDescent="0.35">
      <c r="B44" t="str">
        <f>IF(ISBLANK(B10),"",IF(B10/38300*492.8&lt;(LEN(TEXT(B10,"# ##0")))*5,"",TEXT(B10,"# ##0")))</f>
        <v>19 186</v>
      </c>
      <c r="C44" t="str">
        <f>IF(ISBLANK(C10),"",IF(C10/38300*492.8&lt;(LEN(TEXT(C10,"# ##0")))*5,"",TEXT(C10,"# ##0")))</f>
        <v>26 030</v>
      </c>
      <c r="D44" t="str">
        <f>IF(ISBLANK(D10),"",IF(D10/38300*492.8&lt;(LEN(TEXT(D10,"# ##0")))*5,"",TEXT(D10,"# ##0")))</f>
        <v/>
      </c>
      <c r="E44" t="str">
        <f>IF(ISBLANK(E10),"",IF(E10/38300*492.8&lt;(LEN(TEXT(E10,"# ##0")))*5,"",TEXT(E10,"# ##0")))</f>
        <v>7 225</v>
      </c>
    </row>
    <row r="45" spans="2:5" hidden="1" x14ac:dyDescent="0.35">
      <c r="B45" t="str">
        <f>IF(ISBLANK(B11),"",IF(B11/38300*492.8&lt;(LEN(TEXT(B11,"# ##0")))*5,"",TEXT(B11,"# ##0")))</f>
        <v>5 906</v>
      </c>
      <c r="C45" t="str">
        <f>IF(ISBLANK(C11),"",IF(C11/38300*492.8&lt;(LEN(TEXT(C11,"# ##0")))*5,"",TEXT(C11,"# ##0")))</f>
        <v>8 460</v>
      </c>
      <c r="D45" t="str">
        <f>IF(ISBLANK(D11),"",IF(D11/38300*492.8&lt;(LEN(TEXT(D11,"# ##0")))*5,"",TEXT(D11,"# ##0")))</f>
        <v/>
      </c>
      <c r="E45" t="str">
        <f>IF(ISBLANK(E11),"",IF(E11/38300*492.8&lt;(LEN(TEXT(E11,"# ##0")))*5,"",TEXT(E11,"# ##0")))</f>
        <v>2 241</v>
      </c>
    </row>
    <row r="46" spans="2:5" hidden="1" x14ac:dyDescent="0.35">
      <c r="B46" t="str">
        <f>IF(ISBLANK(B12),"",IF(B12/38300*492.8&lt;(LEN(TEXT(B12,"# ##0"))+LEN(TEXT(B13,"# ##0")))*5,"",TEXT(B12,"# ##0")))</f>
        <v>4 290</v>
      </c>
      <c r="C46" t="str">
        <f>IF(ISBLANK(C12),"",IF(C12/38300*492.8&lt;(LEN(TEXT(C12,"# ##0"))+LEN(TEXT(C13,"# ##0")))*5,"",TEXT(C12,"# ##0")))</f>
        <v/>
      </c>
      <c r="D46" t="str">
        <f>IF(ISBLANK(D12),"",IF(D12/38300*492.8&lt;(LEN(TEXT(D12,"# ##0"))+LEN(TEXT(D13,"# ##0")))*5,"",TEXT(D12,"# ##0")))</f>
        <v/>
      </c>
      <c r="E46" t="str">
        <f>IF(ISBLANK(E12),"",IF(E12/38300*492.8&lt;(LEN(TEXT(E12,"# ##0"))+LEN(TEXT(E13,"# ##0")))*5,"",TEXT(E12,"# ##0")))</f>
        <v/>
      </c>
    </row>
    <row r="47" spans="2:5" hidden="1" x14ac:dyDescent="0.35">
      <c r="B47" t="str">
        <f>IF(ISBLANK(B13),"",IF(B13/38300*492.8&lt;(LEN(TEXT(B13,"# ##0")))*5,"",TEXT(B13,"# ##0")))</f>
        <v>29 382</v>
      </c>
      <c r="C47" t="str">
        <f>IF(ISBLANK(C13),"",IF(C13/38300*492.8&lt;(LEN(TEXT(C13,"# ##0")))*5,"",TEXT(C13,"# ##0")))</f>
        <v>38 280</v>
      </c>
      <c r="D47" t="str">
        <f>IF(ISBLANK(D13),"",IF(D13/38300*492.8&lt;(LEN(TEXT(D13,"# ##0")))*5,"",TEXT(D13,"# ##0")))</f>
        <v>3 116</v>
      </c>
      <c r="E47" t="str">
        <f>IF(ISBLANK(E13),"",IF(E13/38300*492.8&lt;(LEN(TEXT(E13,"# ##0")))*5,"",TEXT(E13,"# ##0")))</f>
        <v>10 881</v>
      </c>
    </row>
    <row r="48" spans="2:5" hidden="1" x14ac:dyDescent="0.35"/>
  </sheetData>
  <mergeCells count="7">
    <mergeCell ref="B1:V1"/>
    <mergeCell ref="B6:V6"/>
    <mergeCell ref="B7:V7"/>
    <mergeCell ref="B2:F2"/>
    <mergeCell ref="B3:F3"/>
    <mergeCell ref="B4:F4"/>
    <mergeCell ref="B5:F5"/>
  </mergeCells>
  <printOptions horizontalCentered="1" verticalCentered="1"/>
  <pageMargins left="0.25" right="0.25" top="0.25" bottom="0.25" header="0.125" footer="0.125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90A4-8C08-4781-A247-394690EC3BA4}">
  <sheetPr>
    <pageSetUpPr fitToPage="1"/>
  </sheetPr>
  <dimension ref="A1:AC24"/>
  <sheetViews>
    <sheetView showGridLines="0" workbookViewId="0"/>
  </sheetViews>
  <sheetFormatPr defaultRowHeight="14.5" x14ac:dyDescent="0.35"/>
  <cols>
    <col min="1" max="1" width="8.6328125" customWidth="1"/>
    <col min="2" max="2" width="9.6328125" customWidth="1"/>
    <col min="3" max="3" width="9.1796875" customWidth="1"/>
    <col min="4" max="4" width="9.6328125" customWidth="1"/>
    <col min="5" max="6" width="9.1796875" customWidth="1"/>
    <col min="7" max="14" width="8.1796875" customWidth="1"/>
    <col min="15" max="29" width="8.6328125" hidden="1" customWidth="1"/>
  </cols>
  <sheetData>
    <row r="1" spans="1:29" ht="15" customHeight="1" x14ac:dyDescent="0.35">
      <c r="A1" s="2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ht="15" customHeight="1" x14ac:dyDescent="0.35">
      <c r="A2" s="27" t="s">
        <v>51</v>
      </c>
      <c r="B2" s="19" t="s">
        <v>52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" customHeight="1" x14ac:dyDescent="0.35">
      <c r="A3" s="27" t="s">
        <v>53</v>
      </c>
      <c r="B3" s="19" t="s">
        <v>54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" customHeight="1" x14ac:dyDescent="0.35">
      <c r="A4" s="27" t="s">
        <v>55</v>
      </c>
      <c r="B4" s="19" t="s">
        <v>80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ht="15" customHeight="1" x14ac:dyDescent="0.35">
      <c r="A5" s="27" t="s">
        <v>57</v>
      </c>
      <c r="B5" s="19" t="s">
        <v>27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spans="1:29" ht="29.5" customHeight="1" x14ac:dyDescent="0.35">
      <c r="A6" s="27" t="s">
        <v>58</v>
      </c>
      <c r="B6" s="29" t="s">
        <v>81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 spans="1:29" ht="15" customHeight="1" x14ac:dyDescent="0.35">
      <c r="A7" s="27" t="s">
        <v>60</v>
      </c>
      <c r="B7" s="28" t="str">
        <f>B2&amp;" in "&amp;B3</f>
        <v>Net premiums written in $m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29" ht="15" customHeight="1" x14ac:dyDescent="0.35"/>
    <row r="9" spans="1:29" ht="15" customHeight="1" x14ac:dyDescent="0.35"/>
    <row r="10" spans="1:29" ht="28" customHeight="1" x14ac:dyDescent="0.35">
      <c r="A10" s="7" t="s">
        <v>55</v>
      </c>
      <c r="B10" s="7" t="s">
        <v>16</v>
      </c>
      <c r="C10" s="7" t="s">
        <v>27</v>
      </c>
      <c r="D10" s="7" t="s">
        <v>51</v>
      </c>
      <c r="E10" s="7" t="s">
        <v>82</v>
      </c>
      <c r="F10" s="7" t="s">
        <v>83</v>
      </c>
      <c r="G10" s="7" t="s">
        <v>84</v>
      </c>
      <c r="H10" s="7" t="s">
        <v>85</v>
      </c>
      <c r="I10" s="7" t="s">
        <v>86</v>
      </c>
      <c r="J10" s="7" t="s">
        <v>87</v>
      </c>
      <c r="K10" s="7" t="s">
        <v>88</v>
      </c>
      <c r="L10" s="7" t="s">
        <v>89</v>
      </c>
      <c r="M10" s="7" t="s">
        <v>90</v>
      </c>
      <c r="N10" s="7" t="s">
        <v>91</v>
      </c>
      <c r="O10" s="7" t="s">
        <v>92</v>
      </c>
      <c r="P10" s="7" t="s">
        <v>93</v>
      </c>
      <c r="Q10" s="7" t="s">
        <v>94</v>
      </c>
      <c r="R10" s="7" t="s">
        <v>95</v>
      </c>
      <c r="S10" s="7" t="s">
        <v>96</v>
      </c>
      <c r="T10" s="7" t="s">
        <v>97</v>
      </c>
      <c r="U10" s="7" t="s">
        <v>98</v>
      </c>
      <c r="V10" s="7" t="s">
        <v>99</v>
      </c>
      <c r="W10" s="7" t="s">
        <v>100</v>
      </c>
      <c r="X10" s="7" t="s">
        <v>101</v>
      </c>
      <c r="Y10" s="7" t="s">
        <v>102</v>
      </c>
      <c r="Z10" s="7" t="s">
        <v>103</v>
      </c>
      <c r="AA10" s="7" t="s">
        <v>104</v>
      </c>
      <c r="AB10" s="7" t="s">
        <v>105</v>
      </c>
      <c r="AC10" s="7" t="s">
        <v>106</v>
      </c>
    </row>
    <row r="11" spans="1:29" x14ac:dyDescent="0.35">
      <c r="A11" s="21" t="s">
        <v>107</v>
      </c>
      <c r="B11" t="s">
        <v>20</v>
      </c>
      <c r="C11" s="30">
        <v>6481</v>
      </c>
      <c r="D11" s="30">
        <v>6735</v>
      </c>
      <c r="E11" s="32">
        <f>D11-C11</f>
        <v>254</v>
      </c>
      <c r="F11" s="33">
        <f>IF(C11&lt;=0,NA(),(D11-C11)/C11*100)</f>
        <v>3.919148279586484</v>
      </c>
      <c r="G11" s="33">
        <f>IF($B11="AC",$D11,NA())</f>
        <v>6735</v>
      </c>
      <c r="H11" s="33" t="e">
        <f>IF($B11="AC",NA(),$D11)</f>
        <v>#N/A</v>
      </c>
      <c r="I11" s="33">
        <f>IF($E11&gt;0,$E11,NA())</f>
        <v>254</v>
      </c>
      <c r="J11" s="33" t="e">
        <f>IF($E11&lt;0,$E11,NA())</f>
        <v>#N/A</v>
      </c>
      <c r="K11" s="33">
        <f>IF($F11&gt;0,$F11,NA())</f>
        <v>3.919148279586484</v>
      </c>
      <c r="L11" s="33" t="e">
        <f>IF($F11&lt;0,$F11,NA())</f>
        <v>#N/A</v>
      </c>
      <c r="M11" s="33">
        <f>IF($F11&gt;0,$F11,0)</f>
        <v>3.919148279586484</v>
      </c>
      <c r="N11" s="33">
        <f>IF($F11&lt;0,-$F11,0)</f>
        <v>0</v>
      </c>
      <c r="O11" s="34">
        <f>MAX(_xlfn.AGGREGATE(4,6,C11:C22,D11:D22,E11:E22,I11:I22,J11:J22),-_xlfn.AGGREGATE(5,6,C11:C22,D11:D22,E11:E22,I11:I22,J11:J22),0.000000001)</f>
        <v>9911</v>
      </c>
      <c r="P11" s="34">
        <f>MAX(_xlfn.AGGREGATE(4,6,K11:K22,L11:L22,M11:M22,N11:N22),-_xlfn.AGGREGATE(5,6,K11:K22,L11:L22,M11:M22,N11:N22),0.000000001)</f>
        <v>9.6228293330383803</v>
      </c>
      <c r="Q11" s="34">
        <f>C11/$O$11</f>
        <v>0.65391988699424886</v>
      </c>
      <c r="R11" s="34">
        <f>D11/$O$11</f>
        <v>0.67954797699525782</v>
      </c>
      <c r="S11" s="17" t="str">
        <f>IF(ISNA(D11),"",TEXT(D11,"0"))</f>
        <v>6735</v>
      </c>
      <c r="T11" s="34">
        <f>E11/$O$11</f>
        <v>2.562809000100898E-2</v>
      </c>
      <c r="U11" s="17" t="str">
        <f>IF(ISNA(E11),"",TEXT(E11,"+0;-0"))</f>
        <v>+254</v>
      </c>
      <c r="V11" s="34">
        <f>I11/$O$11</f>
        <v>2.562809000100898E-2</v>
      </c>
      <c r="W11" s="34" t="e">
        <f>J11/$O$11</f>
        <v>#N/A</v>
      </c>
      <c r="X11" s="34">
        <f>K11/$P$11</f>
        <v>0.40727608730737247</v>
      </c>
      <c r="Y11" s="17" t="str">
        <f>IF(ISNA(K11),"",TEXT(K11,"+0.0;-0.0"))</f>
        <v>+3.9</v>
      </c>
      <c r="Z11" s="34" t="e">
        <f>L11/$P$11</f>
        <v>#N/A</v>
      </c>
      <c r="AA11" s="17" t="str">
        <f>IF(ISNA(L11),"",TEXT(L11,"+0.0;-0.0"))</f>
        <v/>
      </c>
      <c r="AB11" s="34">
        <f>M11/$P$11</f>
        <v>0.40727608730737247</v>
      </c>
      <c r="AC11" s="34">
        <f>N11/$P$11</f>
        <v>0</v>
      </c>
    </row>
    <row r="12" spans="1:29" x14ac:dyDescent="0.35">
      <c r="A12" s="21" t="s">
        <v>108</v>
      </c>
      <c r="B12" t="s">
        <v>20</v>
      </c>
      <c r="C12" s="30">
        <v>6684</v>
      </c>
      <c r="D12" s="30">
        <v>6995</v>
      </c>
      <c r="E12" s="32">
        <f>D12-C12</f>
        <v>311</v>
      </c>
      <c r="F12" s="33">
        <f>IF(C12&lt;=0,NA(),(D12-C12)/C12*100)</f>
        <v>4.6529024536205865</v>
      </c>
      <c r="G12" s="33">
        <f>IF($B12="AC",$D12,NA())</f>
        <v>6995</v>
      </c>
      <c r="H12" s="33" t="e">
        <f>IF($B12="AC",NA(),$D12)</f>
        <v>#N/A</v>
      </c>
      <c r="I12" s="33">
        <f>IF($E12&gt;0,$E12,NA())</f>
        <v>311</v>
      </c>
      <c r="J12" s="33" t="e">
        <f>IF($E12&lt;0,$E12,NA())</f>
        <v>#N/A</v>
      </c>
      <c r="K12" s="33">
        <f>IF($F12&gt;0,$F12,NA())</f>
        <v>4.6529024536205865</v>
      </c>
      <c r="L12" s="33" t="e">
        <f>IF($F12&lt;0,$F12,NA())</f>
        <v>#N/A</v>
      </c>
      <c r="M12" s="33">
        <f>IF($F12&gt;0,$F12,0)</f>
        <v>4.6529024536205865</v>
      </c>
      <c r="N12" s="33">
        <f>IF($F12&lt;0,-$F12,0)</f>
        <v>0</v>
      </c>
      <c r="O12" s="34"/>
      <c r="P12" s="34"/>
      <c r="Q12" s="34">
        <f>C12/$O$11</f>
        <v>0.67440217939663005</v>
      </c>
      <c r="R12" s="34">
        <f>D12/$O$11</f>
        <v>0.70578145494904654</v>
      </c>
      <c r="S12" s="17" t="str">
        <f>IF(ISNA(D12),"",TEXT(D12,"0"))</f>
        <v>6995</v>
      </c>
      <c r="T12" s="34">
        <f>E12/$O$11</f>
        <v>3.1379275552416507E-2</v>
      </c>
      <c r="U12" s="17" t="str">
        <f>IF(ISNA(E12),"",TEXT(E12,"+0;-0"))</f>
        <v>+311</v>
      </c>
      <c r="V12" s="34">
        <f>I12/$O$11</f>
        <v>3.1379275552416507E-2</v>
      </c>
      <c r="W12" s="34" t="e">
        <f>J12/$O$11</f>
        <v>#N/A</v>
      </c>
      <c r="X12" s="34">
        <f>K12/$P$11</f>
        <v>0.48352748371475546</v>
      </c>
      <c r="Y12" s="17" t="str">
        <f>IF(ISNA(K12),"",TEXT(K12,"+0.0;-0.0"))</f>
        <v>+4.7</v>
      </c>
      <c r="Z12" s="34" t="e">
        <f>L12/$P$11</f>
        <v>#N/A</v>
      </c>
      <c r="AA12" s="17" t="str">
        <f>IF(ISNA(L12),"",TEXT(L12,"+0.0;-0.0"))</f>
        <v/>
      </c>
      <c r="AB12" s="34">
        <f>M12/$P$11</f>
        <v>0.48352748371475546</v>
      </c>
      <c r="AC12" s="34">
        <f>N12/$P$11</f>
        <v>0</v>
      </c>
    </row>
    <row r="13" spans="1:29" x14ac:dyDescent="0.35">
      <c r="A13" s="21" t="s">
        <v>109</v>
      </c>
      <c r="B13" t="s">
        <v>20</v>
      </c>
      <c r="C13" s="30">
        <v>9041</v>
      </c>
      <c r="D13" s="30">
        <v>9911</v>
      </c>
      <c r="E13" s="32">
        <f>D13-C13</f>
        <v>870</v>
      </c>
      <c r="F13" s="33">
        <f>IF(C13&lt;=0,NA(),(D13-C13)/C13*100)</f>
        <v>9.6228293330383803</v>
      </c>
      <c r="G13" s="33">
        <f>IF($B13="AC",$D13,NA())</f>
        <v>9911</v>
      </c>
      <c r="H13" s="33" t="e">
        <f>IF($B13="AC",NA(),$D13)</f>
        <v>#N/A</v>
      </c>
      <c r="I13" s="33">
        <f>IF($E13&gt;0,$E13,NA())</f>
        <v>870</v>
      </c>
      <c r="J13" s="33" t="e">
        <f>IF($E13&lt;0,$E13,NA())</f>
        <v>#N/A</v>
      </c>
      <c r="K13" s="33">
        <f>IF($F13&gt;0,$F13,NA())</f>
        <v>9.6228293330383803</v>
      </c>
      <c r="L13" s="33" t="e">
        <f>IF($F13&lt;0,$F13,NA())</f>
        <v>#N/A</v>
      </c>
      <c r="M13" s="33">
        <f>IF($F13&gt;0,$F13,0)</f>
        <v>9.6228293330383803</v>
      </c>
      <c r="N13" s="33">
        <f>IF($F13&lt;0,-$F13,0)</f>
        <v>0</v>
      </c>
      <c r="O13" s="34"/>
      <c r="P13" s="34"/>
      <c r="Q13" s="34">
        <f>C13/$O$11</f>
        <v>0.91221874684693771</v>
      </c>
      <c r="R13" s="34">
        <f>D13/$O$11</f>
        <v>1</v>
      </c>
      <c r="S13" s="17" t="str">
        <f>IF(ISNA(D13),"",TEXT(D13,"0"))</f>
        <v>9911</v>
      </c>
      <c r="T13" s="34">
        <f>E13/$O$11</f>
        <v>8.7781253153062261E-2</v>
      </c>
      <c r="U13" s="17" t="str">
        <f>IF(ISNA(E13),"",TEXT(E13,"+0;-0"))</f>
        <v>+870</v>
      </c>
      <c r="V13" s="34">
        <f>I13/$O$11</f>
        <v>8.7781253153062261E-2</v>
      </c>
      <c r="W13" s="34" t="e">
        <f>J13/$O$11</f>
        <v>#N/A</v>
      </c>
      <c r="X13" s="34">
        <f>K13/$P$11</f>
        <v>1</v>
      </c>
      <c r="Y13" s="17" t="str">
        <f>IF(ISNA(K13),"",TEXT(K13,"+0.0;-0.0"))</f>
        <v>+9.6</v>
      </c>
      <c r="Z13" s="34" t="e">
        <f>L13/$P$11</f>
        <v>#N/A</v>
      </c>
      <c r="AA13" s="17" t="str">
        <f>IF(ISNA(L13),"",TEXT(L13,"+0.0;-0.0"))</f>
        <v/>
      </c>
      <c r="AB13" s="34">
        <f>M13/$P$11</f>
        <v>1</v>
      </c>
      <c r="AC13" s="34">
        <f>N13/$P$11</f>
        <v>0</v>
      </c>
    </row>
    <row r="14" spans="1:29" x14ac:dyDescent="0.35">
      <c r="A14" s="21" t="s">
        <v>110</v>
      </c>
      <c r="B14" t="s">
        <v>20</v>
      </c>
      <c r="C14" s="30">
        <v>6837</v>
      </c>
      <c r="D14" s="30">
        <v>7278</v>
      </c>
      <c r="E14" s="32">
        <f>D14-C14</f>
        <v>441</v>
      </c>
      <c r="F14" s="33">
        <f>IF(C14&lt;=0,NA(),(D14-C14)/C14*100)</f>
        <v>6.4501974550241332</v>
      </c>
      <c r="G14" s="33">
        <f>IF($B14="AC",$D14,NA())</f>
        <v>7278</v>
      </c>
      <c r="H14" s="33" t="e">
        <f>IF($B14="AC",NA(),$D14)</f>
        <v>#N/A</v>
      </c>
      <c r="I14" s="33">
        <f>IF($E14&gt;0,$E14,NA())</f>
        <v>441</v>
      </c>
      <c r="J14" s="33" t="e">
        <f>IF($E14&lt;0,$E14,NA())</f>
        <v>#N/A</v>
      </c>
      <c r="K14" s="33">
        <f>IF($F14&gt;0,$F14,NA())</f>
        <v>6.4501974550241332</v>
      </c>
      <c r="L14" s="33" t="e">
        <f>IF($F14&lt;0,$F14,NA())</f>
        <v>#N/A</v>
      </c>
      <c r="M14" s="33">
        <f>IF($F14&gt;0,$F14,0)</f>
        <v>6.4501974550241332</v>
      </c>
      <c r="N14" s="33">
        <f>IF($F14&lt;0,-$F14,0)</f>
        <v>0</v>
      </c>
      <c r="O14" s="34"/>
      <c r="P14" s="34"/>
      <c r="Q14" s="34">
        <f>C14/$O$11</f>
        <v>0.68983957219251335</v>
      </c>
      <c r="R14" s="34">
        <f>D14/$O$11</f>
        <v>0.7343355867218242</v>
      </c>
      <c r="S14" s="17" t="str">
        <f>IF(ISNA(D14),"",TEXT(D14,"0"))</f>
        <v>7278</v>
      </c>
      <c r="T14" s="34">
        <f>E14/$O$11</f>
        <v>4.4496014529310866E-2</v>
      </c>
      <c r="U14" s="17" t="str">
        <f>IF(ISNA(E14),"",TEXT(E14,"+0;-0"))</f>
        <v>+441</v>
      </c>
      <c r="V14" s="34">
        <f>I14/$O$11</f>
        <v>4.4496014529310866E-2</v>
      </c>
      <c r="W14" s="34" t="e">
        <f>J14/$O$11</f>
        <v>#N/A</v>
      </c>
      <c r="X14" s="34">
        <f>K14/$P$11</f>
        <v>0.67030155391808266</v>
      </c>
      <c r="Y14" s="17" t="str">
        <f>IF(ISNA(K14),"",TEXT(K14,"+0.0;-0.0"))</f>
        <v>+6.5</v>
      </c>
      <c r="Z14" s="34" t="e">
        <f>L14/$P$11</f>
        <v>#N/A</v>
      </c>
      <c r="AA14" s="17" t="str">
        <f>IF(ISNA(L14),"",TEXT(L14,"+0.0;-0.0"))</f>
        <v/>
      </c>
      <c r="AB14" s="34">
        <f>M14/$P$11</f>
        <v>0.67030155391808266</v>
      </c>
      <c r="AC14" s="34">
        <f>N14/$P$11</f>
        <v>0</v>
      </c>
    </row>
    <row r="15" spans="1:29" x14ac:dyDescent="0.35">
      <c r="A15" s="21" t="s">
        <v>111</v>
      </c>
      <c r="B15" t="s">
        <v>20</v>
      </c>
      <c r="C15" s="30">
        <v>6634</v>
      </c>
      <c r="D15" s="30">
        <v>7027</v>
      </c>
      <c r="E15" s="32">
        <f>D15-C15</f>
        <v>393</v>
      </c>
      <c r="F15" s="33">
        <f>IF(C15&lt;=0,NA(),(D15-C15)/C15*100)</f>
        <v>5.9240277359059395</v>
      </c>
      <c r="G15" s="33">
        <f>IF($B15="AC",$D15,NA())</f>
        <v>7027</v>
      </c>
      <c r="H15" s="33" t="e">
        <f>IF($B15="AC",NA(),$D15)</f>
        <v>#N/A</v>
      </c>
      <c r="I15" s="33">
        <f>IF($E15&gt;0,$E15,NA())</f>
        <v>393</v>
      </c>
      <c r="J15" s="33" t="e">
        <f>IF($E15&lt;0,$E15,NA())</f>
        <v>#N/A</v>
      </c>
      <c r="K15" s="33">
        <f>IF($F15&gt;0,$F15,NA())</f>
        <v>5.9240277359059395</v>
      </c>
      <c r="L15" s="33" t="e">
        <f>IF($F15&lt;0,$F15,NA())</f>
        <v>#N/A</v>
      </c>
      <c r="M15" s="33">
        <f>IF($F15&gt;0,$F15,0)</f>
        <v>5.9240277359059395</v>
      </c>
      <c r="N15" s="33">
        <f>IF($F15&lt;0,-$F15,0)</f>
        <v>0</v>
      </c>
      <c r="O15" s="34"/>
      <c r="P15" s="34"/>
      <c r="Q15" s="34">
        <f>C15/$O$11</f>
        <v>0.66935727979013215</v>
      </c>
      <c r="R15" s="34">
        <f>D15/$O$11</f>
        <v>0.70901019069720517</v>
      </c>
      <c r="S15" s="17" t="str">
        <f>IF(ISNA(D15),"",TEXT(D15,"0"))</f>
        <v>7027</v>
      </c>
      <c r="T15" s="34">
        <f>E15/$O$11</f>
        <v>3.9652910907072951E-2</v>
      </c>
      <c r="U15" s="17" t="str">
        <f>IF(ISNA(E15),"",TEXT(E15,"+0;-0"))</f>
        <v>+393</v>
      </c>
      <c r="V15" s="34">
        <f>I15/$O$11</f>
        <v>3.9652910907072951E-2</v>
      </c>
      <c r="W15" s="34" t="e">
        <f>J15/$O$11</f>
        <v>#N/A</v>
      </c>
      <c r="X15" s="34">
        <f>K15/$P$11</f>
        <v>0.61562223862443222</v>
      </c>
      <c r="Y15" s="17" t="str">
        <f>IF(ISNA(K15),"",TEXT(K15,"+0.0;-0.0"))</f>
        <v>+5.9</v>
      </c>
      <c r="Z15" s="34" t="e">
        <f>L15/$P$11</f>
        <v>#N/A</v>
      </c>
      <c r="AA15" s="17" t="str">
        <f>IF(ISNA(L15),"",TEXT(L15,"+0.0;-0.0"))</f>
        <v/>
      </c>
      <c r="AB15" s="34">
        <f>M15/$P$11</f>
        <v>0.61562223862443222</v>
      </c>
      <c r="AC15" s="34">
        <f>N15/$P$11</f>
        <v>0</v>
      </c>
    </row>
    <row r="16" spans="1:29" x14ac:dyDescent="0.35">
      <c r="A16" s="21" t="s">
        <v>112</v>
      </c>
      <c r="B16" t="s">
        <v>20</v>
      </c>
      <c r="C16" s="30">
        <v>6605</v>
      </c>
      <c r="D16" s="30">
        <v>6772</v>
      </c>
      <c r="E16" s="32">
        <f>D16-C16</f>
        <v>167</v>
      </c>
      <c r="F16" s="33">
        <f>IF(C16&lt;=0,NA(),(D16-C16)/C16*100)</f>
        <v>2.5283875851627555</v>
      </c>
      <c r="G16" s="33">
        <f>IF($B16="AC",$D16,NA())</f>
        <v>6772</v>
      </c>
      <c r="H16" s="33" t="e">
        <f>IF($B16="AC",NA(),$D16)</f>
        <v>#N/A</v>
      </c>
      <c r="I16" s="33">
        <f>IF($E16&gt;0,$E16,NA())</f>
        <v>167</v>
      </c>
      <c r="J16" s="33" t="e">
        <f>IF($E16&lt;0,$E16,NA())</f>
        <v>#N/A</v>
      </c>
      <c r="K16" s="33">
        <f>IF($F16&gt;0,$F16,NA())</f>
        <v>2.5283875851627555</v>
      </c>
      <c r="L16" s="33" t="e">
        <f>IF($F16&lt;0,$F16,NA())</f>
        <v>#N/A</v>
      </c>
      <c r="M16" s="33">
        <f>IF($F16&gt;0,$F16,0)</f>
        <v>2.5283875851627555</v>
      </c>
      <c r="N16" s="33">
        <f>IF($F16&lt;0,-$F16,0)</f>
        <v>0</v>
      </c>
      <c r="O16" s="34"/>
      <c r="P16" s="34"/>
      <c r="Q16" s="34">
        <f>C16/$O$11</f>
        <v>0.66643123801836346</v>
      </c>
      <c r="R16" s="34">
        <f>D16/$O$11</f>
        <v>0.68328120270406623</v>
      </c>
      <c r="S16" s="17" t="str">
        <f>IF(ISNA(D16),"",TEXT(D16,"0"))</f>
        <v>6772</v>
      </c>
      <c r="T16" s="34">
        <f>E16/$O$11</f>
        <v>1.6849964685702754E-2</v>
      </c>
      <c r="U16" s="17" t="str">
        <f>IF(ISNA(E16),"",TEXT(E16,"+0;-0"))</f>
        <v>+167</v>
      </c>
      <c r="V16" s="34">
        <f>I16/$O$11</f>
        <v>1.6849964685702754E-2</v>
      </c>
      <c r="W16" s="34" t="e">
        <f>J16/$O$11</f>
        <v>#N/A</v>
      </c>
      <c r="X16" s="34">
        <f>K16/$P$11</f>
        <v>0.26274887537306291</v>
      </c>
      <c r="Y16" s="17" t="str">
        <f>IF(ISNA(K16),"",TEXT(K16,"+0.0;-0.0"))</f>
        <v>+2.5</v>
      </c>
      <c r="Z16" s="34" t="e">
        <f>L16/$P$11</f>
        <v>#N/A</v>
      </c>
      <c r="AA16" s="17" t="str">
        <f>IF(ISNA(L16),"",TEXT(L16,"+0.0;-0.0"))</f>
        <v/>
      </c>
      <c r="AB16" s="34">
        <f>M16/$P$11</f>
        <v>0.26274887537306291</v>
      </c>
      <c r="AC16" s="34">
        <f>N16/$P$11</f>
        <v>0</v>
      </c>
    </row>
    <row r="17" spans="1:29" x14ac:dyDescent="0.35">
      <c r="A17" s="21" t="s">
        <v>113</v>
      </c>
      <c r="B17" t="s">
        <v>20</v>
      </c>
      <c r="C17" s="30">
        <v>7057</v>
      </c>
      <c r="D17" s="30">
        <v>7441</v>
      </c>
      <c r="E17" s="32">
        <f>D17-C17</f>
        <v>384</v>
      </c>
      <c r="F17" s="33">
        <f>IF(C17&lt;=0,NA(),(D17-C17)/C17*100)</f>
        <v>5.4414056964715884</v>
      </c>
      <c r="G17" s="33">
        <f>IF($B17="AC",$D17,NA())</f>
        <v>7441</v>
      </c>
      <c r="H17" s="33" t="e">
        <f>IF($B17="AC",NA(),$D17)</f>
        <v>#N/A</v>
      </c>
      <c r="I17" s="33">
        <f>IF($E17&gt;0,$E17,NA())</f>
        <v>384</v>
      </c>
      <c r="J17" s="33" t="e">
        <f>IF($E17&lt;0,$E17,NA())</f>
        <v>#N/A</v>
      </c>
      <c r="K17" s="33">
        <f>IF($F17&gt;0,$F17,NA())</f>
        <v>5.4414056964715884</v>
      </c>
      <c r="L17" s="33" t="e">
        <f>IF($F17&lt;0,$F17,NA())</f>
        <v>#N/A</v>
      </c>
      <c r="M17" s="33">
        <f>IF($F17&gt;0,$F17,0)</f>
        <v>5.4414056964715884</v>
      </c>
      <c r="N17" s="33">
        <f>IF($F17&lt;0,-$F17,0)</f>
        <v>0</v>
      </c>
      <c r="O17" s="34"/>
      <c r="P17" s="34"/>
      <c r="Q17" s="34">
        <f>C17/$O$11</f>
        <v>0.71203713046110384</v>
      </c>
      <c r="R17" s="34">
        <f>D17/$O$11</f>
        <v>0.75078195943900716</v>
      </c>
      <c r="S17" s="17" t="str">
        <f>IF(ISNA(D17),"",TEXT(D17,"0"))</f>
        <v>7441</v>
      </c>
      <c r="T17" s="34">
        <f>E17/$O$11</f>
        <v>3.8744828977903337E-2</v>
      </c>
      <c r="U17" s="17" t="str">
        <f>IF(ISNA(E17),"",TEXT(E17,"+0;-0"))</f>
        <v>+384</v>
      </c>
      <c r="V17" s="34">
        <f>I17/$O$11</f>
        <v>3.8744828977903337E-2</v>
      </c>
      <c r="W17" s="34" t="e">
        <f>J17/$O$11</f>
        <v>#N/A</v>
      </c>
      <c r="X17" s="34">
        <f>K17/$P$11</f>
        <v>0.565468378181605</v>
      </c>
      <c r="Y17" s="17" t="str">
        <f>IF(ISNA(K17),"",TEXT(K17,"+0.0;-0.0"))</f>
        <v>+5.4</v>
      </c>
      <c r="Z17" s="34" t="e">
        <f>L17/$P$11</f>
        <v>#N/A</v>
      </c>
      <c r="AA17" s="17" t="str">
        <f>IF(ISNA(L17),"",TEXT(L17,"+0.0;-0.0"))</f>
        <v/>
      </c>
      <c r="AB17" s="34">
        <f>M17/$P$11</f>
        <v>0.565468378181605</v>
      </c>
      <c r="AC17" s="34">
        <f>N17/$P$11</f>
        <v>0</v>
      </c>
    </row>
    <row r="18" spans="1:29" x14ac:dyDescent="0.35">
      <c r="A18" s="21" t="s">
        <v>114</v>
      </c>
      <c r="B18" t="s">
        <v>29</v>
      </c>
      <c r="C18" s="30">
        <v>7199</v>
      </c>
      <c r="D18" s="31">
        <v>7610</v>
      </c>
      <c r="E18" s="32">
        <f>D18-C18</f>
        <v>411</v>
      </c>
      <c r="F18" s="33">
        <f>IF(C18&lt;=0,NA(),(D18-C18)/C18*100)</f>
        <v>5.7091262675371581</v>
      </c>
      <c r="G18" s="33" t="e">
        <f>IF($B18="AC",$D18,NA())</f>
        <v>#N/A</v>
      </c>
      <c r="H18" s="33">
        <f>IF($B18="AC",NA(),$D18)</f>
        <v>7610</v>
      </c>
      <c r="I18" s="33">
        <f>IF($E18&gt;0,$E18,NA())</f>
        <v>411</v>
      </c>
      <c r="J18" s="33" t="e">
        <f>IF($E18&lt;0,$E18,NA())</f>
        <v>#N/A</v>
      </c>
      <c r="K18" s="33">
        <f>IF($F18&gt;0,$F18,NA())</f>
        <v>5.7091262675371581</v>
      </c>
      <c r="L18" s="33" t="e">
        <f>IF($F18&lt;0,$F18,NA())</f>
        <v>#N/A</v>
      </c>
      <c r="M18" s="33">
        <f>IF($F18&gt;0,$F18,0)</f>
        <v>5.7091262675371581</v>
      </c>
      <c r="N18" s="33">
        <f>IF($F18&lt;0,-$F18,0)</f>
        <v>0</v>
      </c>
      <c r="O18" s="34"/>
      <c r="P18" s="34"/>
      <c r="Q18" s="34">
        <f>C18/$O$11</f>
        <v>0.72636464534355771</v>
      </c>
      <c r="R18" s="34">
        <f>D18/$O$11</f>
        <v>0.76783372010896989</v>
      </c>
      <c r="S18" s="17" t="str">
        <f>IF(ISNA(D18),"",TEXT(D18,"0"))</f>
        <v>7610</v>
      </c>
      <c r="T18" s="34">
        <f>E18/$O$11</f>
        <v>4.1469074765412166E-2</v>
      </c>
      <c r="U18" s="17" t="str">
        <f>IF(ISNA(E18),"",TEXT(E18,"+0;-0"))</f>
        <v>+411</v>
      </c>
      <c r="V18" s="34">
        <f>I18/$O$11</f>
        <v>4.1469074765412166E-2</v>
      </c>
      <c r="W18" s="34" t="e">
        <f>J18/$O$11</f>
        <v>#N/A</v>
      </c>
      <c r="X18" s="34">
        <f>K18/$P$11</f>
        <v>0.59328977683682127</v>
      </c>
      <c r="Y18" s="17" t="str">
        <f>IF(ISNA(K18),"",TEXT(K18,"+0.0;-0.0"))</f>
        <v>+5.7</v>
      </c>
      <c r="Z18" s="34" t="e">
        <f>L18/$P$11</f>
        <v>#N/A</v>
      </c>
      <c r="AA18" s="17" t="str">
        <f>IF(ISNA(L18),"",TEXT(L18,"+0.0;-0.0"))</f>
        <v/>
      </c>
      <c r="AB18" s="34">
        <f>M18/$P$11</f>
        <v>0.59328977683682127</v>
      </c>
      <c r="AC18" s="34">
        <f>N18/$P$11</f>
        <v>0</v>
      </c>
    </row>
    <row r="19" spans="1:29" x14ac:dyDescent="0.35">
      <c r="A19" s="21" t="s">
        <v>115</v>
      </c>
      <c r="B19" t="s">
        <v>29</v>
      </c>
      <c r="C19" s="30">
        <v>7128</v>
      </c>
      <c r="D19" s="31">
        <v>7535</v>
      </c>
      <c r="E19" s="32">
        <f>D19-C19</f>
        <v>407</v>
      </c>
      <c r="F19" s="33">
        <f>IF(C19&lt;=0,NA(),(D19-C19)/C19*100)</f>
        <v>5.7098765432098766</v>
      </c>
      <c r="G19" s="33" t="e">
        <f>IF($B19="AC",$D19,NA())</f>
        <v>#N/A</v>
      </c>
      <c r="H19" s="33">
        <f>IF($B19="AC",NA(),$D19)</f>
        <v>7535</v>
      </c>
      <c r="I19" s="33">
        <f>IF($E19&gt;0,$E19,NA())</f>
        <v>407</v>
      </c>
      <c r="J19" s="33" t="e">
        <f>IF($E19&lt;0,$E19,NA())</f>
        <v>#N/A</v>
      </c>
      <c r="K19" s="33">
        <f>IF($F19&gt;0,$F19,NA())</f>
        <v>5.7098765432098766</v>
      </c>
      <c r="L19" s="33" t="e">
        <f>IF($F19&lt;0,$F19,NA())</f>
        <v>#N/A</v>
      </c>
      <c r="M19" s="33">
        <f>IF($F19&gt;0,$F19,0)</f>
        <v>5.7098765432098766</v>
      </c>
      <c r="N19" s="33">
        <f>IF($F19&lt;0,-$F19,0)</f>
        <v>0</v>
      </c>
      <c r="O19" s="34"/>
      <c r="P19" s="34"/>
      <c r="Q19" s="34">
        <f>C19/$O$11</f>
        <v>0.71920088790233072</v>
      </c>
      <c r="R19" s="34">
        <f>D19/$O$11</f>
        <v>0.76026637069922309</v>
      </c>
      <c r="S19" s="17" t="str">
        <f>IF(ISNA(D19),"",TEXT(D19,"0"))</f>
        <v>7535</v>
      </c>
      <c r="T19" s="34">
        <f>E19/$O$11</f>
        <v>4.1065482796892344E-2</v>
      </c>
      <c r="U19" s="17" t="str">
        <f>IF(ISNA(E19),"",TEXT(E19,"+0;-0"))</f>
        <v>+407</v>
      </c>
      <c r="V19" s="34">
        <f>I19/$O$11</f>
        <v>4.1065482796892344E-2</v>
      </c>
      <c r="W19" s="34" t="e">
        <f>J19/$O$11</f>
        <v>#N/A</v>
      </c>
      <c r="X19" s="34">
        <f>K19/$P$11</f>
        <v>0.59336774513977586</v>
      </c>
      <c r="Y19" s="17" t="str">
        <f>IF(ISNA(K19),"",TEXT(K19,"+0.0;-0.0"))</f>
        <v>+5.7</v>
      </c>
      <c r="Z19" s="34" t="e">
        <f>L19/$P$11</f>
        <v>#N/A</v>
      </c>
      <c r="AA19" s="17" t="str">
        <f>IF(ISNA(L19),"",TEXT(L19,"+0.0;-0.0"))</f>
        <v/>
      </c>
      <c r="AB19" s="34">
        <f>M19/$P$11</f>
        <v>0.59336774513977586</v>
      </c>
      <c r="AC19" s="34">
        <f>N19/$P$11</f>
        <v>0</v>
      </c>
    </row>
    <row r="20" spans="1:29" x14ac:dyDescent="0.35">
      <c r="A20" s="21" t="s">
        <v>116</v>
      </c>
      <c r="B20" t="s">
        <v>29</v>
      </c>
      <c r="C20" s="30">
        <v>7002</v>
      </c>
      <c r="D20" s="31">
        <v>7402</v>
      </c>
      <c r="E20" s="32">
        <f>D20-C20</f>
        <v>400</v>
      </c>
      <c r="F20" s="33">
        <f>IF(C20&lt;=0,NA(),(D20-C20)/C20*100)</f>
        <v>5.7126535275635533</v>
      </c>
      <c r="G20" s="33" t="e">
        <f>IF($B20="AC",$D20,NA())</f>
        <v>#N/A</v>
      </c>
      <c r="H20" s="33">
        <f>IF($B20="AC",NA(),$D20)</f>
        <v>7402</v>
      </c>
      <c r="I20" s="33">
        <f>IF($E20&gt;0,$E20,NA())</f>
        <v>400</v>
      </c>
      <c r="J20" s="33" t="e">
        <f>IF($E20&lt;0,$E20,NA())</f>
        <v>#N/A</v>
      </c>
      <c r="K20" s="33">
        <f>IF($F20&gt;0,$F20,NA())</f>
        <v>5.7126535275635533</v>
      </c>
      <c r="L20" s="33" t="e">
        <f>IF($F20&lt;0,$F20,NA())</f>
        <v>#N/A</v>
      </c>
      <c r="M20" s="33">
        <f>IF($F20&gt;0,$F20,0)</f>
        <v>5.7126535275635533</v>
      </c>
      <c r="N20" s="33">
        <f>IF($F20&lt;0,-$F20,0)</f>
        <v>0</v>
      </c>
      <c r="O20" s="34"/>
      <c r="P20" s="34"/>
      <c r="Q20" s="34">
        <f>C20/$O$11</f>
        <v>0.70648774089395616</v>
      </c>
      <c r="R20" s="34">
        <f>D20/$O$11</f>
        <v>0.74684693774593891</v>
      </c>
      <c r="S20" s="17" t="str">
        <f>IF(ISNA(D20),"",TEXT(D20,"0"))</f>
        <v>7402</v>
      </c>
      <c r="T20" s="34">
        <f>E20/$O$11</f>
        <v>4.0359196851982644E-2</v>
      </c>
      <c r="U20" s="17" t="str">
        <f>IF(ISNA(E20),"",TEXT(E20,"+0;-0"))</f>
        <v>+400</v>
      </c>
      <c r="V20" s="34">
        <f>I20/$O$11</f>
        <v>4.0359196851982644E-2</v>
      </c>
      <c r="W20" s="34" t="e">
        <f>J20/$O$11</f>
        <v>#N/A</v>
      </c>
      <c r="X20" s="34">
        <f>K20/$P$11</f>
        <v>0.5936563280770355</v>
      </c>
      <c r="Y20" s="17" t="str">
        <f>IF(ISNA(K20),"",TEXT(K20,"+0.0;-0.0"))</f>
        <v>+5.7</v>
      </c>
      <c r="Z20" s="34" t="e">
        <f>L20/$P$11</f>
        <v>#N/A</v>
      </c>
      <c r="AA20" s="17" t="str">
        <f>IF(ISNA(L20),"",TEXT(L20,"+0.0;-0.0"))</f>
        <v/>
      </c>
      <c r="AB20" s="34">
        <f>M20/$P$11</f>
        <v>0.5936563280770355</v>
      </c>
      <c r="AC20" s="34">
        <f>N20/$P$11</f>
        <v>0</v>
      </c>
    </row>
    <row r="21" spans="1:29" x14ac:dyDescent="0.35">
      <c r="A21" s="21" t="s">
        <v>117</v>
      </c>
      <c r="B21" t="s">
        <v>29</v>
      </c>
      <c r="C21" s="30">
        <v>6193</v>
      </c>
      <c r="D21" s="31">
        <v>6547</v>
      </c>
      <c r="E21" s="32">
        <f>D21-C21</f>
        <v>354</v>
      </c>
      <c r="F21" s="33">
        <f>IF(C21&lt;=0,NA(),(D21-C21)/C21*100)</f>
        <v>5.7161311157758758</v>
      </c>
      <c r="G21" s="33" t="e">
        <f>IF($B21="AC",$D21,NA())</f>
        <v>#N/A</v>
      </c>
      <c r="H21" s="33">
        <f>IF($B21="AC",NA(),$D21)</f>
        <v>6547</v>
      </c>
      <c r="I21" s="33">
        <f>IF($E21&gt;0,$E21,NA())</f>
        <v>354</v>
      </c>
      <c r="J21" s="33" t="e">
        <f>IF($E21&lt;0,$E21,NA())</f>
        <v>#N/A</v>
      </c>
      <c r="K21" s="33">
        <f>IF($F21&gt;0,$F21,NA())</f>
        <v>5.7161311157758758</v>
      </c>
      <c r="L21" s="33" t="e">
        <f>IF($F21&lt;0,$F21,NA())</f>
        <v>#N/A</v>
      </c>
      <c r="M21" s="33">
        <f>IF($F21&gt;0,$F21,0)</f>
        <v>5.7161311157758758</v>
      </c>
      <c r="N21" s="33">
        <f>IF($F21&lt;0,-$F21,0)</f>
        <v>0</v>
      </c>
      <c r="O21" s="34"/>
      <c r="P21" s="34"/>
      <c r="Q21" s="34">
        <f>C21/$O$11</f>
        <v>0.62486126526082131</v>
      </c>
      <c r="R21" s="34">
        <f>D21/$O$11</f>
        <v>0.66057915447482596</v>
      </c>
      <c r="S21" s="17" t="str">
        <f>IF(ISNA(D21),"",TEXT(D21,"0"))</f>
        <v>6547</v>
      </c>
      <c r="T21" s="34">
        <f>E21/$O$11</f>
        <v>3.5717889214004643E-2</v>
      </c>
      <c r="U21" s="17" t="str">
        <f>IF(ISNA(E21),"",TEXT(E21,"+0;-0"))</f>
        <v>+354</v>
      </c>
      <c r="V21" s="34">
        <f>I21/$O$11</f>
        <v>3.5717889214004643E-2</v>
      </c>
      <c r="W21" s="34" t="e">
        <f>J21/$O$11</f>
        <v>#N/A</v>
      </c>
      <c r="X21" s="34">
        <f>K21/$P$11</f>
        <v>0.59401771744516896</v>
      </c>
      <c r="Y21" s="17" t="str">
        <f>IF(ISNA(K21),"",TEXT(K21,"+0.0;-0.0"))</f>
        <v>+5.7</v>
      </c>
      <c r="Z21" s="34" t="e">
        <f>L21/$P$11</f>
        <v>#N/A</v>
      </c>
      <c r="AA21" s="17" t="str">
        <f>IF(ISNA(L21),"",TEXT(L21,"+0.0;-0.0"))</f>
        <v/>
      </c>
      <c r="AB21" s="34">
        <f>M21/$P$11</f>
        <v>0.59401771744516896</v>
      </c>
      <c r="AC21" s="34">
        <f>N21/$P$11</f>
        <v>0</v>
      </c>
    </row>
    <row r="22" spans="1:29" x14ac:dyDescent="0.35">
      <c r="A22" s="21" t="s">
        <v>118</v>
      </c>
      <c r="B22" t="s">
        <v>29</v>
      </c>
      <c r="C22" s="30">
        <v>6313</v>
      </c>
      <c r="D22" s="31">
        <v>6674</v>
      </c>
      <c r="E22" s="32">
        <f>D22-C22</f>
        <v>361</v>
      </c>
      <c r="F22" s="33">
        <f>IF(C22&lt;=0,NA(),(D22-C22)/C22*100)</f>
        <v>5.7183589418659908</v>
      </c>
      <c r="G22" s="33" t="e">
        <f>IF($B22="AC",$D22,NA())</f>
        <v>#N/A</v>
      </c>
      <c r="H22" s="33">
        <f>IF($B22="AC",NA(),$D22)</f>
        <v>6674</v>
      </c>
      <c r="I22" s="33">
        <f>IF($E22&gt;0,$E22,NA())</f>
        <v>361</v>
      </c>
      <c r="J22" s="33" t="e">
        <f>IF($E22&lt;0,$E22,NA())</f>
        <v>#N/A</v>
      </c>
      <c r="K22" s="33">
        <f>IF($F22&gt;0,$F22,NA())</f>
        <v>5.7183589418659908</v>
      </c>
      <c r="L22" s="33" t="e">
        <f>IF($F22&lt;0,$F22,NA())</f>
        <v>#N/A</v>
      </c>
      <c r="M22" s="33">
        <f>IF($F22&gt;0,$F22,0)</f>
        <v>5.7183589418659908</v>
      </c>
      <c r="N22" s="33">
        <f>IF($F22&lt;0,-$F22,0)</f>
        <v>0</v>
      </c>
      <c r="O22" s="34"/>
      <c r="P22" s="34"/>
      <c r="Q22" s="34">
        <f>C22/$O$11</f>
        <v>0.63696902431641611</v>
      </c>
      <c r="R22" s="34">
        <f>D22/$O$11</f>
        <v>0.6733931994753305</v>
      </c>
      <c r="S22" s="17" t="str">
        <f>IF(ISNA(D22),"",TEXT(D22,"0"))</f>
        <v>6674</v>
      </c>
      <c r="T22" s="34">
        <f>E22/$O$11</f>
        <v>3.6424175158914336E-2</v>
      </c>
      <c r="U22" s="17" t="str">
        <f>IF(ISNA(E22),"",TEXT(E22,"+0;-0"))</f>
        <v>+361</v>
      </c>
      <c r="V22" s="34">
        <f>I22/$O$11</f>
        <v>3.6424175158914336E-2</v>
      </c>
      <c r="W22" s="34" t="e">
        <f>J22/$O$11</f>
        <v>#N/A</v>
      </c>
      <c r="X22" s="34">
        <f>K22/$P$11</f>
        <v>0.59424923210816583</v>
      </c>
      <c r="Y22" s="17" t="str">
        <f>IF(ISNA(K22),"",TEXT(K22,"+0.0;-0.0"))</f>
        <v>+5.7</v>
      </c>
      <c r="Z22" s="34" t="e">
        <f>L22/$P$11</f>
        <v>#N/A</v>
      </c>
      <c r="AA22" s="17" t="str">
        <f>IF(ISNA(L22),"",TEXT(L22,"+0.0;-0.0"))</f>
        <v/>
      </c>
      <c r="AB22" s="34">
        <f>M22/$P$11</f>
        <v>0.59424923210816583</v>
      </c>
      <c r="AC22" s="34">
        <f>N22/$P$11</f>
        <v>0</v>
      </c>
    </row>
    <row r="23" spans="1:29" x14ac:dyDescent="0.35">
      <c r="D23" s="9"/>
    </row>
    <row r="24" spans="1:29" ht="24" customHeight="1" x14ac:dyDescent="0.35">
      <c r="A24" s="35" t="s">
        <v>119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</row>
  </sheetData>
  <mergeCells count="8">
    <mergeCell ref="B7:AC7"/>
    <mergeCell ref="A24:AC24"/>
    <mergeCell ref="B1:AC1"/>
    <mergeCell ref="B2:AC2"/>
    <mergeCell ref="B3:AC3"/>
    <mergeCell ref="B4:AC4"/>
    <mergeCell ref="B5:AC5"/>
    <mergeCell ref="B6:AC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3902-9718-4DDB-9E01-95C34C965CCE}">
  <sheetPr>
    <pageSetUpPr fitToPage="1"/>
  </sheetPr>
  <dimension ref="A1:Y29"/>
  <sheetViews>
    <sheetView showGridLines="0" workbookViewId="0"/>
  </sheetViews>
  <sheetFormatPr defaultRowHeight="14.5" x14ac:dyDescent="0.35"/>
  <cols>
    <col min="1" max="1" width="15.6328125" customWidth="1"/>
    <col min="2" max="3" width="9.6328125" customWidth="1"/>
    <col min="4" max="6" width="9.1796875" customWidth="1"/>
    <col min="7" max="12" width="8.1796875" customWidth="1"/>
    <col min="13" max="25" width="8.6328125" hidden="1" customWidth="1"/>
  </cols>
  <sheetData>
    <row r="1" spans="1:25" ht="15" customHeight="1" x14ac:dyDescent="0.35">
      <c r="A1" s="2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 spans="1:25" ht="15" customHeight="1" x14ac:dyDescent="0.35">
      <c r="A2" s="27" t="s">
        <v>51</v>
      </c>
      <c r="B2" s="19" t="s">
        <v>79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" customHeight="1" x14ac:dyDescent="0.35">
      <c r="A3" s="27" t="s">
        <v>53</v>
      </c>
      <c r="B3" s="19" t="s">
        <v>54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 ht="15" customHeight="1" x14ac:dyDescent="0.35">
      <c r="A4" s="27" t="s">
        <v>55</v>
      </c>
      <c r="B4" s="19" t="s">
        <v>120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5" customHeight="1" x14ac:dyDescent="0.35">
      <c r="A5" s="27" t="s">
        <v>57</v>
      </c>
      <c r="B5" s="19" t="s">
        <v>34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29.5" customHeight="1" x14ac:dyDescent="0.35">
      <c r="A6" s="27" t="s">
        <v>58</v>
      </c>
      <c r="B6" s="29" t="s">
        <v>121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</row>
    <row r="7" spans="1:25" ht="15" customHeight="1" x14ac:dyDescent="0.35">
      <c r="A7" s="27" t="s">
        <v>60</v>
      </c>
      <c r="B7" s="28" t="str">
        <f>B2&amp;" in "&amp;B3</f>
        <v>Underwriting result in $m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" customHeight="1" x14ac:dyDescent="0.35"/>
    <row r="9" spans="1:25" ht="15" customHeight="1" x14ac:dyDescent="0.35"/>
    <row r="10" spans="1:25" ht="28" customHeight="1" x14ac:dyDescent="0.35">
      <c r="A10" s="7" t="s">
        <v>122</v>
      </c>
      <c r="B10" s="7" t="s">
        <v>16</v>
      </c>
      <c r="C10" s="7" t="s">
        <v>51</v>
      </c>
      <c r="D10" s="7" t="s">
        <v>123</v>
      </c>
      <c r="E10" s="7" t="s">
        <v>34</v>
      </c>
      <c r="F10" s="7" t="s">
        <v>124</v>
      </c>
      <c r="G10" s="7" t="s">
        <v>125</v>
      </c>
      <c r="H10" s="7" t="s">
        <v>126</v>
      </c>
      <c r="I10" s="7" t="s">
        <v>127</v>
      </c>
      <c r="J10" s="7" t="s">
        <v>128</v>
      </c>
      <c r="K10" s="7" t="s">
        <v>90</v>
      </c>
      <c r="L10" s="7" t="s">
        <v>91</v>
      </c>
      <c r="M10" s="7" t="s">
        <v>92</v>
      </c>
      <c r="N10" s="7" t="s">
        <v>93</v>
      </c>
      <c r="O10" s="7" t="s">
        <v>94</v>
      </c>
      <c r="P10" s="7" t="s">
        <v>95</v>
      </c>
      <c r="Q10" s="7" t="s">
        <v>96</v>
      </c>
      <c r="R10" s="7" t="s">
        <v>97</v>
      </c>
      <c r="S10" s="7" t="s">
        <v>98</v>
      </c>
      <c r="T10" s="7" t="s">
        <v>99</v>
      </c>
      <c r="U10" s="7" t="s">
        <v>100</v>
      </c>
      <c r="V10" s="7" t="s">
        <v>129</v>
      </c>
      <c r="W10" s="7" t="s">
        <v>130</v>
      </c>
      <c r="X10" s="7" t="s">
        <v>101</v>
      </c>
      <c r="Y10" s="7" t="s">
        <v>103</v>
      </c>
    </row>
    <row r="11" spans="1:25" x14ac:dyDescent="0.35">
      <c r="A11" s="21" t="s">
        <v>118</v>
      </c>
      <c r="B11" t="s">
        <v>20</v>
      </c>
      <c r="C11" s="39">
        <v>882</v>
      </c>
      <c r="D11" s="40">
        <v>670</v>
      </c>
      <c r="E11" s="41">
        <f>C11-D11</f>
        <v>212</v>
      </c>
      <c r="F11" s="33">
        <f>IF(E11&lt;=0,NA(),D11/E11*100)</f>
        <v>316.03773584905662</v>
      </c>
      <c r="G11" s="42">
        <f>IF($D11&gt;0,$D11,NA())</f>
        <v>670</v>
      </c>
      <c r="H11" s="42" t="e">
        <f>IF($D11&lt;0,$D11,NA())</f>
        <v>#N/A</v>
      </c>
      <c r="I11" s="33">
        <f>IF($F11&gt;0,$F11,NA())</f>
        <v>316.03773584905662</v>
      </c>
      <c r="J11" s="33" t="e">
        <f>IF($F11&lt;0,$F11,NA())</f>
        <v>#N/A</v>
      </c>
      <c r="K11" s="33">
        <f>IF($F11&gt;0,$F11,0)</f>
        <v>316.03773584905662</v>
      </c>
      <c r="L11" s="33">
        <f>IF($F11&lt;0,-$F11,0)</f>
        <v>0</v>
      </c>
      <c r="M11" s="34">
        <f>MAX(_xlfn.AGGREGATE(4,6,E11:E29,C11:C29,D11:D29,G11:G29,H11:H29),-_xlfn.AGGREGATE(5,6,E11:E29,C11:C29,D11:D29,G11:G29,H11:H29),0.000000001)</f>
        <v>882</v>
      </c>
      <c r="N11" s="34">
        <f>MAX(_xlfn.AGGREGATE(4,6,F11:F29,I11:I29,J11:J29),-_xlfn.AGGREGATE(5,6,F11:F29,I11:I29,J11:J29),0.000000001)</f>
        <v>316.03773584905662</v>
      </c>
      <c r="O11" s="34">
        <f>E11/$M$11</f>
        <v>0.24036281179138322</v>
      </c>
      <c r="P11" s="34">
        <f>C11/$M$11</f>
        <v>1</v>
      </c>
      <c r="Q11" s="17" t="str">
        <f>IF(ISNA(C11),"",TEXT(C11,"0"))</f>
        <v>882</v>
      </c>
      <c r="R11" s="34">
        <f>D11/$M$11</f>
        <v>0.75963718820861681</v>
      </c>
      <c r="S11" s="17" t="str">
        <f>IF(ISNA(D11),"",TEXT(D11,"+0;-0"))</f>
        <v>+670</v>
      </c>
      <c r="T11" s="34">
        <f>G11/$M$11</f>
        <v>0.75963718820861681</v>
      </c>
      <c r="U11" s="34" t="e">
        <f>H11/$M$11</f>
        <v>#N/A</v>
      </c>
      <c r="V11" s="34">
        <f>F11/$N$11</f>
        <v>1</v>
      </c>
      <c r="W11" s="17" t="str">
        <f>IF(ISNA(F11),"",TEXT(F11,"+0;-0"))</f>
        <v>+316</v>
      </c>
      <c r="X11" s="34">
        <f>I11/$N$11</f>
        <v>1</v>
      </c>
      <c r="Y11" s="34" t="e">
        <f>J11/$N$11</f>
        <v>#N/A</v>
      </c>
    </row>
    <row r="12" spans="1:25" x14ac:dyDescent="0.35">
      <c r="A12" s="21" t="s">
        <v>117</v>
      </c>
      <c r="B12" t="s">
        <v>20</v>
      </c>
      <c r="C12" s="39">
        <v>528</v>
      </c>
      <c r="D12" s="40">
        <v>325</v>
      </c>
      <c r="E12" s="41">
        <f>C12-D12</f>
        <v>203</v>
      </c>
      <c r="F12" s="33">
        <f>IF(E12&lt;=0,NA(),D12/E12*100)</f>
        <v>160.09852216748769</v>
      </c>
      <c r="G12" s="42">
        <f>IF($D12&gt;0,$D12,NA())</f>
        <v>325</v>
      </c>
      <c r="H12" s="42" t="e">
        <f>IF($D12&lt;0,$D12,NA())</f>
        <v>#N/A</v>
      </c>
      <c r="I12" s="33">
        <f>IF($F12&gt;0,$F12,NA())</f>
        <v>160.09852216748769</v>
      </c>
      <c r="J12" s="33" t="e">
        <f>IF($F12&lt;0,$F12,NA())</f>
        <v>#N/A</v>
      </c>
      <c r="K12" s="33">
        <f>IF($F12&gt;0,$F12,0)</f>
        <v>160.09852216748769</v>
      </c>
      <c r="L12" s="33">
        <f>IF($F12&lt;0,-$F12,0)</f>
        <v>0</v>
      </c>
      <c r="M12" s="34"/>
      <c r="N12" s="34"/>
      <c r="O12" s="34">
        <f>E12/$M$11</f>
        <v>0.23015873015873015</v>
      </c>
      <c r="P12" s="34">
        <f>C12/$M$11</f>
        <v>0.59863945578231292</v>
      </c>
      <c r="Q12" s="17" t="str">
        <f>IF(ISNA(C12),"",TEXT(C12,"0"))</f>
        <v>528</v>
      </c>
      <c r="R12" s="34">
        <f>D12/$M$11</f>
        <v>0.36848072562358275</v>
      </c>
      <c r="S12" s="17" t="str">
        <f>IF(ISNA(D12),"",TEXT(D12,"+0;-0"))</f>
        <v>+325</v>
      </c>
      <c r="T12" s="34">
        <f>G12/$M$11</f>
        <v>0.36848072562358275</v>
      </c>
      <c r="U12" s="34" t="e">
        <f>H12/$M$11</f>
        <v>#N/A</v>
      </c>
      <c r="V12" s="34">
        <f>F12/$N$11</f>
        <v>0.50658039850011027</v>
      </c>
      <c r="W12" s="17" t="str">
        <f>IF(ISNA(F12),"",TEXT(F12,"+0;-0"))</f>
        <v>+160</v>
      </c>
      <c r="X12" s="34">
        <f>I12/$N$11</f>
        <v>0.50658039850011027</v>
      </c>
      <c r="Y12" s="34" t="e">
        <f>J12/$N$11</f>
        <v>#N/A</v>
      </c>
    </row>
    <row r="13" spans="1:25" x14ac:dyDescent="0.35">
      <c r="A13" s="21" t="s">
        <v>113</v>
      </c>
      <c r="B13" t="s">
        <v>20</v>
      </c>
      <c r="C13" s="39">
        <v>531</v>
      </c>
      <c r="D13" s="40">
        <v>305</v>
      </c>
      <c r="E13" s="41">
        <f>C13-D13</f>
        <v>226</v>
      </c>
      <c r="F13" s="33">
        <f>IF(E13&lt;=0,NA(),D13/E13*100)</f>
        <v>134.95575221238937</v>
      </c>
      <c r="G13" s="42">
        <f>IF($D13&gt;0,$D13,NA())</f>
        <v>305</v>
      </c>
      <c r="H13" s="42" t="e">
        <f>IF($D13&lt;0,$D13,NA())</f>
        <v>#N/A</v>
      </c>
      <c r="I13" s="33">
        <f>IF($F13&gt;0,$F13,NA())</f>
        <v>134.95575221238937</v>
      </c>
      <c r="J13" s="33" t="e">
        <f>IF($F13&lt;0,$F13,NA())</f>
        <v>#N/A</v>
      </c>
      <c r="K13" s="33">
        <f>IF($F13&gt;0,$F13,0)</f>
        <v>134.95575221238937</v>
      </c>
      <c r="L13" s="33">
        <f>IF($F13&lt;0,-$F13,0)</f>
        <v>0</v>
      </c>
      <c r="M13" s="34"/>
      <c r="N13" s="34"/>
      <c r="O13" s="34">
        <f>E13/$M$11</f>
        <v>0.25623582766439912</v>
      </c>
      <c r="P13" s="34">
        <f>C13/$M$11</f>
        <v>0.60204081632653061</v>
      </c>
      <c r="Q13" s="17" t="str">
        <f>IF(ISNA(C13),"",TEXT(C13,"0"))</f>
        <v>531</v>
      </c>
      <c r="R13" s="34">
        <f>D13/$M$11</f>
        <v>0.3458049886621315</v>
      </c>
      <c r="S13" s="17" t="str">
        <f>IF(ISNA(D13),"",TEXT(D13,"+0;-0"))</f>
        <v>+305</v>
      </c>
      <c r="T13" s="34">
        <f>G13/$M$11</f>
        <v>0.3458049886621315</v>
      </c>
      <c r="U13" s="34" t="e">
        <f>H13/$M$11</f>
        <v>#N/A</v>
      </c>
      <c r="V13" s="34">
        <f>F13/$N$11</f>
        <v>0.4270241711795007</v>
      </c>
      <c r="W13" s="17" t="str">
        <f>IF(ISNA(F13),"",TEXT(F13,"+0;-0"))</f>
        <v>+135</v>
      </c>
      <c r="X13" s="34">
        <f>I13/$N$11</f>
        <v>0.4270241711795007</v>
      </c>
      <c r="Y13" s="34" t="e">
        <f>J13/$N$11</f>
        <v>#N/A</v>
      </c>
    </row>
    <row r="14" spans="1:25" x14ac:dyDescent="0.35">
      <c r="A14" s="21" t="s">
        <v>115</v>
      </c>
      <c r="B14" t="s">
        <v>20</v>
      </c>
      <c r="C14" s="39">
        <v>479</v>
      </c>
      <c r="D14" s="40">
        <v>293</v>
      </c>
      <c r="E14" s="41">
        <f>C14-D14</f>
        <v>186</v>
      </c>
      <c r="F14" s="33">
        <f>IF(E14&lt;=0,NA(),D14/E14*100)</f>
        <v>157.52688172043011</v>
      </c>
      <c r="G14" s="42">
        <f>IF($D14&gt;0,$D14,NA())</f>
        <v>293</v>
      </c>
      <c r="H14" s="42" t="e">
        <f>IF($D14&lt;0,$D14,NA())</f>
        <v>#N/A</v>
      </c>
      <c r="I14" s="33">
        <f>IF($F14&gt;0,$F14,NA())</f>
        <v>157.52688172043011</v>
      </c>
      <c r="J14" s="33" t="e">
        <f>IF($F14&lt;0,$F14,NA())</f>
        <v>#N/A</v>
      </c>
      <c r="K14" s="33">
        <f>IF($F14&gt;0,$F14,0)</f>
        <v>157.52688172043011</v>
      </c>
      <c r="L14" s="33">
        <f>IF($F14&lt;0,-$F14,0)</f>
        <v>0</v>
      </c>
      <c r="M14" s="34"/>
      <c r="N14" s="34"/>
      <c r="O14" s="34">
        <f>E14/$M$11</f>
        <v>0.21088435374149661</v>
      </c>
      <c r="P14" s="34">
        <f>C14/$M$11</f>
        <v>0.54308390022675734</v>
      </c>
      <c r="Q14" s="17" t="str">
        <f>IF(ISNA(C14),"",TEXT(C14,"0"))</f>
        <v>479</v>
      </c>
      <c r="R14" s="34">
        <f>D14/$M$11</f>
        <v>0.33219954648526079</v>
      </c>
      <c r="S14" s="17" t="str">
        <f>IF(ISNA(D14),"",TEXT(D14,"+0;-0"))</f>
        <v>+293</v>
      </c>
      <c r="T14" s="34">
        <f>G14/$M$11</f>
        <v>0.33219954648526079</v>
      </c>
      <c r="U14" s="34" t="e">
        <f>H14/$M$11</f>
        <v>#N/A</v>
      </c>
      <c r="V14" s="34">
        <f>F14/$N$11</f>
        <v>0.4984432675333012</v>
      </c>
      <c r="W14" s="17" t="str">
        <f>IF(ISNA(F14),"",TEXT(F14,"+0;-0"))</f>
        <v>+158</v>
      </c>
      <c r="X14" s="34">
        <f>I14/$N$11</f>
        <v>0.4984432675333012</v>
      </c>
      <c r="Y14" s="34" t="e">
        <f>J14/$N$11</f>
        <v>#N/A</v>
      </c>
    </row>
    <row r="15" spans="1:25" x14ac:dyDescent="0.35">
      <c r="A15" s="21" t="s">
        <v>116</v>
      </c>
      <c r="B15" t="s">
        <v>20</v>
      </c>
      <c r="C15" s="39">
        <v>323</v>
      </c>
      <c r="D15" s="40">
        <v>108</v>
      </c>
      <c r="E15" s="41">
        <f>C15-D15</f>
        <v>215</v>
      </c>
      <c r="F15" s="33">
        <f>IF(E15&lt;=0,NA(),D15/E15*100)</f>
        <v>50.232558139534888</v>
      </c>
      <c r="G15" s="42">
        <f>IF($D15&gt;0,$D15,NA())</f>
        <v>108</v>
      </c>
      <c r="H15" s="42" t="e">
        <f>IF($D15&lt;0,$D15,NA())</f>
        <v>#N/A</v>
      </c>
      <c r="I15" s="33">
        <f>IF($F15&gt;0,$F15,NA())</f>
        <v>50.232558139534888</v>
      </c>
      <c r="J15" s="33" t="e">
        <f>IF($F15&lt;0,$F15,NA())</f>
        <v>#N/A</v>
      </c>
      <c r="K15" s="33">
        <f>IF($F15&gt;0,$F15,0)</f>
        <v>50.232558139534888</v>
      </c>
      <c r="L15" s="33">
        <f>IF($F15&lt;0,-$F15,0)</f>
        <v>0</v>
      </c>
      <c r="M15" s="34"/>
      <c r="N15" s="34"/>
      <c r="O15" s="34">
        <f>E15/$M$11</f>
        <v>0.24376417233560091</v>
      </c>
      <c r="P15" s="34">
        <f>C15/$M$11</f>
        <v>0.36621315192743764</v>
      </c>
      <c r="Q15" s="17" t="str">
        <f>IF(ISNA(C15),"",TEXT(C15,"0"))</f>
        <v>323</v>
      </c>
      <c r="R15" s="34">
        <f>D15/$M$11</f>
        <v>0.12244897959183673</v>
      </c>
      <c r="S15" s="17" t="str">
        <f>IF(ISNA(D15),"",TEXT(D15,"+0;-0"))</f>
        <v>+108</v>
      </c>
      <c r="T15" s="34">
        <f>G15/$M$11</f>
        <v>0.12244897959183673</v>
      </c>
      <c r="U15" s="34" t="e">
        <f>H15/$M$11</f>
        <v>#N/A</v>
      </c>
      <c r="V15" s="34">
        <f>F15/$N$11</f>
        <v>0.15894481082957307</v>
      </c>
      <c r="W15" s="17" t="str">
        <f>IF(ISNA(F15),"",TEXT(F15,"+0;-0"))</f>
        <v>+50</v>
      </c>
      <c r="X15" s="34">
        <f>I15/$N$11</f>
        <v>0.15894481082957307</v>
      </c>
      <c r="Y15" s="34" t="e">
        <f>J15/$N$11</f>
        <v>#N/A</v>
      </c>
    </row>
    <row r="16" spans="1:25" x14ac:dyDescent="0.35">
      <c r="A16" s="21" t="s">
        <v>108</v>
      </c>
      <c r="B16" t="s">
        <v>20</v>
      </c>
      <c r="C16" s="39">
        <v>204</v>
      </c>
      <c r="D16" s="40">
        <v>37</v>
      </c>
      <c r="E16" s="41">
        <f>C16-D16</f>
        <v>167</v>
      </c>
      <c r="F16" s="33">
        <f>IF(E16&lt;=0,NA(),D16/E16*100)</f>
        <v>22.155688622754489</v>
      </c>
      <c r="G16" s="42">
        <f>IF($D16&gt;0,$D16,NA())</f>
        <v>37</v>
      </c>
      <c r="H16" s="42" t="e">
        <f>IF($D16&lt;0,$D16,NA())</f>
        <v>#N/A</v>
      </c>
      <c r="I16" s="33">
        <f>IF($F16&gt;0,$F16,NA())</f>
        <v>22.155688622754489</v>
      </c>
      <c r="J16" s="33" t="e">
        <f>IF($F16&lt;0,$F16,NA())</f>
        <v>#N/A</v>
      </c>
      <c r="K16" s="33">
        <f>IF($F16&gt;0,$F16,0)</f>
        <v>22.155688622754489</v>
      </c>
      <c r="L16" s="33">
        <f>IF($F16&lt;0,-$F16,0)</f>
        <v>0</v>
      </c>
      <c r="M16" s="34"/>
      <c r="N16" s="34"/>
      <c r="O16" s="34">
        <f>E16/$M$11</f>
        <v>0.18934240362811791</v>
      </c>
      <c r="P16" s="34">
        <f>C16/$M$11</f>
        <v>0.23129251700680273</v>
      </c>
      <c r="Q16" s="17" t="str">
        <f>IF(ISNA(C16),"",TEXT(C16,"0"))</f>
        <v>204</v>
      </c>
      <c r="R16" s="34">
        <f>D16/$M$11</f>
        <v>4.195011337868481E-2</v>
      </c>
      <c r="S16" s="17" t="str">
        <f>IF(ISNA(D16),"",TEXT(D16,"+0;-0"))</f>
        <v>+37</v>
      </c>
      <c r="T16" s="34">
        <f>G16/$M$11</f>
        <v>4.195011337868481E-2</v>
      </c>
      <c r="U16" s="34" t="e">
        <f>H16/$M$11</f>
        <v>#N/A</v>
      </c>
      <c r="V16" s="34">
        <f>F16/$N$11</f>
        <v>7.0104566985432118E-2</v>
      </c>
      <c r="W16" s="17" t="str">
        <f>IF(ISNA(F16),"",TEXT(F16,"+0;-0"))</f>
        <v>+22</v>
      </c>
      <c r="X16" s="34">
        <f>I16/$N$11</f>
        <v>7.0104566985432118E-2</v>
      </c>
      <c r="Y16" s="34" t="e">
        <f>J16/$N$11</f>
        <v>#N/A</v>
      </c>
    </row>
    <row r="17" spans="1:25" x14ac:dyDescent="0.35">
      <c r="A17" s="21" t="s">
        <v>107</v>
      </c>
      <c r="B17" t="s">
        <v>20</v>
      </c>
      <c r="C17" s="39">
        <v>202</v>
      </c>
      <c r="D17" s="40">
        <v>0</v>
      </c>
      <c r="E17" s="41">
        <f>C17-D17</f>
        <v>202</v>
      </c>
      <c r="F17" s="33">
        <f>IF(E17&lt;=0,NA(),D17/E17*100)</f>
        <v>0</v>
      </c>
      <c r="G17" s="42" t="e">
        <f>IF($D17&gt;0,$D17,NA())</f>
        <v>#N/A</v>
      </c>
      <c r="H17" s="42" t="e">
        <f>IF($D17&lt;0,$D17,NA())</f>
        <v>#N/A</v>
      </c>
      <c r="I17" s="33" t="e">
        <f>IF($F17&gt;0,$F17,NA())</f>
        <v>#N/A</v>
      </c>
      <c r="J17" s="33" t="e">
        <f>IF($F17&lt;0,$F17,NA())</f>
        <v>#N/A</v>
      </c>
      <c r="K17" s="33">
        <f>IF($F17&gt;0,$F17,0)</f>
        <v>0</v>
      </c>
      <c r="L17" s="33">
        <f>IF($F17&lt;0,-$F17,0)</f>
        <v>0</v>
      </c>
      <c r="M17" s="34"/>
      <c r="N17" s="34"/>
      <c r="O17" s="34">
        <f>E17/$M$11</f>
        <v>0.22902494331065759</v>
      </c>
      <c r="P17" s="34">
        <f>C17/$M$11</f>
        <v>0.22902494331065759</v>
      </c>
      <c r="Q17" s="17" t="str">
        <f>IF(ISNA(C17),"",TEXT(C17,"0"))</f>
        <v>202</v>
      </c>
      <c r="R17" s="34">
        <f>D17/$M$11</f>
        <v>0</v>
      </c>
      <c r="S17" s="17" t="str">
        <f>IF(ISNA(D17),"",TEXT(D17,"+0;-0"))</f>
        <v>+0</v>
      </c>
      <c r="T17" s="34" t="e">
        <f>G17/$M$11</f>
        <v>#N/A</v>
      </c>
      <c r="U17" s="34" t="e">
        <f>H17/$M$11</f>
        <v>#N/A</v>
      </c>
      <c r="V17" s="34">
        <f>F17/$N$11</f>
        <v>0</v>
      </c>
      <c r="W17" s="17" t="str">
        <f>IF(ISNA(F17),"",TEXT(F17,"+0;-0"))</f>
        <v>+0</v>
      </c>
      <c r="X17" s="34" t="e">
        <f>I17/$N$11</f>
        <v>#N/A</v>
      </c>
      <c r="Y17" s="34" t="e">
        <f>J17/$N$11</f>
        <v>#N/A</v>
      </c>
    </row>
    <row r="18" spans="1:25" x14ac:dyDescent="0.35">
      <c r="A18" s="21" t="s">
        <v>114</v>
      </c>
      <c r="B18" t="s">
        <v>20</v>
      </c>
      <c r="C18" s="39">
        <v>129</v>
      </c>
      <c r="D18" s="40">
        <v>-55</v>
      </c>
      <c r="E18" s="41">
        <f>C18-D18</f>
        <v>184</v>
      </c>
      <c r="F18" s="33">
        <f>IF(E18&lt;=0,NA(),D18/E18*100)</f>
        <v>-29.891304347826086</v>
      </c>
      <c r="G18" s="42" t="e">
        <f>IF($D18&gt;0,$D18,NA())</f>
        <v>#N/A</v>
      </c>
      <c r="H18" s="42">
        <f>IF($D18&lt;0,$D18,NA())</f>
        <v>-55</v>
      </c>
      <c r="I18" s="33" t="e">
        <f>IF($F18&gt;0,$F18,NA())</f>
        <v>#N/A</v>
      </c>
      <c r="J18" s="33">
        <f>IF($F18&lt;0,$F18,NA())</f>
        <v>-29.891304347826086</v>
      </c>
      <c r="K18" s="33">
        <f>IF($F18&gt;0,$F18,0)</f>
        <v>0</v>
      </c>
      <c r="L18" s="33">
        <f>IF($F18&lt;0,-$F18,0)</f>
        <v>29.891304347826086</v>
      </c>
      <c r="M18" s="34"/>
      <c r="N18" s="34"/>
      <c r="O18" s="34">
        <f>E18/$M$11</f>
        <v>0.20861678004535147</v>
      </c>
      <c r="P18" s="34">
        <f>C18/$M$11</f>
        <v>0.14625850340136054</v>
      </c>
      <c r="Q18" s="17" t="str">
        <f>IF(ISNA(C18),"",TEXT(C18,"0"))</f>
        <v>129</v>
      </c>
      <c r="R18" s="34">
        <f>D18/$M$11</f>
        <v>-6.2358276643990927E-2</v>
      </c>
      <c r="S18" s="17" t="str">
        <f>IF(ISNA(D18),"",TEXT(D18,"+0;-0"))</f>
        <v>-55</v>
      </c>
      <c r="T18" s="34" t="e">
        <f>G18/$M$11</f>
        <v>#N/A</v>
      </c>
      <c r="U18" s="34">
        <f>H18/$M$11</f>
        <v>-6.2358276643990927E-2</v>
      </c>
      <c r="V18" s="34">
        <f>F18/$N$11</f>
        <v>-9.4581440622972093E-2</v>
      </c>
      <c r="W18" s="17" t="str">
        <f>IF(ISNA(F18),"",TEXT(F18,"+0;-0"))</f>
        <v>-30</v>
      </c>
      <c r="X18" s="34" t="e">
        <f>I18/$N$11</f>
        <v>#N/A</v>
      </c>
      <c r="Y18" s="34">
        <f>J18/$N$11</f>
        <v>-9.4581440622972093E-2</v>
      </c>
    </row>
    <row r="19" spans="1:25" x14ac:dyDescent="0.35">
      <c r="A19" s="21" t="s">
        <v>110</v>
      </c>
      <c r="B19" t="s">
        <v>20</v>
      </c>
      <c r="C19" s="39">
        <v>115</v>
      </c>
      <c r="D19" s="40">
        <v>-103</v>
      </c>
      <c r="E19" s="41">
        <f>C19-D19</f>
        <v>218</v>
      </c>
      <c r="F19" s="33">
        <f>IF(E19&lt;=0,NA(),D19/E19*100)</f>
        <v>-47.247706422018346</v>
      </c>
      <c r="G19" s="42" t="e">
        <f>IF($D19&gt;0,$D19,NA())</f>
        <v>#N/A</v>
      </c>
      <c r="H19" s="42">
        <f>IF($D19&lt;0,$D19,NA())</f>
        <v>-103</v>
      </c>
      <c r="I19" s="33" t="e">
        <f>IF($F19&gt;0,$F19,NA())</f>
        <v>#N/A</v>
      </c>
      <c r="J19" s="33">
        <f>IF($F19&lt;0,$F19,NA())</f>
        <v>-47.247706422018346</v>
      </c>
      <c r="K19" s="33">
        <f>IF($F19&gt;0,$F19,0)</f>
        <v>0</v>
      </c>
      <c r="L19" s="33">
        <f>IF($F19&lt;0,-$F19,0)</f>
        <v>47.247706422018346</v>
      </c>
      <c r="M19" s="34"/>
      <c r="N19" s="34"/>
      <c r="O19" s="34">
        <f>E19/$M$11</f>
        <v>0.2471655328798186</v>
      </c>
      <c r="P19" s="34">
        <f>C19/$M$11</f>
        <v>0.13038548752834467</v>
      </c>
      <c r="Q19" s="17" t="str">
        <f>IF(ISNA(C19),"",TEXT(C19,"0"))</f>
        <v>115</v>
      </c>
      <c r="R19" s="34">
        <f>D19/$M$11</f>
        <v>-0.11678004535147392</v>
      </c>
      <c r="S19" s="17" t="str">
        <f>IF(ISNA(D19),"",TEXT(D19,"+0;-0"))</f>
        <v>-103</v>
      </c>
      <c r="T19" s="34" t="e">
        <f>G19/$M$11</f>
        <v>#N/A</v>
      </c>
      <c r="U19" s="34">
        <f>H19/$M$11</f>
        <v>-0.11678004535147392</v>
      </c>
      <c r="V19" s="34">
        <f>F19/$N$11</f>
        <v>-0.14950020539504311</v>
      </c>
      <c r="W19" s="17" t="str">
        <f>IF(ISNA(F19),"",TEXT(F19,"+0;-0"))</f>
        <v>-47</v>
      </c>
      <c r="X19" s="34" t="e">
        <f>I19/$N$11</f>
        <v>#N/A</v>
      </c>
      <c r="Y19" s="34">
        <f>J19/$N$11</f>
        <v>-0.14950020539504311</v>
      </c>
    </row>
    <row r="20" spans="1:25" x14ac:dyDescent="0.35">
      <c r="A20" s="21" t="s">
        <v>111</v>
      </c>
      <c r="B20" t="s">
        <v>20</v>
      </c>
      <c r="C20" s="39">
        <v>45</v>
      </c>
      <c r="D20" s="40">
        <v>-135</v>
      </c>
      <c r="E20" s="41">
        <f>C20-D20</f>
        <v>180</v>
      </c>
      <c r="F20" s="33">
        <f>IF(E20&lt;=0,NA(),D20/E20*100)</f>
        <v>-75</v>
      </c>
      <c r="G20" s="42" t="e">
        <f>IF($D20&gt;0,$D20,NA())</f>
        <v>#N/A</v>
      </c>
      <c r="H20" s="42">
        <f>IF($D20&lt;0,$D20,NA())</f>
        <v>-135</v>
      </c>
      <c r="I20" s="33" t="e">
        <f>IF($F20&gt;0,$F20,NA())</f>
        <v>#N/A</v>
      </c>
      <c r="J20" s="33">
        <f>IF($F20&lt;0,$F20,NA())</f>
        <v>-75</v>
      </c>
      <c r="K20" s="33">
        <f>IF($F20&gt;0,$F20,0)</f>
        <v>0</v>
      </c>
      <c r="L20" s="33">
        <f>IF($F20&lt;0,-$F20,0)</f>
        <v>75</v>
      </c>
      <c r="M20" s="34"/>
      <c r="N20" s="34"/>
      <c r="O20" s="34">
        <f>E20/$M$11</f>
        <v>0.20408163265306123</v>
      </c>
      <c r="P20" s="34">
        <f>C20/$M$11</f>
        <v>5.1020408163265307E-2</v>
      </c>
      <c r="Q20" s="17" t="str">
        <f>IF(ISNA(C20),"",TEXT(C20,"0"))</f>
        <v>45</v>
      </c>
      <c r="R20" s="34">
        <f>D20/$M$11</f>
        <v>-0.15306122448979592</v>
      </c>
      <c r="S20" s="17" t="str">
        <f>IF(ISNA(D20),"",TEXT(D20,"+0;-0"))</f>
        <v>-135</v>
      </c>
      <c r="T20" s="34" t="e">
        <f>G20/$M$11</f>
        <v>#N/A</v>
      </c>
      <c r="U20" s="34">
        <f>H20/$M$11</f>
        <v>-0.15306122448979592</v>
      </c>
      <c r="V20" s="34">
        <f>F20/$N$11</f>
        <v>-0.23731343283582088</v>
      </c>
      <c r="W20" s="17" t="str">
        <f>IF(ISNA(F20),"",TEXT(F20,"+0;-0"))</f>
        <v>-75</v>
      </c>
      <c r="X20" s="34" t="e">
        <f>I20/$N$11</f>
        <v>#N/A</v>
      </c>
      <c r="Y20" s="34">
        <f>J20/$N$11</f>
        <v>-0.23731343283582088</v>
      </c>
    </row>
    <row r="21" spans="1:25" x14ac:dyDescent="0.35">
      <c r="A21" s="21" t="s">
        <v>112</v>
      </c>
      <c r="B21" t="s">
        <v>20</v>
      </c>
      <c r="C21" s="39">
        <v>-221</v>
      </c>
      <c r="D21" s="40">
        <v>-402</v>
      </c>
      <c r="E21" s="41">
        <f>C21-D21</f>
        <v>181</v>
      </c>
      <c r="F21" s="33">
        <f>IF(E21&lt;=0,NA(),D21/E21*100)</f>
        <v>-222.09944751381215</v>
      </c>
      <c r="G21" s="42" t="e">
        <f>IF($D21&gt;0,$D21,NA())</f>
        <v>#N/A</v>
      </c>
      <c r="H21" s="42">
        <f>IF($D21&lt;0,$D21,NA())</f>
        <v>-402</v>
      </c>
      <c r="I21" s="33" t="e">
        <f>IF($F21&gt;0,$F21,NA())</f>
        <v>#N/A</v>
      </c>
      <c r="J21" s="33">
        <f>IF($F21&lt;0,$F21,NA())</f>
        <v>-222.09944751381215</v>
      </c>
      <c r="K21" s="33">
        <f>IF($F21&gt;0,$F21,0)</f>
        <v>0</v>
      </c>
      <c r="L21" s="33">
        <f>IF($F21&lt;0,-$F21,0)</f>
        <v>222.09944751381215</v>
      </c>
      <c r="M21" s="34"/>
      <c r="N21" s="34"/>
      <c r="O21" s="34">
        <f>E21/$M$11</f>
        <v>0.20521541950113378</v>
      </c>
      <c r="P21" s="34">
        <f>C21/$M$11</f>
        <v>-0.25056689342403626</v>
      </c>
      <c r="Q21" s="17" t="str">
        <f>IF(ISNA(C21),"",TEXT(C21,"0"))</f>
        <v>-221</v>
      </c>
      <c r="R21" s="34">
        <f>D21/$M$11</f>
        <v>-0.45578231292517007</v>
      </c>
      <c r="S21" s="17" t="str">
        <f>IF(ISNA(D21),"",TEXT(D21,"+0;-0"))</f>
        <v>-402</v>
      </c>
      <c r="T21" s="34" t="e">
        <f>G21/$M$11</f>
        <v>#N/A</v>
      </c>
      <c r="U21" s="34">
        <f>H21/$M$11</f>
        <v>-0.45578231292517007</v>
      </c>
      <c r="V21" s="34">
        <f>F21/$N$11</f>
        <v>-0.70276243093922652</v>
      </c>
      <c r="W21" s="17" t="str">
        <f>IF(ISNA(F21),"",TEXT(F21,"+0;-0"))</f>
        <v>-222</v>
      </c>
      <c r="X21" s="34" t="e">
        <f>I21/$N$11</f>
        <v>#N/A</v>
      </c>
      <c r="Y21" s="34">
        <f>J21/$N$11</f>
        <v>-0.70276243093922652</v>
      </c>
    </row>
    <row r="22" spans="1:25" x14ac:dyDescent="0.35">
      <c r="A22" s="21" t="s">
        <v>109</v>
      </c>
      <c r="B22" t="s">
        <v>20</v>
      </c>
      <c r="C22" s="39">
        <v>-268</v>
      </c>
      <c r="D22" s="40">
        <v>-441</v>
      </c>
      <c r="E22" s="41">
        <f>C22-D22</f>
        <v>173</v>
      </c>
      <c r="F22" s="33">
        <f>IF(E22&lt;=0,NA(),D22/E22*100)</f>
        <v>-254.91329479768785</v>
      </c>
      <c r="G22" s="42" t="e">
        <f>IF($D22&gt;0,$D22,NA())</f>
        <v>#N/A</v>
      </c>
      <c r="H22" s="42">
        <f>IF($D22&lt;0,$D22,NA())</f>
        <v>-441</v>
      </c>
      <c r="I22" s="33" t="e">
        <f>IF($F22&gt;0,$F22,NA())</f>
        <v>#N/A</v>
      </c>
      <c r="J22" s="33">
        <f>IF($F22&lt;0,$F22,NA())</f>
        <v>-254.91329479768785</v>
      </c>
      <c r="K22" s="33">
        <f>IF($F22&gt;0,$F22,0)</f>
        <v>0</v>
      </c>
      <c r="L22" s="33">
        <f>IF($F22&lt;0,-$F22,0)</f>
        <v>254.91329479768785</v>
      </c>
      <c r="M22" s="34"/>
      <c r="N22" s="34"/>
      <c r="O22" s="34">
        <f>E22/$M$11</f>
        <v>0.19614512471655329</v>
      </c>
      <c r="P22" s="34">
        <f>C22/$M$11</f>
        <v>-0.30385487528344673</v>
      </c>
      <c r="Q22" s="17" t="str">
        <f>IF(ISNA(C22),"",TEXT(C22,"0"))</f>
        <v>-268</v>
      </c>
      <c r="R22" s="34">
        <f>D22/$M$11</f>
        <v>-0.5</v>
      </c>
      <c r="S22" s="17" t="str">
        <f>IF(ISNA(D22),"",TEXT(D22,"+0;-0"))</f>
        <v>-441</v>
      </c>
      <c r="T22" s="34" t="e">
        <f>G22/$M$11</f>
        <v>#N/A</v>
      </c>
      <c r="U22" s="34">
        <f>H22/$M$11</f>
        <v>-0.5</v>
      </c>
      <c r="V22" s="34">
        <f>F22/$N$11</f>
        <v>-0.80659132085238539</v>
      </c>
      <c r="W22" s="17" t="str">
        <f>IF(ISNA(F22),"",TEXT(F22,"+0;-0"))</f>
        <v>-255</v>
      </c>
      <c r="X22" s="34" t="e">
        <f>I22/$N$11</f>
        <v>#N/A</v>
      </c>
      <c r="Y22" s="34">
        <f>J22/$N$11</f>
        <v>-0.80659132085238539</v>
      </c>
    </row>
    <row r="23" spans="1:25" x14ac:dyDescent="0.35">
      <c r="A23" s="21"/>
      <c r="C23" s="37"/>
      <c r="D23" s="40"/>
      <c r="E23" s="41"/>
      <c r="F23" s="33"/>
      <c r="G23" s="42"/>
      <c r="H23" s="42"/>
      <c r="I23" s="33"/>
      <c r="J23" s="33"/>
      <c r="K23" s="33"/>
      <c r="L23" s="33"/>
      <c r="M23" s="34"/>
      <c r="N23" s="34"/>
      <c r="O23" s="34"/>
      <c r="P23" s="34"/>
      <c r="Q23" s="17"/>
      <c r="R23" s="34"/>
      <c r="S23" s="17"/>
      <c r="T23" s="34"/>
      <c r="U23" s="34"/>
      <c r="V23" s="34"/>
      <c r="W23" s="17"/>
      <c r="X23" s="34"/>
      <c r="Y23" s="34"/>
    </row>
    <row r="24" spans="1:25" ht="36" customHeight="1" x14ac:dyDescent="0.35">
      <c r="A24" s="35" t="s">
        <v>131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 spans="1:25" x14ac:dyDescent="0.35">
      <c r="A25" s="21"/>
      <c r="C25" s="37"/>
      <c r="D25" s="40"/>
      <c r="E25" s="41"/>
      <c r="F25" s="33"/>
      <c r="G25" s="42"/>
      <c r="H25" s="42"/>
      <c r="I25" s="33"/>
      <c r="J25" s="33"/>
      <c r="K25" s="33"/>
      <c r="L25" s="33"/>
      <c r="M25" s="34"/>
      <c r="N25" s="34"/>
      <c r="O25" s="34"/>
      <c r="P25" s="34"/>
      <c r="Q25" s="17"/>
      <c r="R25" s="34"/>
      <c r="S25" s="17"/>
      <c r="T25" s="34"/>
      <c r="U25" s="34"/>
      <c r="V25" s="34"/>
      <c r="W25" s="17"/>
      <c r="X25" s="34"/>
      <c r="Y25" s="34"/>
    </row>
    <row r="26" spans="1:25" x14ac:dyDescent="0.35">
      <c r="A26" s="21"/>
      <c r="C26" s="37"/>
      <c r="D26" s="40"/>
      <c r="E26" s="41"/>
      <c r="F26" s="33"/>
      <c r="G26" s="42"/>
      <c r="H26" s="42"/>
      <c r="I26" s="33"/>
      <c r="J26" s="33"/>
      <c r="K26" s="33"/>
      <c r="L26" s="33"/>
      <c r="M26" s="34"/>
      <c r="N26" s="34"/>
      <c r="O26" s="34"/>
      <c r="P26" s="34"/>
      <c r="Q26" s="17"/>
      <c r="R26" s="34"/>
      <c r="S26" s="17"/>
      <c r="T26" s="34"/>
      <c r="U26" s="34"/>
      <c r="V26" s="34"/>
      <c r="W26" s="17"/>
      <c r="X26" s="34"/>
      <c r="Y26" s="34"/>
    </row>
    <row r="27" spans="1:25" x14ac:dyDescent="0.35">
      <c r="A27" s="21"/>
      <c r="C27" s="37"/>
      <c r="D27" s="40"/>
      <c r="E27" s="41"/>
      <c r="F27" s="33"/>
      <c r="G27" s="42"/>
      <c r="H27" s="42"/>
      <c r="I27" s="33"/>
      <c r="J27" s="33"/>
      <c r="K27" s="33"/>
      <c r="L27" s="33"/>
      <c r="M27" s="34"/>
      <c r="N27" s="34"/>
      <c r="O27" s="34"/>
      <c r="P27" s="34"/>
      <c r="Q27" s="17"/>
      <c r="R27" s="34"/>
      <c r="S27" s="17"/>
      <c r="T27" s="34"/>
      <c r="U27" s="34"/>
      <c r="V27" s="34"/>
      <c r="W27" s="17"/>
      <c r="X27" s="34"/>
      <c r="Y27" s="34"/>
    </row>
    <row r="28" spans="1:25" x14ac:dyDescent="0.35">
      <c r="A28" s="21"/>
      <c r="C28" s="37"/>
      <c r="D28" s="40"/>
      <c r="E28" s="41"/>
      <c r="F28" s="33"/>
      <c r="G28" s="42"/>
      <c r="H28" s="42"/>
      <c r="I28" s="33"/>
      <c r="J28" s="33"/>
      <c r="K28" s="33"/>
      <c r="L28" s="33"/>
      <c r="M28" s="34"/>
      <c r="N28" s="34"/>
      <c r="O28" s="34"/>
      <c r="P28" s="34"/>
      <c r="Q28" s="17"/>
      <c r="R28" s="34"/>
      <c r="S28" s="17"/>
      <c r="T28" s="34"/>
      <c r="U28" s="34"/>
      <c r="V28" s="34"/>
      <c r="W28" s="17"/>
      <c r="X28" s="34"/>
      <c r="Y28" s="34"/>
    </row>
    <row r="29" spans="1:25" x14ac:dyDescent="0.35">
      <c r="A29" s="21"/>
      <c r="C29" s="37"/>
      <c r="D29" s="40"/>
      <c r="E29" s="41"/>
      <c r="F29" s="33"/>
      <c r="G29" s="42"/>
      <c r="H29" s="42"/>
      <c r="I29" s="33"/>
      <c r="J29" s="33"/>
      <c r="K29" s="33"/>
      <c r="L29" s="33"/>
      <c r="M29" s="34"/>
      <c r="N29" s="34"/>
      <c r="O29" s="34"/>
      <c r="P29" s="34"/>
      <c r="Q29" s="17"/>
      <c r="R29" s="34"/>
      <c r="S29" s="17"/>
      <c r="T29" s="34"/>
      <c r="U29" s="34"/>
      <c r="V29" s="34"/>
      <c r="W29" s="17"/>
      <c r="X29" s="34"/>
      <c r="Y29" s="34"/>
    </row>
  </sheetData>
  <mergeCells count="8">
    <mergeCell ref="B7:Y7"/>
    <mergeCell ref="A24:Y24"/>
    <mergeCell ref="B1:Y1"/>
    <mergeCell ref="B2:Y2"/>
    <mergeCell ref="B3:Y3"/>
    <mergeCell ref="B4:Y4"/>
    <mergeCell ref="B5:Y5"/>
    <mergeCell ref="B6:Y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7368-8CF1-4BDC-8E2D-EE22439B4DBF}">
  <sheetPr>
    <pageSetUpPr fitToPage="1"/>
  </sheetPr>
  <dimension ref="A1:AU30"/>
  <sheetViews>
    <sheetView showGridLines="0" workbookViewId="0"/>
  </sheetViews>
  <sheetFormatPr defaultRowHeight="14.5" x14ac:dyDescent="0.35"/>
  <cols>
    <col min="1" max="1" width="11.6328125" customWidth="1"/>
    <col min="2" max="2" width="9.6328125" customWidth="1"/>
    <col min="3" max="6" width="8.6328125" customWidth="1"/>
    <col min="7" max="7" width="9.1796875" customWidth="1"/>
    <col min="8" max="14" width="8.1796875" customWidth="1"/>
    <col min="15" max="18" width="7.6328125" customWidth="1"/>
    <col min="19" max="22" width="8.1796875" customWidth="1"/>
    <col min="23" max="47" width="8.6328125" hidden="1" customWidth="1"/>
  </cols>
  <sheetData>
    <row r="1" spans="1:47" ht="15" customHeight="1" x14ac:dyDescent="0.35">
      <c r="A1" s="2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</row>
    <row r="2" spans="1:47" ht="15" customHeight="1" x14ac:dyDescent="0.35">
      <c r="A2" s="27" t="s">
        <v>51</v>
      </c>
      <c r="B2" s="19" t="s">
        <v>79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</row>
    <row r="3" spans="1:47" ht="15" customHeight="1" x14ac:dyDescent="0.35">
      <c r="A3" s="27" t="s">
        <v>53</v>
      </c>
      <c r="B3" s="19" t="s">
        <v>54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ht="15" customHeight="1" x14ac:dyDescent="0.35">
      <c r="A4" s="27" t="s">
        <v>55</v>
      </c>
      <c r="B4" s="19" t="s">
        <v>80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ht="15" customHeight="1" x14ac:dyDescent="0.35">
      <c r="A5" s="27" t="s">
        <v>57</v>
      </c>
      <c r="B5" s="19" t="s">
        <v>27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 spans="1:47" ht="29.5" customHeight="1" x14ac:dyDescent="0.35">
      <c r="A6" s="27" t="s">
        <v>58</v>
      </c>
      <c r="B6" s="29" t="s">
        <v>132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15" customHeight="1" x14ac:dyDescent="0.35">
      <c r="A7" s="27" t="s">
        <v>60</v>
      </c>
      <c r="B7" s="28" t="str">
        <f>B2&amp;" in "&amp;B3</f>
        <v>Underwriting result in $m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</row>
    <row r="8" spans="1:47" ht="15" customHeight="1" x14ac:dyDescent="0.35"/>
    <row r="9" spans="1:47" ht="15" customHeight="1" x14ac:dyDescent="0.35"/>
    <row r="10" spans="1:47" ht="28" customHeight="1" x14ac:dyDescent="0.35">
      <c r="A10" s="7" t="s">
        <v>55</v>
      </c>
      <c r="B10" s="7" t="s">
        <v>16</v>
      </c>
      <c r="C10" s="7" t="s">
        <v>133</v>
      </c>
      <c r="D10" s="7" t="s">
        <v>134</v>
      </c>
      <c r="E10" s="7" t="s">
        <v>82</v>
      </c>
      <c r="F10" s="7" t="s">
        <v>27</v>
      </c>
      <c r="G10" s="7" t="s">
        <v>83</v>
      </c>
      <c r="H10" s="7" t="s">
        <v>135</v>
      </c>
      <c r="I10" s="7" t="s">
        <v>135</v>
      </c>
      <c r="J10" s="7" t="s">
        <v>136</v>
      </c>
      <c r="K10" s="7" t="s">
        <v>137</v>
      </c>
      <c r="L10" s="7" t="s">
        <v>138</v>
      </c>
      <c r="M10" s="7" t="s">
        <v>139</v>
      </c>
      <c r="N10" s="7" t="s">
        <v>140</v>
      </c>
      <c r="O10" s="7" t="s">
        <v>141</v>
      </c>
      <c r="P10" s="7" t="s">
        <v>142</v>
      </c>
      <c r="Q10" s="7" t="s">
        <v>143</v>
      </c>
      <c r="R10" s="7" t="s">
        <v>144</v>
      </c>
      <c r="S10" s="7" t="s">
        <v>88</v>
      </c>
      <c r="T10" s="7" t="s">
        <v>89</v>
      </c>
      <c r="U10" s="7" t="s">
        <v>90</v>
      </c>
      <c r="V10" s="7" t="s">
        <v>91</v>
      </c>
      <c r="W10" s="7" t="s">
        <v>92</v>
      </c>
      <c r="X10" s="7" t="s">
        <v>93</v>
      </c>
      <c r="Y10" s="7" t="s">
        <v>145</v>
      </c>
      <c r="Z10" s="7" t="s">
        <v>146</v>
      </c>
      <c r="AA10" s="7" t="s">
        <v>147</v>
      </c>
      <c r="AB10" s="7" t="s">
        <v>148</v>
      </c>
      <c r="AC10" s="7" t="s">
        <v>149</v>
      </c>
      <c r="AD10" s="7" t="s">
        <v>150</v>
      </c>
      <c r="AE10" s="7" t="s">
        <v>151</v>
      </c>
      <c r="AF10" s="7" t="s">
        <v>152</v>
      </c>
      <c r="AG10" s="7" t="s">
        <v>153</v>
      </c>
      <c r="AH10" s="7" t="s">
        <v>154</v>
      </c>
      <c r="AI10" s="7" t="s">
        <v>155</v>
      </c>
      <c r="AJ10" s="7" t="s">
        <v>156</v>
      </c>
      <c r="AK10" s="7" t="s">
        <v>157</v>
      </c>
      <c r="AL10" s="7" t="s">
        <v>158</v>
      </c>
      <c r="AM10" s="7" t="s">
        <v>159</v>
      </c>
      <c r="AN10" s="7" t="s">
        <v>160</v>
      </c>
      <c r="AO10" s="7" t="s">
        <v>161</v>
      </c>
      <c r="AP10" s="7" t="s">
        <v>101</v>
      </c>
      <c r="AQ10" s="7" t="s">
        <v>102</v>
      </c>
      <c r="AR10" s="7" t="s">
        <v>103</v>
      </c>
      <c r="AS10" s="7" t="s">
        <v>104</v>
      </c>
      <c r="AT10" s="7" t="s">
        <v>105</v>
      </c>
      <c r="AU10" s="7" t="s">
        <v>106</v>
      </c>
    </row>
    <row r="11" spans="1:47" x14ac:dyDescent="0.35">
      <c r="A11" s="21" t="s">
        <v>162</v>
      </c>
      <c r="B11" t="s">
        <v>34</v>
      </c>
      <c r="C11" s="17" t="s">
        <v>163</v>
      </c>
      <c r="D11" s="45">
        <f>SUM(F13:F24)</f>
        <v>10256</v>
      </c>
      <c r="E11" s="48"/>
      <c r="F11" s="49">
        <f>0</f>
        <v>0</v>
      </c>
      <c r="G11" s="33" t="e">
        <f>NA()</f>
        <v>#N/A</v>
      </c>
      <c r="H11" s="49" t="e">
        <f>NA()</f>
        <v>#N/A</v>
      </c>
      <c r="I11" s="49">
        <f>D11</f>
        <v>10256</v>
      </c>
      <c r="J11" s="49" t="e">
        <f>NA()</f>
        <v>#N/A</v>
      </c>
      <c r="K11" s="49" t="e">
        <f>NA()</f>
        <v>#N/A</v>
      </c>
      <c r="L11" s="49">
        <f>0</f>
        <v>0</v>
      </c>
      <c r="M11" s="49">
        <f>L11</f>
        <v>0</v>
      </c>
      <c r="N11" s="49">
        <f>0</f>
        <v>0</v>
      </c>
      <c r="O11" s="49">
        <f>0</f>
        <v>0</v>
      </c>
      <c r="P11" s="49">
        <f>0</f>
        <v>0</v>
      </c>
      <c r="Q11" s="49">
        <f>0</f>
        <v>0</v>
      </c>
      <c r="R11" s="49">
        <f>0</f>
        <v>0</v>
      </c>
      <c r="S11" s="33" t="e">
        <f>NA()</f>
        <v>#N/A</v>
      </c>
      <c r="T11" s="33" t="e">
        <f>NA()</f>
        <v>#N/A</v>
      </c>
      <c r="U11" s="32">
        <f>0</f>
        <v>0</v>
      </c>
      <c r="V11" s="32">
        <f>0</f>
        <v>0</v>
      </c>
      <c r="W11" s="34">
        <f>MAX(_xlfn.AGGREGATE(4,6,H11:H27,I11:I27,J11:J27,K11:K27,N11:N27,O11:O27,P11:P27,Q11:Q27,R11:R27),-_xlfn.AGGREGATE(5,6,H11:H27,I11:I27,J11:J27,K11:K27,N11:N27,O11:O27,P11:P27,Q11:Q27,R11:R27),0.000000001)</f>
        <v>11376</v>
      </c>
      <c r="X11" s="34">
        <f>MAX(_xlfn.AGGREGATE(4,6,S11:S27,T11:T27,U11:U27,V11:V27),-_xlfn.AGGREGATE(5,6,S11:S27,T11:T27,U11:U27,V11:V27),0.000000001)</f>
        <v>3648.1481481481483</v>
      </c>
      <c r="Y11" s="34" t="e">
        <f>H11/$W$11</f>
        <v>#N/A</v>
      </c>
      <c r="Z11" s="17" t="str">
        <f>IF(ISNA(H11),"",TEXT(H11,"#,##0"))</f>
        <v/>
      </c>
      <c r="AA11" s="34">
        <f>I11/$W$11</f>
        <v>0.90154711673699017</v>
      </c>
      <c r="AB11" s="17" t="str">
        <f>IF(ISNA(I11),"",TEXT(I11,"#,##0"))</f>
        <v>10,256</v>
      </c>
      <c r="AC11" s="34" t="e">
        <f>J11/$W$11</f>
        <v>#N/A</v>
      </c>
      <c r="AD11" s="17" t="str">
        <f>IF(ISNA(J11),"",TEXT(J11,"#,##0"))</f>
        <v/>
      </c>
      <c r="AE11" s="34" t="e">
        <f>K11/$W$11</f>
        <v>#N/A</v>
      </c>
      <c r="AF11" s="17" t="str">
        <f>IF(ISNA(K11),"",TEXT(K11,"#,##0"))</f>
        <v/>
      </c>
      <c r="AG11" s="34">
        <f>N11/$W$11</f>
        <v>0</v>
      </c>
      <c r="AH11" s="34">
        <f>O11/$W$11</f>
        <v>0</v>
      </c>
      <c r="AI11" s="17" t="str">
        <f>IF(ISNA(O11),"",TEXT(O11,"+#,##0"))</f>
        <v>+0</v>
      </c>
      <c r="AJ11" s="34">
        <f>P11/$W$11</f>
        <v>0</v>
      </c>
      <c r="AK11" s="17" t="str">
        <f>IF(ISNA(P11),"",TEXT(P11,"""-""#,##0"))</f>
        <v>-0</v>
      </c>
      <c r="AL11" s="34">
        <f>Q11/$W$11</f>
        <v>0</v>
      </c>
      <c r="AM11" s="17" t="str">
        <f>IF(ISNA(Q11),"",TEXT(Q11,"+#,##0"))</f>
        <v>+0</v>
      </c>
      <c r="AN11" s="34">
        <f>R11/$W$11</f>
        <v>0</v>
      </c>
      <c r="AO11" s="17" t="str">
        <f>IF(ISNA(R11),"",TEXT(R11,"""-""#,##0"))</f>
        <v>-0</v>
      </c>
      <c r="AP11" s="34" t="e">
        <f>S11/$X$11</f>
        <v>#N/A</v>
      </c>
      <c r="AQ11" s="17" t="str">
        <f>IF(ISNA(S11),"",TEXT(S11,"+0.0;-0.0"))</f>
        <v/>
      </c>
      <c r="AR11" s="34" t="e">
        <f>T11/$X$11</f>
        <v>#N/A</v>
      </c>
      <c r="AS11" s="17" t="str">
        <f>IF(ISNA(T11),"",TEXT(T11,"+0.0;-0.0"))</f>
        <v/>
      </c>
      <c r="AT11" s="34">
        <f>U11/$X$11</f>
        <v>0</v>
      </c>
      <c r="AU11" s="34">
        <f>V11/$X$11</f>
        <v>0</v>
      </c>
    </row>
    <row r="12" spans="1:47" x14ac:dyDescent="0.35">
      <c r="A12" s="21" t="s">
        <v>66</v>
      </c>
      <c r="B12" t="s">
        <v>27</v>
      </c>
      <c r="C12" s="17" t="s">
        <v>163</v>
      </c>
      <c r="D12" s="46">
        <v>10256</v>
      </c>
      <c r="E12" s="48"/>
      <c r="F12" s="49">
        <f>0</f>
        <v>0</v>
      </c>
      <c r="G12" s="33" t="e">
        <f>NA()</f>
        <v>#N/A</v>
      </c>
      <c r="H12" s="49">
        <f>D12</f>
        <v>10256</v>
      </c>
      <c r="I12" s="49" t="e">
        <f>NA()</f>
        <v>#N/A</v>
      </c>
      <c r="J12" s="49" t="e">
        <f>NA()</f>
        <v>#N/A</v>
      </c>
      <c r="K12" s="49" t="e">
        <f>NA()</f>
        <v>#N/A</v>
      </c>
      <c r="L12" s="49">
        <f>D12</f>
        <v>10256</v>
      </c>
      <c r="M12" s="49">
        <f>L12</f>
        <v>10256</v>
      </c>
      <c r="N12" s="49">
        <f>0</f>
        <v>0</v>
      </c>
      <c r="O12" s="49">
        <f>0</f>
        <v>0</v>
      </c>
      <c r="P12" s="49">
        <f>0</f>
        <v>0</v>
      </c>
      <c r="Q12" s="49">
        <f>0</f>
        <v>0</v>
      </c>
      <c r="R12" s="49">
        <f>0</f>
        <v>0</v>
      </c>
      <c r="S12" s="33" t="e">
        <f>NA()</f>
        <v>#N/A</v>
      </c>
      <c r="T12" s="33" t="e">
        <f>NA()</f>
        <v>#N/A</v>
      </c>
      <c r="U12" s="32">
        <f>0</f>
        <v>0</v>
      </c>
      <c r="V12" s="32">
        <f>0</f>
        <v>0</v>
      </c>
      <c r="W12" s="34"/>
      <c r="X12" s="34"/>
      <c r="Y12" s="34">
        <f>H12/$W$11</f>
        <v>0.90154711673699017</v>
      </c>
      <c r="Z12" s="17" t="str">
        <f>IF(ISNA(H12),"",TEXT(H12,"#,##0"))</f>
        <v>10,256</v>
      </c>
      <c r="AA12" s="34" t="e">
        <f>I12/$W$11</f>
        <v>#N/A</v>
      </c>
      <c r="AB12" s="17" t="str">
        <f>IF(ISNA(I12),"",TEXT(I12,"#,##0"))</f>
        <v/>
      </c>
      <c r="AC12" s="34" t="e">
        <f>J12/$W$11</f>
        <v>#N/A</v>
      </c>
      <c r="AD12" s="17" t="str">
        <f>IF(ISNA(J12),"",TEXT(J12,"#,##0"))</f>
        <v/>
      </c>
      <c r="AE12" s="34" t="e">
        <f>K12/$W$11</f>
        <v>#N/A</v>
      </c>
      <c r="AF12" s="17" t="str">
        <f>IF(ISNA(K12),"",TEXT(K12,"#,##0"))</f>
        <v/>
      </c>
      <c r="AG12" s="34">
        <f>N12/$W$11</f>
        <v>0</v>
      </c>
      <c r="AH12" s="34">
        <f>O12/$W$11</f>
        <v>0</v>
      </c>
      <c r="AI12" s="17" t="str">
        <f>IF(ISNA(O12),"",TEXT(O12,"+#,##0"))</f>
        <v>+0</v>
      </c>
      <c r="AJ12" s="34">
        <f>P12/$W$11</f>
        <v>0</v>
      </c>
      <c r="AK12" s="17" t="str">
        <f>IF(ISNA(P12),"",TEXT(P12,"""-""#,##0"))</f>
        <v>-0</v>
      </c>
      <c r="AL12" s="34">
        <f>Q12/$W$11</f>
        <v>0</v>
      </c>
      <c r="AM12" s="17" t="str">
        <f>IF(ISNA(Q12),"",TEXT(Q12,"+#,##0"))</f>
        <v>+0</v>
      </c>
      <c r="AN12" s="34">
        <f>R12/$W$11</f>
        <v>0</v>
      </c>
      <c r="AO12" s="17" t="str">
        <f>IF(ISNA(R12),"",TEXT(R12,"""-""#,##0"))</f>
        <v>-0</v>
      </c>
      <c r="AP12" s="34" t="e">
        <f>S12/$X$11</f>
        <v>#N/A</v>
      </c>
      <c r="AQ12" s="17" t="str">
        <f>IF(ISNA(S12),"",TEXT(S12,"+0.0;-0.0"))</f>
        <v/>
      </c>
      <c r="AR12" s="34" t="e">
        <f>T12/$X$11</f>
        <v>#N/A</v>
      </c>
      <c r="AS12" s="17" t="str">
        <f>IF(ISNA(T12),"",TEXT(T12,"+0.0;-0.0"))</f>
        <v/>
      </c>
      <c r="AT12" s="34">
        <f>U12/$X$11</f>
        <v>0</v>
      </c>
      <c r="AU12" s="34">
        <f>V12/$X$11</f>
        <v>0</v>
      </c>
    </row>
    <row r="13" spans="1:47" x14ac:dyDescent="0.35">
      <c r="A13" s="21" t="s">
        <v>107</v>
      </c>
      <c r="B13" t="s">
        <v>20</v>
      </c>
      <c r="C13" s="17" t="s">
        <v>164</v>
      </c>
      <c r="D13" s="46">
        <v>1080</v>
      </c>
      <c r="E13" s="48">
        <v>33</v>
      </c>
      <c r="F13" s="49">
        <f>D13-E13</f>
        <v>1047</v>
      </c>
      <c r="G13" s="33">
        <f>IF(F13=0,NA(),E13/F13*100)</f>
        <v>3.151862464183381</v>
      </c>
      <c r="H13" s="49" t="e">
        <f>NA()</f>
        <v>#N/A</v>
      </c>
      <c r="I13" s="49">
        <f>F13</f>
        <v>1047</v>
      </c>
      <c r="J13" s="49">
        <f>IF($B13="AC",D13,NA())</f>
        <v>1080</v>
      </c>
      <c r="K13" s="49" t="e">
        <f>IF($B13="FC",D13,NA())</f>
        <v>#N/A</v>
      </c>
      <c r="L13" s="49">
        <f>M13+E13</f>
        <v>10289</v>
      </c>
      <c r="M13" s="49">
        <f>L12</f>
        <v>10256</v>
      </c>
      <c r="N13" s="49">
        <f>MIN(M13,L13)</f>
        <v>10256</v>
      </c>
      <c r="O13" s="49">
        <f>IF(AND($B13="AC",E13&gt;0),E13,0)</f>
        <v>33</v>
      </c>
      <c r="P13" s="49">
        <f>IF(AND($B13="AC",E13&lt;0),-E13,0)</f>
        <v>0</v>
      </c>
      <c r="Q13" s="49">
        <f>IF(AND($B13="FC",E13&gt;0),E13,0)</f>
        <v>0</v>
      </c>
      <c r="R13" s="49">
        <f>IF(AND($B13="FC",E13&lt;0),-E13,0)</f>
        <v>0</v>
      </c>
      <c r="S13" s="33">
        <f>IF(G13&gt;0,G13,NA())</f>
        <v>3.151862464183381</v>
      </c>
      <c r="T13" s="33" t="e">
        <f>IF(G13&lt;0,G13,NA())</f>
        <v>#N/A</v>
      </c>
      <c r="U13" s="32">
        <f>IF(G13&gt;0,G13,0)</f>
        <v>3.151862464183381</v>
      </c>
      <c r="V13" s="32">
        <f>IF(G13&lt;0,-G13,0)</f>
        <v>0</v>
      </c>
      <c r="W13" s="34"/>
      <c r="X13" s="34"/>
      <c r="Y13" s="34" t="e">
        <f>H13/$W$11</f>
        <v>#N/A</v>
      </c>
      <c r="Z13" s="17" t="str">
        <f>IF(ISNA(H13),"",TEXT(H13,"#,##0"))</f>
        <v/>
      </c>
      <c r="AA13" s="34">
        <f>I13/$W$11</f>
        <v>9.2035864978902954E-2</v>
      </c>
      <c r="AB13" s="17" t="str">
        <f>IF(ISNA(I13),"",TEXT(I13,"#,##0"))</f>
        <v>1,047</v>
      </c>
      <c r="AC13" s="34">
        <f>J13/$W$11</f>
        <v>9.49367088607595E-2</v>
      </c>
      <c r="AD13" s="17" t="str">
        <f>IF(ISNA(J13),"",TEXT(J13,"#,##0"))</f>
        <v>1,080</v>
      </c>
      <c r="AE13" s="34" t="e">
        <f>K13/$W$11</f>
        <v>#N/A</v>
      </c>
      <c r="AF13" s="17" t="str">
        <f>IF(ISNA(K13),"",TEXT(K13,"#,##0"))</f>
        <v/>
      </c>
      <c r="AG13" s="34">
        <f>N13/$W$11</f>
        <v>0.90154711673699017</v>
      </c>
      <c r="AH13" s="34">
        <f>O13/$W$11</f>
        <v>2.9008438818565402E-3</v>
      </c>
      <c r="AI13" s="17" t="str">
        <f>IF(ISNA(O13),"",TEXT(O13,"+#,##0"))</f>
        <v>+33</v>
      </c>
      <c r="AJ13" s="34">
        <f>P13/$W$11</f>
        <v>0</v>
      </c>
      <c r="AK13" s="17" t="str">
        <f>IF(ISNA(P13),"",TEXT(P13,"""-""#,##0"))</f>
        <v>-0</v>
      </c>
      <c r="AL13" s="34">
        <f>Q13/$W$11</f>
        <v>0</v>
      </c>
      <c r="AM13" s="17" t="str">
        <f>IF(ISNA(Q13),"",TEXT(Q13,"+#,##0"))</f>
        <v>+0</v>
      </c>
      <c r="AN13" s="34">
        <f>R13/$W$11</f>
        <v>0</v>
      </c>
      <c r="AO13" s="17" t="str">
        <f>IF(ISNA(R13),"",TEXT(R13,"""-""#,##0"))</f>
        <v>-0</v>
      </c>
      <c r="AP13" s="34">
        <f>S13/$X$11</f>
        <v>8.6396229982691657E-4</v>
      </c>
      <c r="AQ13" s="17" t="str">
        <f>IF(ISNA(S13),"",TEXT(S13,"+0.0;-0.0"))</f>
        <v>+3.2</v>
      </c>
      <c r="AR13" s="34" t="e">
        <f>T13/$X$11</f>
        <v>#N/A</v>
      </c>
      <c r="AS13" s="17" t="str">
        <f>IF(ISNA(T13),"",TEXT(T13,"+0.0;-0.0"))</f>
        <v/>
      </c>
      <c r="AT13" s="34">
        <f>U13/$X$11</f>
        <v>8.6396229982691657E-4</v>
      </c>
      <c r="AU13" s="34">
        <f>V13/$X$11</f>
        <v>0</v>
      </c>
    </row>
    <row r="14" spans="1:47" x14ac:dyDescent="0.35">
      <c r="A14" s="21" t="s">
        <v>108</v>
      </c>
      <c r="B14" t="s">
        <v>20</v>
      </c>
      <c r="C14" s="17" t="s">
        <v>164</v>
      </c>
      <c r="D14" s="46">
        <v>934</v>
      </c>
      <c r="E14" s="48">
        <v>-116</v>
      </c>
      <c r="F14" s="49">
        <f>D14-E14</f>
        <v>1050</v>
      </c>
      <c r="G14" s="33">
        <f>IF(F14=0,NA(),E14/F14*100)</f>
        <v>-11.047619047619047</v>
      </c>
      <c r="H14" s="49" t="e">
        <f>NA()</f>
        <v>#N/A</v>
      </c>
      <c r="I14" s="49">
        <f>F14</f>
        <v>1050</v>
      </c>
      <c r="J14" s="49">
        <f>IF($B14="AC",D14,NA())</f>
        <v>934</v>
      </c>
      <c r="K14" s="49" t="e">
        <f>IF($B14="FC",D14,NA())</f>
        <v>#N/A</v>
      </c>
      <c r="L14" s="49">
        <f>M14+E14</f>
        <v>10173</v>
      </c>
      <c r="M14" s="49">
        <f>L13</f>
        <v>10289</v>
      </c>
      <c r="N14" s="49">
        <f>MIN(M14,L14)</f>
        <v>10173</v>
      </c>
      <c r="O14" s="49">
        <f>IF(AND($B14="AC",E14&gt;0),E14,0)</f>
        <v>0</v>
      </c>
      <c r="P14" s="49">
        <f>IF(AND($B14="AC",E14&lt;0),-E14,0)</f>
        <v>116</v>
      </c>
      <c r="Q14" s="49">
        <f>IF(AND($B14="FC",E14&gt;0),E14,0)</f>
        <v>0</v>
      </c>
      <c r="R14" s="49">
        <f>IF(AND($B14="FC",E14&lt;0),-E14,0)</f>
        <v>0</v>
      </c>
      <c r="S14" s="33" t="e">
        <f>IF(G14&gt;0,G14,NA())</f>
        <v>#N/A</v>
      </c>
      <c r="T14" s="33">
        <f>IF(G14&lt;0,G14,NA())</f>
        <v>-11.047619047619047</v>
      </c>
      <c r="U14" s="32">
        <f>IF(G14&gt;0,G14,0)</f>
        <v>0</v>
      </c>
      <c r="V14" s="32">
        <f>IF(G14&lt;0,-G14,0)</f>
        <v>11.047619047619047</v>
      </c>
      <c r="W14" s="34"/>
      <c r="X14" s="34"/>
      <c r="Y14" s="34" t="e">
        <f>H14/$W$11</f>
        <v>#N/A</v>
      </c>
      <c r="Z14" s="17" t="str">
        <f>IF(ISNA(H14),"",TEXT(H14,"#,##0"))</f>
        <v/>
      </c>
      <c r="AA14" s="34">
        <f>I14/$W$11</f>
        <v>9.2299578059071727E-2</v>
      </c>
      <c r="AB14" s="17" t="str">
        <f>IF(ISNA(I14),"",TEXT(I14,"#,##0"))</f>
        <v>1,050</v>
      </c>
      <c r="AC14" s="34">
        <f>J14/$W$11</f>
        <v>8.2102672292545711E-2</v>
      </c>
      <c r="AD14" s="17" t="str">
        <f>IF(ISNA(J14),"",TEXT(J14,"#,##0"))</f>
        <v>934</v>
      </c>
      <c r="AE14" s="34" t="e">
        <f>K14/$W$11</f>
        <v>#N/A</v>
      </c>
      <c r="AF14" s="17" t="str">
        <f>IF(ISNA(K14),"",TEXT(K14,"#,##0"))</f>
        <v/>
      </c>
      <c r="AG14" s="34">
        <f>N14/$W$11</f>
        <v>0.8942510548523207</v>
      </c>
      <c r="AH14" s="34">
        <f>O14/$W$11</f>
        <v>0</v>
      </c>
      <c r="AI14" s="17" t="str">
        <f>IF(ISNA(O14),"",TEXT(O14,"+#,##0"))</f>
        <v>+0</v>
      </c>
      <c r="AJ14" s="34">
        <f>P14/$W$11</f>
        <v>1.0196905766526019E-2</v>
      </c>
      <c r="AK14" s="17" t="str">
        <f>IF(ISNA(P14),"",TEXT(P14,"""-""#,##0"))</f>
        <v>-116</v>
      </c>
      <c r="AL14" s="34">
        <f>Q14/$W$11</f>
        <v>0</v>
      </c>
      <c r="AM14" s="17" t="str">
        <f>IF(ISNA(Q14),"",TEXT(Q14,"+#,##0"))</f>
        <v>+0</v>
      </c>
      <c r="AN14" s="34">
        <f>R14/$W$11</f>
        <v>0</v>
      </c>
      <c r="AO14" s="17" t="str">
        <f>IF(ISNA(R14),"",TEXT(R14,"""-""#,##0"))</f>
        <v>-0</v>
      </c>
      <c r="AP14" s="34" t="e">
        <f>S14/$X$11</f>
        <v>#N/A</v>
      </c>
      <c r="AQ14" s="17" t="str">
        <f>IF(ISNA(S14),"",TEXT(S14,"+0.0;-0.0"))</f>
        <v/>
      </c>
      <c r="AR14" s="34">
        <f>T14/$X$11</f>
        <v>-3.0282813633067439E-3</v>
      </c>
      <c r="AS14" s="17" t="str">
        <f>IF(ISNA(T14),"",TEXT(T14,"+0.0;-0.0"))</f>
        <v>-11.0</v>
      </c>
      <c r="AT14" s="34">
        <f>U14/$X$11</f>
        <v>0</v>
      </c>
      <c r="AU14" s="34">
        <f>V14/$X$11</f>
        <v>3.0282813633067439E-3</v>
      </c>
    </row>
    <row r="15" spans="1:47" x14ac:dyDescent="0.35">
      <c r="A15" s="21" t="s">
        <v>109</v>
      </c>
      <c r="B15" t="s">
        <v>20</v>
      </c>
      <c r="C15" s="17" t="s">
        <v>164</v>
      </c>
      <c r="D15" s="46">
        <v>842</v>
      </c>
      <c r="E15" s="48">
        <v>224</v>
      </c>
      <c r="F15" s="49">
        <f>D15-E15</f>
        <v>618</v>
      </c>
      <c r="G15" s="33">
        <f>IF(F15=0,NA(),E15/F15*100)</f>
        <v>36.245954692556637</v>
      </c>
      <c r="H15" s="49" t="e">
        <f>NA()</f>
        <v>#N/A</v>
      </c>
      <c r="I15" s="49">
        <f>F15</f>
        <v>618</v>
      </c>
      <c r="J15" s="49">
        <f>IF($B15="AC",D15,NA())</f>
        <v>842</v>
      </c>
      <c r="K15" s="49" t="e">
        <f>IF($B15="FC",D15,NA())</f>
        <v>#N/A</v>
      </c>
      <c r="L15" s="49">
        <f>M15+E15</f>
        <v>10397</v>
      </c>
      <c r="M15" s="49">
        <f>L14</f>
        <v>10173</v>
      </c>
      <c r="N15" s="49">
        <f>MIN(M15,L15)</f>
        <v>10173</v>
      </c>
      <c r="O15" s="49">
        <f>IF(AND($B15="AC",E15&gt;0),E15,0)</f>
        <v>224</v>
      </c>
      <c r="P15" s="49">
        <f>IF(AND($B15="AC",E15&lt;0),-E15,0)</f>
        <v>0</v>
      </c>
      <c r="Q15" s="49">
        <f>IF(AND($B15="FC",E15&gt;0),E15,0)</f>
        <v>0</v>
      </c>
      <c r="R15" s="49">
        <f>IF(AND($B15="FC",E15&lt;0),-E15,0)</f>
        <v>0</v>
      </c>
      <c r="S15" s="33">
        <f>IF(G15&gt;0,G15,NA())</f>
        <v>36.245954692556637</v>
      </c>
      <c r="T15" s="33" t="e">
        <f>IF(G15&lt;0,G15,NA())</f>
        <v>#N/A</v>
      </c>
      <c r="U15" s="32">
        <f>IF(G15&gt;0,G15,0)</f>
        <v>36.245954692556637</v>
      </c>
      <c r="V15" s="32">
        <f>IF(G15&lt;0,-G15,0)</f>
        <v>0</v>
      </c>
      <c r="W15" s="34"/>
      <c r="X15" s="34"/>
      <c r="Y15" s="34" t="e">
        <f>H15/$W$11</f>
        <v>#N/A</v>
      </c>
      <c r="Z15" s="17" t="str">
        <f>IF(ISNA(H15),"",TEXT(H15,"#,##0"))</f>
        <v/>
      </c>
      <c r="AA15" s="34">
        <f>I15/$W$11</f>
        <v>5.4324894514767935E-2</v>
      </c>
      <c r="AB15" s="17" t="str">
        <f>IF(ISNA(I15),"",TEXT(I15,"#,##0"))</f>
        <v>618</v>
      </c>
      <c r="AC15" s="34">
        <f>J15/$W$11</f>
        <v>7.4015471167369895E-2</v>
      </c>
      <c r="AD15" s="17" t="str">
        <f>IF(ISNA(J15),"",TEXT(J15,"#,##0"))</f>
        <v>842</v>
      </c>
      <c r="AE15" s="34" t="e">
        <f>K15/$W$11</f>
        <v>#N/A</v>
      </c>
      <c r="AF15" s="17" t="str">
        <f>IF(ISNA(K15),"",TEXT(K15,"#,##0"))</f>
        <v/>
      </c>
      <c r="AG15" s="34">
        <f>N15/$W$11</f>
        <v>0.8942510548523207</v>
      </c>
      <c r="AH15" s="34">
        <f>O15/$W$11</f>
        <v>1.969057665260197E-2</v>
      </c>
      <c r="AI15" s="17" t="str">
        <f>IF(ISNA(O15),"",TEXT(O15,"+#,##0"))</f>
        <v>+224</v>
      </c>
      <c r="AJ15" s="34">
        <f>P15/$W$11</f>
        <v>0</v>
      </c>
      <c r="AK15" s="17" t="str">
        <f>IF(ISNA(P15),"",TEXT(P15,"""-""#,##0"))</f>
        <v>-0</v>
      </c>
      <c r="AL15" s="34">
        <f>Q15/$W$11</f>
        <v>0</v>
      </c>
      <c r="AM15" s="17" t="str">
        <f>IF(ISNA(Q15),"",TEXT(Q15,"+#,##0"))</f>
        <v>+0</v>
      </c>
      <c r="AN15" s="34">
        <f>R15/$W$11</f>
        <v>0</v>
      </c>
      <c r="AO15" s="17" t="str">
        <f>IF(ISNA(R15),"",TEXT(R15,"""-""#,##0"))</f>
        <v>-0</v>
      </c>
      <c r="AP15" s="34">
        <f>S15/$X$11</f>
        <v>9.9354393573505492E-3</v>
      </c>
      <c r="AQ15" s="17" t="str">
        <f>IF(ISNA(S15),"",TEXT(S15,"+0.0;-0.0"))</f>
        <v>+36.2</v>
      </c>
      <c r="AR15" s="34" t="e">
        <f>T15/$X$11</f>
        <v>#N/A</v>
      </c>
      <c r="AS15" s="17" t="str">
        <f>IF(ISNA(T15),"",TEXT(T15,"+0.0;-0.0"))</f>
        <v/>
      </c>
      <c r="AT15" s="34">
        <f>U15/$X$11</f>
        <v>9.9354393573505492E-3</v>
      </c>
      <c r="AU15" s="34">
        <f>V15/$X$11</f>
        <v>0</v>
      </c>
    </row>
    <row r="16" spans="1:47" x14ac:dyDescent="0.35">
      <c r="A16" s="21" t="s">
        <v>110</v>
      </c>
      <c r="B16" t="s">
        <v>20</v>
      </c>
      <c r="C16" s="17" t="s">
        <v>164</v>
      </c>
      <c r="D16" s="46">
        <v>697</v>
      </c>
      <c r="E16" s="48">
        <v>-306</v>
      </c>
      <c r="F16" s="49">
        <f>D16-E16</f>
        <v>1003</v>
      </c>
      <c r="G16" s="33">
        <f>IF(F16=0,NA(),E16/F16*100)</f>
        <v>-30.508474576271187</v>
      </c>
      <c r="H16" s="49" t="e">
        <f>NA()</f>
        <v>#N/A</v>
      </c>
      <c r="I16" s="49">
        <f>F16</f>
        <v>1003</v>
      </c>
      <c r="J16" s="49">
        <f>IF($B16="AC",D16,NA())</f>
        <v>697</v>
      </c>
      <c r="K16" s="49" t="e">
        <f>IF($B16="FC",D16,NA())</f>
        <v>#N/A</v>
      </c>
      <c r="L16" s="49">
        <f>M16+E16</f>
        <v>10091</v>
      </c>
      <c r="M16" s="49">
        <f>L15</f>
        <v>10397</v>
      </c>
      <c r="N16" s="49">
        <f>MIN(M16,L16)</f>
        <v>10091</v>
      </c>
      <c r="O16" s="49">
        <f>IF(AND($B16="AC",E16&gt;0),E16,0)</f>
        <v>0</v>
      </c>
      <c r="P16" s="49">
        <f>IF(AND($B16="AC",E16&lt;0),-E16,0)</f>
        <v>306</v>
      </c>
      <c r="Q16" s="49">
        <f>IF(AND($B16="FC",E16&gt;0),E16,0)</f>
        <v>0</v>
      </c>
      <c r="R16" s="49">
        <f>IF(AND($B16="FC",E16&lt;0),-E16,0)</f>
        <v>0</v>
      </c>
      <c r="S16" s="33" t="e">
        <f>IF(G16&gt;0,G16,NA())</f>
        <v>#N/A</v>
      </c>
      <c r="T16" s="33">
        <f>IF(G16&lt;0,G16,NA())</f>
        <v>-30.508474576271187</v>
      </c>
      <c r="U16" s="32">
        <f>IF(G16&gt;0,G16,0)</f>
        <v>0</v>
      </c>
      <c r="V16" s="32">
        <f>IF(G16&lt;0,-G16,0)</f>
        <v>30.508474576271187</v>
      </c>
      <c r="W16" s="34"/>
      <c r="X16" s="34"/>
      <c r="Y16" s="34" t="e">
        <f>H16/$W$11</f>
        <v>#N/A</v>
      </c>
      <c r="Z16" s="17" t="str">
        <f>IF(ISNA(H16),"",TEXT(H16,"#,##0"))</f>
        <v/>
      </c>
      <c r="AA16" s="34">
        <f>I16/$W$11</f>
        <v>8.8168073136427563E-2</v>
      </c>
      <c r="AB16" s="17" t="str">
        <f>IF(ISNA(I16),"",TEXT(I16,"#,##0"))</f>
        <v>1,003</v>
      </c>
      <c r="AC16" s="34">
        <f>J16/$W$11</f>
        <v>6.1269338959212376E-2</v>
      </c>
      <c r="AD16" s="17" t="str">
        <f>IF(ISNA(J16),"",TEXT(J16,"#,##0"))</f>
        <v>697</v>
      </c>
      <c r="AE16" s="34" t="e">
        <f>K16/$W$11</f>
        <v>#N/A</v>
      </c>
      <c r="AF16" s="17" t="str">
        <f>IF(ISNA(K16),"",TEXT(K16,"#,##0"))</f>
        <v/>
      </c>
      <c r="AG16" s="34">
        <f>N16/$W$11</f>
        <v>0.88704289732770747</v>
      </c>
      <c r="AH16" s="34">
        <f>O16/$W$11</f>
        <v>0</v>
      </c>
      <c r="AI16" s="17" t="str">
        <f>IF(ISNA(O16),"",TEXT(O16,"+#,##0"))</f>
        <v>+0</v>
      </c>
      <c r="AJ16" s="34">
        <f>P16/$W$11</f>
        <v>2.6898734177215191E-2</v>
      </c>
      <c r="AK16" s="17" t="str">
        <f>IF(ISNA(P16),"",TEXT(P16,"""-""#,##0"))</f>
        <v>-306</v>
      </c>
      <c r="AL16" s="34">
        <f>Q16/$W$11</f>
        <v>0</v>
      </c>
      <c r="AM16" s="17" t="str">
        <f>IF(ISNA(Q16),"",TEXT(Q16,"+#,##0"))</f>
        <v>+0</v>
      </c>
      <c r="AN16" s="34">
        <f>R16/$W$11</f>
        <v>0</v>
      </c>
      <c r="AO16" s="17" t="str">
        <f>IF(ISNA(R16),"",TEXT(R16,"""-""#,##0"))</f>
        <v>-0</v>
      </c>
      <c r="AP16" s="34" t="e">
        <f>S16/$X$11</f>
        <v>#N/A</v>
      </c>
      <c r="AQ16" s="17" t="str">
        <f>IF(ISNA(S16),"",TEXT(S16,"+0.0;-0.0"))</f>
        <v/>
      </c>
      <c r="AR16" s="34">
        <f>T16/$X$11</f>
        <v>-8.3627290716682436E-3</v>
      </c>
      <c r="AS16" s="17" t="str">
        <f>IF(ISNA(T16),"",TEXT(T16,"+0.0;-0.0"))</f>
        <v>-30.5</v>
      </c>
      <c r="AT16" s="34">
        <f>U16/$X$11</f>
        <v>0</v>
      </c>
      <c r="AU16" s="34">
        <f>V16/$X$11</f>
        <v>8.3627290716682436E-3</v>
      </c>
    </row>
    <row r="17" spans="1:47" x14ac:dyDescent="0.35">
      <c r="A17" s="21" t="s">
        <v>111</v>
      </c>
      <c r="B17" t="s">
        <v>20</v>
      </c>
      <c r="C17" s="17" t="s">
        <v>164</v>
      </c>
      <c r="D17" s="46">
        <v>1318</v>
      </c>
      <c r="E17" s="48">
        <v>438</v>
      </c>
      <c r="F17" s="49">
        <f>D17-E17</f>
        <v>880</v>
      </c>
      <c r="G17" s="33">
        <f>IF(F17=0,NA(),E17/F17*100)</f>
        <v>49.772727272727273</v>
      </c>
      <c r="H17" s="49" t="e">
        <f>NA()</f>
        <v>#N/A</v>
      </c>
      <c r="I17" s="49">
        <f>F17</f>
        <v>880</v>
      </c>
      <c r="J17" s="49">
        <f>IF($B17="AC",D17,NA())</f>
        <v>1318</v>
      </c>
      <c r="K17" s="49" t="e">
        <f>IF($B17="FC",D17,NA())</f>
        <v>#N/A</v>
      </c>
      <c r="L17" s="49">
        <f>M17+E17</f>
        <v>10529</v>
      </c>
      <c r="M17" s="49">
        <f>L16</f>
        <v>10091</v>
      </c>
      <c r="N17" s="49">
        <f>MIN(M17,L17)</f>
        <v>10091</v>
      </c>
      <c r="O17" s="49">
        <f>IF(AND($B17="AC",E17&gt;0),E17,0)</f>
        <v>438</v>
      </c>
      <c r="P17" s="49">
        <f>IF(AND($B17="AC",E17&lt;0),-E17,0)</f>
        <v>0</v>
      </c>
      <c r="Q17" s="49">
        <f>IF(AND($B17="FC",E17&gt;0),E17,0)</f>
        <v>0</v>
      </c>
      <c r="R17" s="49">
        <f>IF(AND($B17="FC",E17&lt;0),-E17,0)</f>
        <v>0</v>
      </c>
      <c r="S17" s="33">
        <f>IF(G17&gt;0,G17,NA())</f>
        <v>49.772727272727273</v>
      </c>
      <c r="T17" s="33" t="e">
        <f>IF(G17&lt;0,G17,NA())</f>
        <v>#N/A</v>
      </c>
      <c r="U17" s="32">
        <f>IF(G17&gt;0,G17,0)</f>
        <v>49.772727272727273</v>
      </c>
      <c r="V17" s="32">
        <f>IF(G17&lt;0,-G17,0)</f>
        <v>0</v>
      </c>
      <c r="W17" s="34"/>
      <c r="X17" s="34"/>
      <c r="Y17" s="34" t="e">
        <f>H17/$W$11</f>
        <v>#N/A</v>
      </c>
      <c r="Z17" s="17" t="str">
        <f>IF(ISNA(H17),"",TEXT(H17,"#,##0"))</f>
        <v/>
      </c>
      <c r="AA17" s="34">
        <f>I17/$W$11</f>
        <v>7.7355836849507739E-2</v>
      </c>
      <c r="AB17" s="17" t="str">
        <f>IF(ISNA(I17),"",TEXT(I17,"#,##0"))</f>
        <v>880</v>
      </c>
      <c r="AC17" s="34">
        <f>J17/$W$11</f>
        <v>0.11585794655414909</v>
      </c>
      <c r="AD17" s="17" t="str">
        <f>IF(ISNA(J17),"",TEXT(J17,"#,##0"))</f>
        <v>1,318</v>
      </c>
      <c r="AE17" s="34" t="e">
        <f>K17/$W$11</f>
        <v>#N/A</v>
      </c>
      <c r="AF17" s="17" t="str">
        <f>IF(ISNA(K17),"",TEXT(K17,"#,##0"))</f>
        <v/>
      </c>
      <c r="AG17" s="34">
        <f>N17/$W$11</f>
        <v>0.88704289732770747</v>
      </c>
      <c r="AH17" s="34">
        <f>O17/$W$11</f>
        <v>3.8502109704641352E-2</v>
      </c>
      <c r="AI17" s="17" t="str">
        <f>IF(ISNA(O17),"",TEXT(O17,"+#,##0"))</f>
        <v>+438</v>
      </c>
      <c r="AJ17" s="34">
        <f>P17/$W$11</f>
        <v>0</v>
      </c>
      <c r="AK17" s="17" t="str">
        <f>IF(ISNA(P17),"",TEXT(P17,"""-""#,##0"))</f>
        <v>-0</v>
      </c>
      <c r="AL17" s="34">
        <f>Q17/$W$11</f>
        <v>0</v>
      </c>
      <c r="AM17" s="17" t="str">
        <f>IF(ISNA(Q17),"",TEXT(Q17,"+#,##0"))</f>
        <v>+0</v>
      </c>
      <c r="AN17" s="34">
        <f>R17/$W$11</f>
        <v>0</v>
      </c>
      <c r="AO17" s="17" t="str">
        <f>IF(ISNA(R17),"",TEXT(R17,"""-""#,##0"))</f>
        <v>-0</v>
      </c>
      <c r="AP17" s="34">
        <f>S17/$X$11</f>
        <v>1.3643285648361789E-2</v>
      </c>
      <c r="AQ17" s="17" t="str">
        <f>IF(ISNA(S17),"",TEXT(S17,"+0.0;-0.0"))</f>
        <v>+49.8</v>
      </c>
      <c r="AR17" s="34" t="e">
        <f>T17/$X$11</f>
        <v>#N/A</v>
      </c>
      <c r="AS17" s="17" t="str">
        <f>IF(ISNA(T17),"",TEXT(T17,"+0.0;-0.0"))</f>
        <v/>
      </c>
      <c r="AT17" s="34">
        <f>U17/$X$11</f>
        <v>1.3643285648361789E-2</v>
      </c>
      <c r="AU17" s="34">
        <f>V17/$X$11</f>
        <v>0</v>
      </c>
    </row>
    <row r="18" spans="1:47" x14ac:dyDescent="0.35">
      <c r="A18" s="21" t="s">
        <v>112</v>
      </c>
      <c r="B18" t="s">
        <v>20</v>
      </c>
      <c r="C18" s="17" t="s">
        <v>164</v>
      </c>
      <c r="D18" s="46">
        <v>710</v>
      </c>
      <c r="E18" s="48">
        <v>-222</v>
      </c>
      <c r="F18" s="49">
        <f>D18-E18</f>
        <v>932</v>
      </c>
      <c r="G18" s="33">
        <f>IF(F18=0,NA(),E18/F18*100)</f>
        <v>-23.819742489270386</v>
      </c>
      <c r="H18" s="49" t="e">
        <f>NA()</f>
        <v>#N/A</v>
      </c>
      <c r="I18" s="49">
        <f>F18</f>
        <v>932</v>
      </c>
      <c r="J18" s="49">
        <f>IF($B18="AC",D18,NA())</f>
        <v>710</v>
      </c>
      <c r="K18" s="49" t="e">
        <f>IF($B18="FC",D18,NA())</f>
        <v>#N/A</v>
      </c>
      <c r="L18" s="49">
        <f>M18+E18</f>
        <v>10307</v>
      </c>
      <c r="M18" s="49">
        <f>L17</f>
        <v>10529</v>
      </c>
      <c r="N18" s="49">
        <f>MIN(M18,L18)</f>
        <v>10307</v>
      </c>
      <c r="O18" s="49">
        <f>IF(AND($B18="AC",E18&gt;0),E18,0)</f>
        <v>0</v>
      </c>
      <c r="P18" s="49">
        <f>IF(AND($B18="AC",E18&lt;0),-E18,0)</f>
        <v>222</v>
      </c>
      <c r="Q18" s="49">
        <f>IF(AND($B18="FC",E18&gt;0),E18,0)</f>
        <v>0</v>
      </c>
      <c r="R18" s="49">
        <f>IF(AND($B18="FC",E18&lt;0),-E18,0)</f>
        <v>0</v>
      </c>
      <c r="S18" s="33" t="e">
        <f>IF(G18&gt;0,G18,NA())</f>
        <v>#N/A</v>
      </c>
      <c r="T18" s="33">
        <f>IF(G18&lt;0,G18,NA())</f>
        <v>-23.819742489270386</v>
      </c>
      <c r="U18" s="32">
        <f>IF(G18&gt;0,G18,0)</f>
        <v>0</v>
      </c>
      <c r="V18" s="32">
        <f>IF(G18&lt;0,-G18,0)</f>
        <v>23.819742489270386</v>
      </c>
      <c r="W18" s="34"/>
      <c r="X18" s="34"/>
      <c r="Y18" s="34" t="e">
        <f>H18/$W$11</f>
        <v>#N/A</v>
      </c>
      <c r="Z18" s="17" t="str">
        <f>IF(ISNA(H18),"",TEXT(H18,"#,##0"))</f>
        <v/>
      </c>
      <c r="AA18" s="34">
        <f>I18/$W$11</f>
        <v>8.1926863572433187E-2</v>
      </c>
      <c r="AB18" s="17" t="str">
        <f>IF(ISNA(I18),"",TEXT(I18,"#,##0"))</f>
        <v>932</v>
      </c>
      <c r="AC18" s="34">
        <f>J18/$W$11</f>
        <v>6.2412095639943745E-2</v>
      </c>
      <c r="AD18" s="17" t="str">
        <f>IF(ISNA(J18),"",TEXT(J18,"#,##0"))</f>
        <v>710</v>
      </c>
      <c r="AE18" s="34" t="e">
        <f>K18/$W$11</f>
        <v>#N/A</v>
      </c>
      <c r="AF18" s="17" t="str">
        <f>IF(ISNA(K18),"",TEXT(K18,"#,##0"))</f>
        <v/>
      </c>
      <c r="AG18" s="34">
        <f>N18/$W$11</f>
        <v>0.90603023909985936</v>
      </c>
      <c r="AH18" s="34">
        <f>O18/$W$11</f>
        <v>0</v>
      </c>
      <c r="AI18" s="17" t="str">
        <f>IF(ISNA(O18),"",TEXT(O18,"+#,##0"))</f>
        <v>+0</v>
      </c>
      <c r="AJ18" s="34">
        <f>P18/$W$11</f>
        <v>1.9514767932489453E-2</v>
      </c>
      <c r="AK18" s="17" t="str">
        <f>IF(ISNA(P18),"",TEXT(P18,"""-""#,##0"))</f>
        <v>-222</v>
      </c>
      <c r="AL18" s="34">
        <f>Q18/$W$11</f>
        <v>0</v>
      </c>
      <c r="AM18" s="17" t="str">
        <f>IF(ISNA(Q18),"",TEXT(Q18,"+#,##0"))</f>
        <v>+0</v>
      </c>
      <c r="AN18" s="34">
        <f>R18/$W$11</f>
        <v>0</v>
      </c>
      <c r="AO18" s="17" t="str">
        <f>IF(ISNA(R18),"",TEXT(R18,"""-""#,##0"))</f>
        <v>-0</v>
      </c>
      <c r="AP18" s="34" t="e">
        <f>S18/$X$11</f>
        <v>#N/A</v>
      </c>
      <c r="AQ18" s="17" t="str">
        <f>IF(ISNA(S18),"",TEXT(S18,"+0.0;-0.0"))</f>
        <v/>
      </c>
      <c r="AR18" s="34">
        <f>T18/$X$11</f>
        <v>-6.5292695148253845E-3</v>
      </c>
      <c r="AS18" s="17" t="str">
        <f>IF(ISNA(T18),"",TEXT(T18,"+0.0;-0.0"))</f>
        <v>-23.8</v>
      </c>
      <c r="AT18" s="34">
        <f>U18/$X$11</f>
        <v>0</v>
      </c>
      <c r="AU18" s="34">
        <f>V18/$X$11</f>
        <v>6.5292695148253845E-3</v>
      </c>
    </row>
    <row r="19" spans="1:47" x14ac:dyDescent="0.35">
      <c r="A19" s="21" t="s">
        <v>113</v>
      </c>
      <c r="B19" t="s">
        <v>20</v>
      </c>
      <c r="C19" s="17" t="s">
        <v>164</v>
      </c>
      <c r="D19" s="46">
        <v>971</v>
      </c>
      <c r="E19" s="48">
        <v>-56</v>
      </c>
      <c r="F19" s="49">
        <f>D19-E19</f>
        <v>1027</v>
      </c>
      <c r="G19" s="33">
        <f>IF(F19=0,NA(),E19/F19*100)</f>
        <v>-5.4527750730282376</v>
      </c>
      <c r="H19" s="49" t="e">
        <f>NA()</f>
        <v>#N/A</v>
      </c>
      <c r="I19" s="49">
        <f>F19</f>
        <v>1027</v>
      </c>
      <c r="J19" s="49">
        <f>IF($B19="AC",D19,NA())</f>
        <v>971</v>
      </c>
      <c r="K19" s="49" t="e">
        <f>IF($B19="FC",D19,NA())</f>
        <v>#N/A</v>
      </c>
      <c r="L19" s="49">
        <f>M19+E19</f>
        <v>10251</v>
      </c>
      <c r="M19" s="49">
        <f>L18</f>
        <v>10307</v>
      </c>
      <c r="N19" s="49">
        <f>MIN(M19,L19)</f>
        <v>10251</v>
      </c>
      <c r="O19" s="49">
        <f>IF(AND($B19="AC",E19&gt;0),E19,0)</f>
        <v>0</v>
      </c>
      <c r="P19" s="49">
        <f>IF(AND($B19="AC",E19&lt;0),-E19,0)</f>
        <v>56</v>
      </c>
      <c r="Q19" s="49">
        <f>IF(AND($B19="FC",E19&gt;0),E19,0)</f>
        <v>0</v>
      </c>
      <c r="R19" s="49">
        <f>IF(AND($B19="FC",E19&lt;0),-E19,0)</f>
        <v>0</v>
      </c>
      <c r="S19" s="33" t="e">
        <f>IF(G19&gt;0,G19,NA())</f>
        <v>#N/A</v>
      </c>
      <c r="T19" s="33">
        <f>IF(G19&lt;0,G19,NA())</f>
        <v>-5.4527750730282376</v>
      </c>
      <c r="U19" s="32">
        <f>IF(G19&gt;0,G19,0)</f>
        <v>0</v>
      </c>
      <c r="V19" s="32">
        <f>IF(G19&lt;0,-G19,0)</f>
        <v>5.4527750730282376</v>
      </c>
      <c r="W19" s="34"/>
      <c r="X19" s="34"/>
      <c r="Y19" s="34" t="e">
        <f>H19/$W$11</f>
        <v>#N/A</v>
      </c>
      <c r="Z19" s="17" t="str">
        <f>IF(ISNA(H19),"",TEXT(H19,"#,##0"))</f>
        <v/>
      </c>
      <c r="AA19" s="34">
        <f>I19/$W$11</f>
        <v>9.0277777777777776E-2</v>
      </c>
      <c r="AB19" s="17" t="str">
        <f>IF(ISNA(I19),"",TEXT(I19,"#,##0"))</f>
        <v>1,027</v>
      </c>
      <c r="AC19" s="34">
        <f>J19/$W$11</f>
        <v>8.5355133614627279E-2</v>
      </c>
      <c r="AD19" s="17" t="str">
        <f>IF(ISNA(J19),"",TEXT(J19,"#,##0"))</f>
        <v>971</v>
      </c>
      <c r="AE19" s="34" t="e">
        <f>K19/$W$11</f>
        <v>#N/A</v>
      </c>
      <c r="AF19" s="17" t="str">
        <f>IF(ISNA(K19),"",TEXT(K19,"#,##0"))</f>
        <v/>
      </c>
      <c r="AG19" s="34">
        <f>N19/$W$11</f>
        <v>0.90110759493670889</v>
      </c>
      <c r="AH19" s="34">
        <f>O19/$W$11</f>
        <v>0</v>
      </c>
      <c r="AI19" s="17" t="str">
        <f>IF(ISNA(O19),"",TEXT(O19,"+#,##0"))</f>
        <v>+0</v>
      </c>
      <c r="AJ19" s="34">
        <f>P19/$W$11</f>
        <v>4.9226441631504926E-3</v>
      </c>
      <c r="AK19" s="17" t="str">
        <f>IF(ISNA(P19),"",TEXT(P19,"""-""#,##0"))</f>
        <v>-56</v>
      </c>
      <c r="AL19" s="34">
        <f>Q19/$W$11</f>
        <v>0</v>
      </c>
      <c r="AM19" s="17" t="str">
        <f>IF(ISNA(Q19),"",TEXT(Q19,"+#,##0"))</f>
        <v>+0</v>
      </c>
      <c r="AN19" s="34">
        <f>R19/$W$11</f>
        <v>0</v>
      </c>
      <c r="AO19" s="17" t="str">
        <f>IF(ISNA(R19),"",TEXT(R19,"""-""#,##0"))</f>
        <v>-0</v>
      </c>
      <c r="AP19" s="34" t="e">
        <f>S19/$X$11</f>
        <v>#N/A</v>
      </c>
      <c r="AQ19" s="17" t="str">
        <f>IF(ISNA(S19),"",TEXT(S19,"+0.0;-0.0"))</f>
        <v/>
      </c>
      <c r="AR19" s="34">
        <f>T19/$X$11</f>
        <v>-1.494669309357994E-3</v>
      </c>
      <c r="AS19" s="17" t="str">
        <f>IF(ISNA(T19),"",TEXT(T19,"+0.0;-0.0"))</f>
        <v>-5.5</v>
      </c>
      <c r="AT19" s="34">
        <f>U19/$X$11</f>
        <v>0</v>
      </c>
      <c r="AU19" s="34">
        <f>V19/$X$11</f>
        <v>1.494669309357994E-3</v>
      </c>
    </row>
    <row r="20" spans="1:47" x14ac:dyDescent="0.35">
      <c r="A20" s="21" t="s">
        <v>114</v>
      </c>
      <c r="B20" t="s">
        <v>29</v>
      </c>
      <c r="C20" s="17" t="s">
        <v>164</v>
      </c>
      <c r="D20" s="47">
        <v>987</v>
      </c>
      <c r="E20" s="48">
        <v>-202</v>
      </c>
      <c r="F20" s="49">
        <f>D20-E20</f>
        <v>1189</v>
      </c>
      <c r="G20" s="33">
        <f>IF(F20=0,NA(),E20/F20*100)</f>
        <v>-16.989066442388562</v>
      </c>
      <c r="H20" s="49" t="e">
        <f>NA()</f>
        <v>#N/A</v>
      </c>
      <c r="I20" s="49">
        <f>F20</f>
        <v>1189</v>
      </c>
      <c r="J20" s="49" t="e">
        <f>IF($B20="AC",D20,NA())</f>
        <v>#N/A</v>
      </c>
      <c r="K20" s="49">
        <f>IF($B20="FC",D20,NA())</f>
        <v>987</v>
      </c>
      <c r="L20" s="49">
        <f>M20+E20</f>
        <v>10049</v>
      </c>
      <c r="M20" s="49">
        <f>L19</f>
        <v>10251</v>
      </c>
      <c r="N20" s="49">
        <f>MIN(M20,L20)</f>
        <v>10049</v>
      </c>
      <c r="O20" s="49">
        <f>IF(AND($B20="AC",E20&gt;0),E20,0)</f>
        <v>0</v>
      </c>
      <c r="P20" s="49">
        <f>IF(AND($B20="AC",E20&lt;0),-E20,0)</f>
        <v>0</v>
      </c>
      <c r="Q20" s="49">
        <f>IF(AND($B20="FC",E20&gt;0),E20,0)</f>
        <v>0</v>
      </c>
      <c r="R20" s="49">
        <f>IF(AND($B20="FC",E20&lt;0),-E20,0)</f>
        <v>202</v>
      </c>
      <c r="S20" s="33" t="e">
        <f>IF(G20&gt;0,G20,NA())</f>
        <v>#N/A</v>
      </c>
      <c r="T20" s="33">
        <f>IF(G20&lt;0,G20,NA())</f>
        <v>-16.989066442388562</v>
      </c>
      <c r="U20" s="32">
        <f>IF(G20&gt;0,G20,0)</f>
        <v>0</v>
      </c>
      <c r="V20" s="32">
        <f>IF(G20&lt;0,-G20,0)</f>
        <v>16.989066442388562</v>
      </c>
      <c r="W20" s="34"/>
      <c r="X20" s="34"/>
      <c r="Y20" s="34" t="e">
        <f>H20/$W$11</f>
        <v>#N/A</v>
      </c>
      <c r="Z20" s="17" t="str">
        <f>IF(ISNA(H20),"",TEXT(H20,"#,##0"))</f>
        <v/>
      </c>
      <c r="AA20" s="34">
        <f>I20/$W$11</f>
        <v>0.10451828410689171</v>
      </c>
      <c r="AB20" s="17" t="str">
        <f>IF(ISNA(I20),"",TEXT(I20,"#,##0"))</f>
        <v>1,189</v>
      </c>
      <c r="AC20" s="34" t="e">
        <f>J20/$W$11</f>
        <v>#N/A</v>
      </c>
      <c r="AD20" s="17" t="str">
        <f>IF(ISNA(J20),"",TEXT(J20,"#,##0"))</f>
        <v/>
      </c>
      <c r="AE20" s="34">
        <f>K20/$W$11</f>
        <v>8.6761603375527421E-2</v>
      </c>
      <c r="AF20" s="17" t="str">
        <f>IF(ISNA(K20),"",TEXT(K20,"#,##0"))</f>
        <v>987</v>
      </c>
      <c r="AG20" s="34">
        <f>N20/$W$11</f>
        <v>0.88335091420534462</v>
      </c>
      <c r="AH20" s="34">
        <f>O20/$W$11</f>
        <v>0</v>
      </c>
      <c r="AI20" s="17" t="str">
        <f>IF(ISNA(O20),"",TEXT(O20,"+#,##0"))</f>
        <v>+0</v>
      </c>
      <c r="AJ20" s="34">
        <f>P20/$W$11</f>
        <v>0</v>
      </c>
      <c r="AK20" s="17" t="str">
        <f>IF(ISNA(P20),"",TEXT(P20,"""-""#,##0"))</f>
        <v>-0</v>
      </c>
      <c r="AL20" s="34">
        <f>Q20/$W$11</f>
        <v>0</v>
      </c>
      <c r="AM20" s="17" t="str">
        <f>IF(ISNA(Q20),"",TEXT(Q20,"+#,##0"))</f>
        <v>+0</v>
      </c>
      <c r="AN20" s="34">
        <f>R20/$W$11</f>
        <v>1.7756680731364275E-2</v>
      </c>
      <c r="AO20" s="17" t="str">
        <f>IF(ISNA(R20),"",TEXT(R20,"""-""#,##0"))</f>
        <v>-202</v>
      </c>
      <c r="AP20" s="34" t="e">
        <f>S20/$X$11</f>
        <v>#N/A</v>
      </c>
      <c r="AQ20" s="17" t="str">
        <f>IF(ISNA(S20),"",TEXT(S20,"+0.0;-0.0"))</f>
        <v/>
      </c>
      <c r="AR20" s="34">
        <f>T20/$X$11</f>
        <v>-4.6569014613653927E-3</v>
      </c>
      <c r="AS20" s="17" t="str">
        <f>IF(ISNA(T20),"",TEXT(T20,"+0.0;-0.0"))</f>
        <v>-17.0</v>
      </c>
      <c r="AT20" s="34">
        <f>U20/$X$11</f>
        <v>0</v>
      </c>
      <c r="AU20" s="34">
        <f>V20/$X$11</f>
        <v>4.6569014613653927E-3</v>
      </c>
    </row>
    <row r="21" spans="1:47" x14ac:dyDescent="0.35">
      <c r="A21" s="21" t="s">
        <v>115</v>
      </c>
      <c r="B21" t="s">
        <v>29</v>
      </c>
      <c r="C21" s="17" t="s">
        <v>164</v>
      </c>
      <c r="D21" s="47">
        <v>958</v>
      </c>
      <c r="E21" s="48">
        <v>985</v>
      </c>
      <c r="F21" s="49">
        <f>D21-E21</f>
        <v>-27</v>
      </c>
      <c r="G21" s="33">
        <f>IF(F21=0,NA(),E21/F21*100)</f>
        <v>-3648.1481481481483</v>
      </c>
      <c r="H21" s="49" t="e">
        <f>NA()</f>
        <v>#N/A</v>
      </c>
      <c r="I21" s="49">
        <f>F21</f>
        <v>-27</v>
      </c>
      <c r="J21" s="49" t="e">
        <f>IF($B21="AC",D21,NA())</f>
        <v>#N/A</v>
      </c>
      <c r="K21" s="49">
        <f>IF($B21="FC",D21,NA())</f>
        <v>958</v>
      </c>
      <c r="L21" s="49">
        <f>M21+E21</f>
        <v>11034</v>
      </c>
      <c r="M21" s="49">
        <f>L20</f>
        <v>10049</v>
      </c>
      <c r="N21" s="49">
        <f>MIN(M21,L21)</f>
        <v>10049</v>
      </c>
      <c r="O21" s="49">
        <f>IF(AND($B21="AC",E21&gt;0),E21,0)</f>
        <v>0</v>
      </c>
      <c r="P21" s="49">
        <f>IF(AND($B21="AC",E21&lt;0),-E21,0)</f>
        <v>0</v>
      </c>
      <c r="Q21" s="49">
        <f>IF(AND($B21="FC",E21&gt;0),E21,0)</f>
        <v>985</v>
      </c>
      <c r="R21" s="49">
        <f>IF(AND($B21="FC",E21&lt;0),-E21,0)</f>
        <v>0</v>
      </c>
      <c r="S21" s="33" t="e">
        <f>IF(G21&gt;0,G21,NA())</f>
        <v>#N/A</v>
      </c>
      <c r="T21" s="33">
        <f>IF(G21&lt;0,G21,NA())</f>
        <v>-3648.1481481481483</v>
      </c>
      <c r="U21" s="32">
        <f>IF(G21&gt;0,G21,0)</f>
        <v>0</v>
      </c>
      <c r="V21" s="32">
        <f>IF(G21&lt;0,-G21,0)</f>
        <v>3648.1481481481483</v>
      </c>
      <c r="W21" s="34"/>
      <c r="X21" s="34"/>
      <c r="Y21" s="34" t="e">
        <f>H21/$W$11</f>
        <v>#N/A</v>
      </c>
      <c r="Z21" s="17" t="str">
        <f>IF(ISNA(H21),"",TEXT(H21,"#,##0"))</f>
        <v/>
      </c>
      <c r="AA21" s="34">
        <f>I21/$W$11</f>
        <v>-2.3734177215189874E-3</v>
      </c>
      <c r="AB21" s="17" t="str">
        <f>IF(ISNA(I21),"",TEXT(I21,"#,##0"))</f>
        <v>-27</v>
      </c>
      <c r="AC21" s="34" t="e">
        <f>J21/$W$11</f>
        <v>#N/A</v>
      </c>
      <c r="AD21" s="17" t="str">
        <f>IF(ISNA(J21),"",TEXT(J21,"#,##0"))</f>
        <v/>
      </c>
      <c r="AE21" s="34">
        <f>K21/$W$11</f>
        <v>8.4212376933895924E-2</v>
      </c>
      <c r="AF21" s="17" t="str">
        <f>IF(ISNA(K21),"",TEXT(K21,"#,##0"))</f>
        <v>958</v>
      </c>
      <c r="AG21" s="34">
        <f>N21/$W$11</f>
        <v>0.88335091420534462</v>
      </c>
      <c r="AH21" s="34">
        <f>O21/$W$11</f>
        <v>0</v>
      </c>
      <c r="AI21" s="17" t="str">
        <f>IF(ISNA(O21),"",TEXT(O21,"+#,##0"))</f>
        <v>+0</v>
      </c>
      <c r="AJ21" s="34">
        <f>P21/$W$11</f>
        <v>0</v>
      </c>
      <c r="AK21" s="17" t="str">
        <f>IF(ISNA(P21),"",TEXT(P21,"""-""#,##0"))</f>
        <v>-0</v>
      </c>
      <c r="AL21" s="34">
        <f>Q21/$W$11</f>
        <v>8.658579465541491E-2</v>
      </c>
      <c r="AM21" s="17" t="str">
        <f>IF(ISNA(Q21),"",TEXT(Q21,"+#,##0"))</f>
        <v>+985</v>
      </c>
      <c r="AN21" s="34">
        <f>R21/$W$11</f>
        <v>0</v>
      </c>
      <c r="AO21" s="17" t="str">
        <f>IF(ISNA(R21),"",TEXT(R21,"""-""#,##0"))</f>
        <v>-0</v>
      </c>
      <c r="AP21" s="34" t="e">
        <f>S21/$X$11</f>
        <v>#N/A</v>
      </c>
      <c r="AQ21" s="17" t="str">
        <f>IF(ISNA(S21),"",TEXT(S21,"+0.0;-0.0"))</f>
        <v/>
      </c>
      <c r="AR21" s="34">
        <f>T21/$X$11</f>
        <v>-1</v>
      </c>
      <c r="AS21" s="17" t="str">
        <f>IF(ISNA(T21),"",TEXT(T21,"+0.0;-0.0"))</f>
        <v>-3648.1</v>
      </c>
      <c r="AT21" s="34">
        <f>U21/$X$11</f>
        <v>0</v>
      </c>
      <c r="AU21" s="34">
        <f>V21/$X$11</f>
        <v>1</v>
      </c>
    </row>
    <row r="22" spans="1:47" x14ac:dyDescent="0.35">
      <c r="A22" s="21" t="s">
        <v>116</v>
      </c>
      <c r="B22" t="s">
        <v>29</v>
      </c>
      <c r="C22" s="17" t="s">
        <v>164</v>
      </c>
      <c r="D22" s="47">
        <v>993</v>
      </c>
      <c r="E22" s="48">
        <v>264</v>
      </c>
      <c r="F22" s="49">
        <f>D22-E22</f>
        <v>729</v>
      </c>
      <c r="G22" s="33">
        <f>IF(F22=0,NA(),E22/F22*100)</f>
        <v>36.213991769547327</v>
      </c>
      <c r="H22" s="49" t="e">
        <f>NA()</f>
        <v>#N/A</v>
      </c>
      <c r="I22" s="49">
        <f>F22</f>
        <v>729</v>
      </c>
      <c r="J22" s="49" t="e">
        <f>IF($B22="AC",D22,NA())</f>
        <v>#N/A</v>
      </c>
      <c r="K22" s="49">
        <f>IF($B22="FC",D22,NA())</f>
        <v>993</v>
      </c>
      <c r="L22" s="49">
        <f>M22+E22</f>
        <v>11298</v>
      </c>
      <c r="M22" s="49">
        <f>L21</f>
        <v>11034</v>
      </c>
      <c r="N22" s="49">
        <f>MIN(M22,L22)</f>
        <v>11034</v>
      </c>
      <c r="O22" s="49">
        <f>IF(AND($B22="AC",E22&gt;0),E22,0)</f>
        <v>0</v>
      </c>
      <c r="P22" s="49">
        <f>IF(AND($B22="AC",E22&lt;0),-E22,0)</f>
        <v>0</v>
      </c>
      <c r="Q22" s="49">
        <f>IF(AND($B22="FC",E22&gt;0),E22,0)</f>
        <v>264</v>
      </c>
      <c r="R22" s="49">
        <f>IF(AND($B22="FC",E22&lt;0),-E22,0)</f>
        <v>0</v>
      </c>
      <c r="S22" s="33">
        <f>IF(G22&gt;0,G22,NA())</f>
        <v>36.213991769547327</v>
      </c>
      <c r="T22" s="33" t="e">
        <f>IF(G22&lt;0,G22,NA())</f>
        <v>#N/A</v>
      </c>
      <c r="U22" s="32">
        <f>IF(G22&gt;0,G22,0)</f>
        <v>36.213991769547327</v>
      </c>
      <c r="V22" s="32">
        <f>IF(G22&lt;0,-G22,0)</f>
        <v>0</v>
      </c>
      <c r="W22" s="34"/>
      <c r="X22" s="34"/>
      <c r="Y22" s="34" t="e">
        <f>H22/$W$11</f>
        <v>#N/A</v>
      </c>
      <c r="Z22" s="17" t="str">
        <f>IF(ISNA(H22),"",TEXT(H22,"#,##0"))</f>
        <v/>
      </c>
      <c r="AA22" s="34">
        <f>I22/$W$11</f>
        <v>6.4082278481012653E-2</v>
      </c>
      <c r="AB22" s="17" t="str">
        <f>IF(ISNA(I22),"",TEXT(I22,"#,##0"))</f>
        <v>729</v>
      </c>
      <c r="AC22" s="34" t="e">
        <f>J22/$W$11</f>
        <v>#N/A</v>
      </c>
      <c r="AD22" s="17" t="str">
        <f>IF(ISNA(J22),"",TEXT(J22,"#,##0"))</f>
        <v/>
      </c>
      <c r="AE22" s="34">
        <f>K22/$W$11</f>
        <v>8.7289029535864981E-2</v>
      </c>
      <c r="AF22" s="17" t="str">
        <f>IF(ISNA(K22),"",TEXT(K22,"#,##0"))</f>
        <v>993</v>
      </c>
      <c r="AG22" s="34">
        <f>N22/$W$11</f>
        <v>0.96993670886075944</v>
      </c>
      <c r="AH22" s="34">
        <f>O22/$W$11</f>
        <v>0</v>
      </c>
      <c r="AI22" s="17" t="str">
        <f>IF(ISNA(O22),"",TEXT(O22,"+#,##0"))</f>
        <v>+0</v>
      </c>
      <c r="AJ22" s="34">
        <f>P22/$W$11</f>
        <v>0</v>
      </c>
      <c r="AK22" s="17" t="str">
        <f>IF(ISNA(P22),"",TEXT(P22,"""-""#,##0"))</f>
        <v>-0</v>
      </c>
      <c r="AL22" s="34">
        <f>Q22/$W$11</f>
        <v>2.3206751054852322E-2</v>
      </c>
      <c r="AM22" s="17" t="str">
        <f>IF(ISNA(Q22),"",TEXT(Q22,"+#,##0"))</f>
        <v>+264</v>
      </c>
      <c r="AN22" s="34">
        <f>R22/$W$11</f>
        <v>0</v>
      </c>
      <c r="AO22" s="17" t="str">
        <f>IF(ISNA(R22),"",TEXT(R22,"""-""#,##0"))</f>
        <v>-0</v>
      </c>
      <c r="AP22" s="34">
        <f>S22/$X$11</f>
        <v>9.926677946982515E-3</v>
      </c>
      <c r="AQ22" s="17" t="str">
        <f>IF(ISNA(S22),"",TEXT(S22,"+0.0;-0.0"))</f>
        <v>+36.2</v>
      </c>
      <c r="AR22" s="34" t="e">
        <f>T22/$X$11</f>
        <v>#N/A</v>
      </c>
      <c r="AS22" s="17" t="str">
        <f>IF(ISNA(T22),"",TEXT(T22,"+0.0;-0.0"))</f>
        <v/>
      </c>
      <c r="AT22" s="34">
        <f>U22/$X$11</f>
        <v>9.926677946982515E-3</v>
      </c>
      <c r="AU22" s="34">
        <f>V22/$X$11</f>
        <v>0</v>
      </c>
    </row>
    <row r="23" spans="1:47" x14ac:dyDescent="0.35">
      <c r="A23" s="21" t="s">
        <v>117</v>
      </c>
      <c r="B23" t="s">
        <v>29</v>
      </c>
      <c r="C23" s="17" t="s">
        <v>164</v>
      </c>
      <c r="D23" s="47">
        <v>967</v>
      </c>
      <c r="E23" s="48">
        <v>78</v>
      </c>
      <c r="F23" s="49">
        <f>D23-E23</f>
        <v>889</v>
      </c>
      <c r="G23" s="33">
        <f>IF(F23=0,NA(),E23/F23*100)</f>
        <v>8.7739032620922384</v>
      </c>
      <c r="H23" s="49" t="e">
        <f>NA()</f>
        <v>#N/A</v>
      </c>
      <c r="I23" s="49">
        <f>F23</f>
        <v>889</v>
      </c>
      <c r="J23" s="49" t="e">
        <f>IF($B23="AC",D23,NA())</f>
        <v>#N/A</v>
      </c>
      <c r="K23" s="49">
        <f>IF($B23="FC",D23,NA())</f>
        <v>967</v>
      </c>
      <c r="L23" s="49">
        <f>M23+E23</f>
        <v>11376</v>
      </c>
      <c r="M23" s="49">
        <f>L22</f>
        <v>11298</v>
      </c>
      <c r="N23" s="49">
        <f>MIN(M23,L23)</f>
        <v>11298</v>
      </c>
      <c r="O23" s="49">
        <f>IF(AND($B23="AC",E23&gt;0),E23,0)</f>
        <v>0</v>
      </c>
      <c r="P23" s="49">
        <f>IF(AND($B23="AC",E23&lt;0),-E23,0)</f>
        <v>0</v>
      </c>
      <c r="Q23" s="49">
        <f>IF(AND($B23="FC",E23&gt;0),E23,0)</f>
        <v>78</v>
      </c>
      <c r="R23" s="49">
        <f>IF(AND($B23="FC",E23&lt;0),-E23,0)</f>
        <v>0</v>
      </c>
      <c r="S23" s="33">
        <f>IF(G23&gt;0,G23,NA())</f>
        <v>8.7739032620922384</v>
      </c>
      <c r="T23" s="33" t="e">
        <f>IF(G23&lt;0,G23,NA())</f>
        <v>#N/A</v>
      </c>
      <c r="U23" s="32">
        <f>IF(G23&gt;0,G23,0)</f>
        <v>8.7739032620922384</v>
      </c>
      <c r="V23" s="32">
        <f>IF(G23&lt;0,-G23,0)</f>
        <v>0</v>
      </c>
      <c r="W23" s="34"/>
      <c r="X23" s="34"/>
      <c r="Y23" s="34" t="e">
        <f>H23/$W$11</f>
        <v>#N/A</v>
      </c>
      <c r="Z23" s="17" t="str">
        <f>IF(ISNA(H23),"",TEXT(H23,"#,##0"))</f>
        <v/>
      </c>
      <c r="AA23" s="34">
        <f>I23/$W$11</f>
        <v>7.8146976090014059E-2</v>
      </c>
      <c r="AB23" s="17" t="str">
        <f>IF(ISNA(I23),"",TEXT(I23,"#,##0"))</f>
        <v>889</v>
      </c>
      <c r="AC23" s="34" t="e">
        <f>J23/$W$11</f>
        <v>#N/A</v>
      </c>
      <c r="AD23" s="17" t="str">
        <f>IF(ISNA(J23),"",TEXT(J23,"#,##0"))</f>
        <v/>
      </c>
      <c r="AE23" s="34">
        <f>K23/$W$11</f>
        <v>8.5003516174402244E-2</v>
      </c>
      <c r="AF23" s="17" t="str">
        <f>IF(ISNA(K23),"",TEXT(K23,"#,##0"))</f>
        <v>967</v>
      </c>
      <c r="AG23" s="34">
        <f>N23/$W$11</f>
        <v>0.99314345991561181</v>
      </c>
      <c r="AH23" s="34">
        <f>O23/$W$11</f>
        <v>0</v>
      </c>
      <c r="AI23" s="17" t="str">
        <f>IF(ISNA(O23),"",TEXT(O23,"+#,##0"))</f>
        <v>+0</v>
      </c>
      <c r="AJ23" s="34">
        <f>P23/$W$11</f>
        <v>0</v>
      </c>
      <c r="AK23" s="17" t="str">
        <f>IF(ISNA(P23),"",TEXT(P23,"""-""#,##0"))</f>
        <v>-0</v>
      </c>
      <c r="AL23" s="34">
        <f>Q23/$W$11</f>
        <v>6.8565400843881861E-3</v>
      </c>
      <c r="AM23" s="17" t="str">
        <f>IF(ISNA(Q23),"",TEXT(Q23,"+#,##0"))</f>
        <v>+78</v>
      </c>
      <c r="AN23" s="34">
        <f>R23/$W$11</f>
        <v>0</v>
      </c>
      <c r="AO23" s="17" t="str">
        <f>IF(ISNA(R23),"",TEXT(R23,"""-""#,##0"))</f>
        <v>-0</v>
      </c>
      <c r="AP23" s="34">
        <f>S23/$X$11</f>
        <v>2.4050293205735069E-3</v>
      </c>
      <c r="AQ23" s="17" t="str">
        <f>IF(ISNA(S23),"",TEXT(S23,"+0.0;-0.0"))</f>
        <v>+8.8</v>
      </c>
      <c r="AR23" s="34" t="e">
        <f>T23/$X$11</f>
        <v>#N/A</v>
      </c>
      <c r="AS23" s="17" t="str">
        <f>IF(ISNA(T23),"",TEXT(T23,"+0.0;-0.0"))</f>
        <v/>
      </c>
      <c r="AT23" s="34">
        <f>U23/$X$11</f>
        <v>2.4050293205735069E-3</v>
      </c>
      <c r="AU23" s="34">
        <f>V23/$X$11</f>
        <v>0</v>
      </c>
    </row>
    <row r="24" spans="1:47" x14ac:dyDescent="0.35">
      <c r="A24" s="21" t="s">
        <v>118</v>
      </c>
      <c r="B24" t="s">
        <v>29</v>
      </c>
      <c r="C24" s="17" t="s">
        <v>164</v>
      </c>
      <c r="D24" s="47">
        <v>999</v>
      </c>
      <c r="E24" s="48">
        <v>80</v>
      </c>
      <c r="F24" s="49">
        <f>D24-E24</f>
        <v>919</v>
      </c>
      <c r="G24" s="33">
        <f>IF(F24=0,NA(),E24/F24*100)</f>
        <v>8.7051142546245917</v>
      </c>
      <c r="H24" s="49" t="e">
        <f>NA()</f>
        <v>#N/A</v>
      </c>
      <c r="I24" s="49">
        <f>F24</f>
        <v>919</v>
      </c>
      <c r="J24" s="49" t="e">
        <f>IF($B24="AC",D24,NA())</f>
        <v>#N/A</v>
      </c>
      <c r="K24" s="49">
        <f>IF($B24="FC",D24,NA())</f>
        <v>999</v>
      </c>
      <c r="L24" s="49">
        <f>M24+E24</f>
        <v>11456</v>
      </c>
      <c r="M24" s="49">
        <f>L23</f>
        <v>11376</v>
      </c>
      <c r="N24" s="49">
        <f>MIN(M24,L24)</f>
        <v>11376</v>
      </c>
      <c r="O24" s="49">
        <f>IF(AND($B24="AC",E24&gt;0),E24,0)</f>
        <v>0</v>
      </c>
      <c r="P24" s="49">
        <f>IF(AND($B24="AC",E24&lt;0),-E24,0)</f>
        <v>0</v>
      </c>
      <c r="Q24" s="49">
        <f>IF(AND($B24="FC",E24&gt;0),E24,0)</f>
        <v>80</v>
      </c>
      <c r="R24" s="49">
        <f>IF(AND($B24="FC",E24&lt;0),-E24,0)</f>
        <v>0</v>
      </c>
      <c r="S24" s="33">
        <f>IF(G24&gt;0,G24,NA())</f>
        <v>8.7051142546245917</v>
      </c>
      <c r="T24" s="33" t="e">
        <f>IF(G24&lt;0,G24,NA())</f>
        <v>#N/A</v>
      </c>
      <c r="U24" s="32">
        <f>IF(G24&gt;0,G24,0)</f>
        <v>8.7051142546245917</v>
      </c>
      <c r="V24" s="32">
        <f>IF(G24&lt;0,-G24,0)</f>
        <v>0</v>
      </c>
      <c r="W24" s="34"/>
      <c r="X24" s="34"/>
      <c r="Y24" s="34" t="e">
        <f>H24/$W$11</f>
        <v>#N/A</v>
      </c>
      <c r="Z24" s="17" t="str">
        <f>IF(ISNA(H24),"",TEXT(H24,"#,##0"))</f>
        <v/>
      </c>
      <c r="AA24" s="34">
        <f>I24/$W$11</f>
        <v>8.0784106891701832E-2</v>
      </c>
      <c r="AB24" s="17" t="str">
        <f>IF(ISNA(I24),"",TEXT(I24,"#,##0"))</f>
        <v>919</v>
      </c>
      <c r="AC24" s="34" t="e">
        <f>J24/$W$11</f>
        <v>#N/A</v>
      </c>
      <c r="AD24" s="17" t="str">
        <f>IF(ISNA(J24),"",TEXT(J24,"#,##0"))</f>
        <v/>
      </c>
      <c r="AE24" s="34">
        <f>K24/$W$11</f>
        <v>8.7816455696202528E-2</v>
      </c>
      <c r="AF24" s="17" t="str">
        <f>IF(ISNA(K24),"",TEXT(K24,"#,##0"))</f>
        <v>999</v>
      </c>
      <c r="AG24" s="34">
        <f>N24/$W$11</f>
        <v>1</v>
      </c>
      <c r="AH24" s="34">
        <f>O24/$W$11</f>
        <v>0</v>
      </c>
      <c r="AI24" s="17" t="str">
        <f>IF(ISNA(O24),"",TEXT(O24,"+#,##0"))</f>
        <v>+0</v>
      </c>
      <c r="AJ24" s="34">
        <f>P24/$W$11</f>
        <v>0</v>
      </c>
      <c r="AK24" s="17" t="str">
        <f>IF(ISNA(P24),"",TEXT(P24,"""-""#,##0"))</f>
        <v>-0</v>
      </c>
      <c r="AL24" s="34">
        <f>Q24/$W$11</f>
        <v>7.0323488045007029E-3</v>
      </c>
      <c r="AM24" s="17" t="str">
        <f>IF(ISNA(Q24),"",TEXT(Q24,"+#,##0"))</f>
        <v>+80</v>
      </c>
      <c r="AN24" s="34">
        <f>R24/$W$11</f>
        <v>0</v>
      </c>
      <c r="AO24" s="17" t="str">
        <f>IF(ISNA(R24),"",TEXT(R24,"""-""#,##0"))</f>
        <v>-0</v>
      </c>
      <c r="AP24" s="34">
        <f>S24/$X$11</f>
        <v>2.3861734505062331E-3</v>
      </c>
      <c r="AQ24" s="17" t="str">
        <f>IF(ISNA(S24),"",TEXT(S24,"+0.0;-0.0"))</f>
        <v>+8.7</v>
      </c>
      <c r="AR24" s="34" t="e">
        <f>T24/$X$11</f>
        <v>#N/A</v>
      </c>
      <c r="AS24" s="17" t="str">
        <f>IF(ISNA(T24),"",TEXT(T24,"+0.0;-0.0"))</f>
        <v/>
      </c>
      <c r="AT24" s="34">
        <f>U24/$X$11</f>
        <v>2.3861734505062331E-3</v>
      </c>
      <c r="AU24" s="34">
        <f>V24/$X$11</f>
        <v>0</v>
      </c>
    </row>
    <row r="25" spans="1:47" x14ac:dyDescent="0.35">
      <c r="A25" s="21" t="s">
        <v>165</v>
      </c>
      <c r="B25" t="s">
        <v>20</v>
      </c>
      <c r="C25" s="17" t="s">
        <v>163</v>
      </c>
      <c r="D25" s="45">
        <f>SUM(D13:D24)</f>
        <v>11456</v>
      </c>
      <c r="E25" s="48">
        <f>D25-$D$12</f>
        <v>1200</v>
      </c>
      <c r="F25" s="49">
        <f>0</f>
        <v>0</v>
      </c>
      <c r="G25" s="33">
        <f>IF($D$12&lt;=0,NA(),E25/$D$12*100)</f>
        <v>11.700468018720748</v>
      </c>
      <c r="H25" s="49" t="e">
        <f>NA()</f>
        <v>#N/A</v>
      </c>
      <c r="I25" s="49" t="e">
        <f>NA()</f>
        <v>#N/A</v>
      </c>
      <c r="J25" s="49">
        <f>SUMIF($B$13:$B$24,"AC",$D$13:$D$24)</f>
        <v>6552</v>
      </c>
      <c r="K25" s="49">
        <f>SUMIF($B$13:$B$24,"FC",$D$13:$D$24)</f>
        <v>4904</v>
      </c>
      <c r="L25" s="49">
        <f>L24</f>
        <v>11456</v>
      </c>
      <c r="M25" s="49">
        <f>L25</f>
        <v>11456</v>
      </c>
      <c r="N25" s="49">
        <f>0</f>
        <v>0</v>
      </c>
      <c r="O25" s="49">
        <f>0</f>
        <v>0</v>
      </c>
      <c r="P25" s="49">
        <f>0</f>
        <v>0</v>
      </c>
      <c r="Q25" s="49">
        <f>0</f>
        <v>0</v>
      </c>
      <c r="R25" s="49">
        <f>0</f>
        <v>0</v>
      </c>
      <c r="S25" s="33">
        <f>IF(G25&gt;0,G25,NA())</f>
        <v>11.700468018720748</v>
      </c>
      <c r="T25" s="33" t="e">
        <f>IF(G25&lt;0,G25,NA())</f>
        <v>#N/A</v>
      </c>
      <c r="U25" s="32">
        <f>IF(G25&gt;0,G25,0)</f>
        <v>11.700468018720748</v>
      </c>
      <c r="V25" s="32">
        <f>IF(G25&lt;0,-G25,0)</f>
        <v>0</v>
      </c>
      <c r="W25" s="34"/>
      <c r="X25" s="34"/>
      <c r="Y25" s="34" t="e">
        <f>H25/$W$11</f>
        <v>#N/A</v>
      </c>
      <c r="Z25" s="17" t="str">
        <f>IF(ISNA(H25),"",TEXT(H25,"#,##0"))</f>
        <v/>
      </c>
      <c r="AA25" s="34" t="e">
        <f>I25/$W$11</f>
        <v>#N/A</v>
      </c>
      <c r="AB25" s="17" t="str">
        <f>IF(ISNA(I25),"",TEXT(I25,"#,##0"))</f>
        <v/>
      </c>
      <c r="AC25" s="34">
        <f>J25/$W$11</f>
        <v>0.57594936708860756</v>
      </c>
      <c r="AD25" s="17" t="str">
        <f>IF(ISNA(J25),"",TEXT(J25,"#,##0"))</f>
        <v>6,552</v>
      </c>
      <c r="AE25" s="34">
        <f>K25/$W$11</f>
        <v>0.4310829817158931</v>
      </c>
      <c r="AF25" s="17" t="str">
        <f>IF(ISNA(K25),"",TEXT(K25,"#,##0"))</f>
        <v>4,904</v>
      </c>
      <c r="AG25" s="34">
        <f>N25/$W$11</f>
        <v>0</v>
      </c>
      <c r="AH25" s="34">
        <f>O25/$W$11</f>
        <v>0</v>
      </c>
      <c r="AI25" s="17" t="str">
        <f>IF(ISNA(O25),"",TEXT(O25,"+#,##0"))</f>
        <v>+0</v>
      </c>
      <c r="AJ25" s="34">
        <f>P25/$W$11</f>
        <v>0</v>
      </c>
      <c r="AK25" s="17" t="str">
        <f>IF(ISNA(P25),"",TEXT(P25,"""-""#,##0"))</f>
        <v>-0</v>
      </c>
      <c r="AL25" s="34">
        <f>Q25/$W$11</f>
        <v>0</v>
      </c>
      <c r="AM25" s="17" t="str">
        <f>IF(ISNA(Q25),"",TEXT(Q25,"+#,##0"))</f>
        <v>+0</v>
      </c>
      <c r="AN25" s="34">
        <f>R25/$W$11</f>
        <v>0</v>
      </c>
      <c r="AO25" s="17" t="str">
        <f>IF(ISNA(R25),"",TEXT(R25,"""-""#,##0"))</f>
        <v>-0</v>
      </c>
      <c r="AP25" s="34">
        <f>S25/$X$11</f>
        <v>3.2072348883803066E-3</v>
      </c>
      <c r="AQ25" s="17" t="str">
        <f>IF(ISNA(S25),"",TEXT(S25,"+0.0;-0.0"))</f>
        <v>+11.7</v>
      </c>
      <c r="AR25" s="34" t="e">
        <f>T25/$X$11</f>
        <v>#N/A</v>
      </c>
      <c r="AS25" s="17" t="str">
        <f>IF(ISNA(T25),"",TEXT(T25,"+0.0;-0.0"))</f>
        <v/>
      </c>
      <c r="AT25" s="34">
        <f>U25/$X$11</f>
        <v>3.2072348883803066E-3</v>
      </c>
      <c r="AU25" s="34">
        <f>V25/$X$11</f>
        <v>0</v>
      </c>
    </row>
    <row r="26" spans="1:47" x14ac:dyDescent="0.35">
      <c r="A26" s="21" t="s">
        <v>166</v>
      </c>
      <c r="C26" s="17" t="s">
        <v>167</v>
      </c>
      <c r="D26" s="46"/>
      <c r="E26" s="48">
        <f>$D$25-$D$12</f>
        <v>1200</v>
      </c>
      <c r="F26" s="49">
        <f>0</f>
        <v>0</v>
      </c>
      <c r="G26" s="33" t="e">
        <f>NA()</f>
        <v>#N/A</v>
      </c>
      <c r="H26" s="49" t="e">
        <f>NA()</f>
        <v>#N/A</v>
      </c>
      <c r="I26" s="49" t="e">
        <f>NA()</f>
        <v>#N/A</v>
      </c>
      <c r="J26" s="49" t="e">
        <f>NA()</f>
        <v>#N/A</v>
      </c>
      <c r="K26" s="49" t="e">
        <f>NA()</f>
        <v>#N/A</v>
      </c>
      <c r="L26" s="49">
        <f>$D$25</f>
        <v>11456</v>
      </c>
      <c r="M26" s="49">
        <f>$D$12</f>
        <v>10256</v>
      </c>
      <c r="N26" s="49">
        <f>MIN($D$12,$D$25)</f>
        <v>10256</v>
      </c>
      <c r="O26" s="49">
        <f>IF(E26&gt;0,E26,0)</f>
        <v>1200</v>
      </c>
      <c r="P26" s="49">
        <f>IF(E26&lt;0,-E26,0)</f>
        <v>0</v>
      </c>
      <c r="Q26" s="49">
        <f>0</f>
        <v>0</v>
      </c>
      <c r="R26" s="49">
        <f>0</f>
        <v>0</v>
      </c>
      <c r="S26" s="33" t="e">
        <f>NA()</f>
        <v>#N/A</v>
      </c>
      <c r="T26" s="33" t="e">
        <f>NA()</f>
        <v>#N/A</v>
      </c>
      <c r="U26" s="32">
        <f>0</f>
        <v>0</v>
      </c>
      <c r="V26" s="32">
        <f>0</f>
        <v>0</v>
      </c>
      <c r="W26" s="34"/>
      <c r="X26" s="34"/>
      <c r="Y26" s="34" t="e">
        <f>H26/$W$11</f>
        <v>#N/A</v>
      </c>
      <c r="Z26" s="17" t="str">
        <f>IF(ISNA(H26),"",TEXT(H26,"#,##0"))</f>
        <v/>
      </c>
      <c r="AA26" s="34" t="e">
        <f>I26/$W$11</f>
        <v>#N/A</v>
      </c>
      <c r="AB26" s="17" t="str">
        <f>IF(ISNA(I26),"",TEXT(I26,"#,##0"))</f>
        <v/>
      </c>
      <c r="AC26" s="34" t="e">
        <f>J26/$W$11</f>
        <v>#N/A</v>
      </c>
      <c r="AD26" s="17" t="str">
        <f>IF(ISNA(J26),"",TEXT(J26,"#,##0"))</f>
        <v/>
      </c>
      <c r="AE26" s="34" t="e">
        <f>K26/$W$11</f>
        <v>#N/A</v>
      </c>
      <c r="AF26" s="17" t="str">
        <f>IF(ISNA(K26),"",TEXT(K26,"#,##0"))</f>
        <v/>
      </c>
      <c r="AG26" s="34">
        <f>N26/$W$11</f>
        <v>0.90154711673699017</v>
      </c>
      <c r="AH26" s="34">
        <f>O26/$W$11</f>
        <v>0.10548523206751055</v>
      </c>
      <c r="AI26" s="17" t="str">
        <f>IF(ISNA(O26),"",TEXT(O26,"+#,##0"))</f>
        <v>+1,200</v>
      </c>
      <c r="AJ26" s="34">
        <f>P26/$W$11</f>
        <v>0</v>
      </c>
      <c r="AK26" s="17" t="str">
        <f>IF(ISNA(P26),"",TEXT(P26,"""-""#,##0"))</f>
        <v>-0</v>
      </c>
      <c r="AL26" s="34">
        <f>Q26/$W$11</f>
        <v>0</v>
      </c>
      <c r="AM26" s="17" t="str">
        <f>IF(ISNA(Q26),"",TEXT(Q26,"+#,##0"))</f>
        <v>+0</v>
      </c>
      <c r="AN26" s="34">
        <f>R26/$W$11</f>
        <v>0</v>
      </c>
      <c r="AO26" s="17" t="str">
        <f>IF(ISNA(R26),"",TEXT(R26,"""-""#,##0"))</f>
        <v>-0</v>
      </c>
      <c r="AP26" s="34" t="e">
        <f>S26/$X$11</f>
        <v>#N/A</v>
      </c>
      <c r="AQ26" s="17" t="str">
        <f>IF(ISNA(S26),"",TEXT(S26,"+0.0;-0.0"))</f>
        <v/>
      </c>
      <c r="AR26" s="34" t="e">
        <f>T26/$X$11</f>
        <v>#N/A</v>
      </c>
      <c r="AS26" s="17" t="str">
        <f>IF(ISNA(T26),"",TEXT(T26,"+0.0;-0.0"))</f>
        <v/>
      </c>
      <c r="AT26" s="34">
        <f>U26/$X$11</f>
        <v>0</v>
      </c>
      <c r="AU26" s="34">
        <f>V26/$X$11</f>
        <v>0</v>
      </c>
    </row>
    <row r="27" spans="1:47" x14ac:dyDescent="0.35">
      <c r="A27" s="21" t="s">
        <v>168</v>
      </c>
      <c r="C27" s="17" t="s">
        <v>167</v>
      </c>
      <c r="D27" s="46"/>
      <c r="E27" s="48">
        <f>$D$25-$D$11</f>
        <v>1200</v>
      </c>
      <c r="F27" s="49">
        <f>0</f>
        <v>0</v>
      </c>
      <c r="G27" s="33" t="e">
        <f>NA()</f>
        <v>#N/A</v>
      </c>
      <c r="H27" s="49" t="e">
        <f>NA()</f>
        <v>#N/A</v>
      </c>
      <c r="I27" s="49" t="e">
        <f>NA()</f>
        <v>#N/A</v>
      </c>
      <c r="J27" s="49" t="e">
        <f>NA()</f>
        <v>#N/A</v>
      </c>
      <c r="K27" s="49" t="e">
        <f>NA()</f>
        <v>#N/A</v>
      </c>
      <c r="L27" s="49">
        <f>$D$25</f>
        <v>11456</v>
      </c>
      <c r="M27" s="49">
        <f>$D$11</f>
        <v>10256</v>
      </c>
      <c r="N27" s="49">
        <f>MIN($D$11,$D$25)</f>
        <v>10256</v>
      </c>
      <c r="O27" s="49">
        <f>IF(E27&gt;0,E27,0)</f>
        <v>1200</v>
      </c>
      <c r="P27" s="49">
        <f>IF(E27&lt;0,-E27,0)</f>
        <v>0</v>
      </c>
      <c r="Q27" s="49">
        <f>0</f>
        <v>0</v>
      </c>
      <c r="R27" s="49">
        <f>0</f>
        <v>0</v>
      </c>
      <c r="S27" s="33" t="e">
        <f>NA()</f>
        <v>#N/A</v>
      </c>
      <c r="T27" s="33" t="e">
        <f>NA()</f>
        <v>#N/A</v>
      </c>
      <c r="U27" s="32">
        <f>0</f>
        <v>0</v>
      </c>
      <c r="V27" s="32">
        <f>0</f>
        <v>0</v>
      </c>
      <c r="W27" s="34"/>
      <c r="X27" s="34"/>
      <c r="Y27" s="34" t="e">
        <f>H27/$W$11</f>
        <v>#N/A</v>
      </c>
      <c r="Z27" s="17" t="str">
        <f>IF(ISNA(H27),"",TEXT(H27,"#,##0"))</f>
        <v/>
      </c>
      <c r="AA27" s="34" t="e">
        <f>I27/$W$11</f>
        <v>#N/A</v>
      </c>
      <c r="AB27" s="17" t="str">
        <f>IF(ISNA(I27),"",TEXT(I27,"#,##0"))</f>
        <v/>
      </c>
      <c r="AC27" s="34" t="e">
        <f>J27/$W$11</f>
        <v>#N/A</v>
      </c>
      <c r="AD27" s="17" t="str">
        <f>IF(ISNA(J27),"",TEXT(J27,"#,##0"))</f>
        <v/>
      </c>
      <c r="AE27" s="34" t="e">
        <f>K27/$W$11</f>
        <v>#N/A</v>
      </c>
      <c r="AF27" s="17" t="str">
        <f>IF(ISNA(K27),"",TEXT(K27,"#,##0"))</f>
        <v/>
      </c>
      <c r="AG27" s="34">
        <f>N27/$W$11</f>
        <v>0.90154711673699017</v>
      </c>
      <c r="AH27" s="34">
        <f>O27/$W$11</f>
        <v>0.10548523206751055</v>
      </c>
      <c r="AI27" s="17" t="str">
        <f>IF(ISNA(O27),"",TEXT(O27,"+#,##0"))</f>
        <v>+1,200</v>
      </c>
      <c r="AJ27" s="34">
        <f>P27/$W$11</f>
        <v>0</v>
      </c>
      <c r="AK27" s="17" t="str">
        <f>IF(ISNA(P27),"",TEXT(P27,"""-""#,##0"))</f>
        <v>-0</v>
      </c>
      <c r="AL27" s="34">
        <f>Q27/$W$11</f>
        <v>0</v>
      </c>
      <c r="AM27" s="17" t="str">
        <f>IF(ISNA(Q27),"",TEXT(Q27,"+#,##0"))</f>
        <v>+0</v>
      </c>
      <c r="AN27" s="34">
        <f>R27/$W$11</f>
        <v>0</v>
      </c>
      <c r="AO27" s="17" t="str">
        <f>IF(ISNA(R27),"",TEXT(R27,"""-""#,##0"))</f>
        <v>-0</v>
      </c>
      <c r="AP27" s="34" t="e">
        <f>S27/$X$11</f>
        <v>#N/A</v>
      </c>
      <c r="AQ27" s="17" t="str">
        <f>IF(ISNA(S27),"",TEXT(S27,"+0.0;-0.0"))</f>
        <v/>
      </c>
      <c r="AR27" s="34" t="e">
        <f>T27/$X$11</f>
        <v>#N/A</v>
      </c>
      <c r="AS27" s="17" t="str">
        <f>IF(ISNA(T27),"",TEXT(T27,"+0.0;-0.0"))</f>
        <v/>
      </c>
      <c r="AT27" s="34">
        <f>U27/$X$11</f>
        <v>0</v>
      </c>
      <c r="AU27" s="34">
        <f>V27/$X$11</f>
        <v>0</v>
      </c>
    </row>
    <row r="29" spans="1:47" ht="24" customHeight="1" x14ac:dyDescent="0.35">
      <c r="A29" s="35" t="s">
        <v>169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</row>
    <row r="30" spans="1:47" ht="24" customHeight="1" x14ac:dyDescent="0.35">
      <c r="A30" s="35" t="s">
        <v>170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</row>
  </sheetData>
  <mergeCells count="9">
    <mergeCell ref="B7:AU7"/>
    <mergeCell ref="A29:AU29"/>
    <mergeCell ref="A30:AU30"/>
    <mergeCell ref="B1:AU1"/>
    <mergeCell ref="B2:AU2"/>
    <mergeCell ref="B3:AU3"/>
    <mergeCell ref="B4:AU4"/>
    <mergeCell ref="B5:AU5"/>
    <mergeCell ref="B6:AU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B5C9-C19A-470F-91B5-01837607693A}">
  <sheetPr>
    <pageSetUpPr fitToPage="1"/>
  </sheetPr>
  <dimension ref="A1:AM30"/>
  <sheetViews>
    <sheetView showGridLines="0" workbookViewId="0"/>
  </sheetViews>
  <sheetFormatPr defaultRowHeight="14.5" x14ac:dyDescent="0.35"/>
  <cols>
    <col min="1" max="1" width="16.6328125" customWidth="1"/>
    <col min="2" max="3" width="9.6328125" customWidth="1"/>
    <col min="4" max="17" width="8.6328125" customWidth="1"/>
    <col min="18" max="19" width="8.1796875" customWidth="1"/>
    <col min="20" max="39" width="8.6328125" hidden="1" customWidth="1"/>
  </cols>
  <sheetData>
    <row r="1" spans="1:39" ht="15" customHeight="1" x14ac:dyDescent="0.35">
      <c r="A1" s="2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</row>
    <row r="2" spans="1:39" ht="15" customHeight="1" x14ac:dyDescent="0.35">
      <c r="A2" s="27" t="s">
        <v>51</v>
      </c>
      <c r="B2" s="19" t="s">
        <v>52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</row>
    <row r="3" spans="1:39" ht="15" customHeight="1" x14ac:dyDescent="0.35">
      <c r="A3" s="27" t="s">
        <v>53</v>
      </c>
      <c r="B3" s="19" t="s">
        <v>54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</row>
    <row r="4" spans="1:39" ht="15" customHeight="1" x14ac:dyDescent="0.35">
      <c r="A4" s="27" t="s">
        <v>55</v>
      </c>
      <c r="B4" s="19" t="s">
        <v>75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</row>
    <row r="5" spans="1:39" ht="15" customHeight="1" x14ac:dyDescent="0.35">
      <c r="A5" s="27" t="s">
        <v>57</v>
      </c>
      <c r="B5" s="19" t="s">
        <v>27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</row>
    <row r="6" spans="1:39" ht="29.5" customHeight="1" x14ac:dyDescent="0.35">
      <c r="A6" s="27" t="s">
        <v>58</v>
      </c>
      <c r="B6" s="29" t="s">
        <v>171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</row>
    <row r="7" spans="1:39" ht="15" customHeight="1" x14ac:dyDescent="0.35">
      <c r="A7" s="27" t="s">
        <v>60</v>
      </c>
      <c r="B7" s="28" t="str">
        <f>B2&amp;" in "&amp;B3</f>
        <v>Net premiums written in $m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</row>
    <row r="8" spans="1:39" ht="15" customHeight="1" x14ac:dyDescent="0.35"/>
    <row r="9" spans="1:39" ht="15" customHeight="1" x14ac:dyDescent="0.35"/>
    <row r="10" spans="1:39" ht="28" customHeight="1" x14ac:dyDescent="0.35">
      <c r="A10" s="7" t="s">
        <v>172</v>
      </c>
      <c r="B10" s="7" t="s">
        <v>133</v>
      </c>
      <c r="C10" s="7" t="s">
        <v>16</v>
      </c>
      <c r="D10" s="7" t="s">
        <v>20</v>
      </c>
      <c r="E10" s="7" t="s">
        <v>83</v>
      </c>
      <c r="F10" s="7" t="s">
        <v>27</v>
      </c>
      <c r="G10" s="7" t="s">
        <v>82</v>
      </c>
      <c r="H10" s="7" t="s">
        <v>136</v>
      </c>
      <c r="I10" s="7" t="s">
        <v>173</v>
      </c>
      <c r="J10" s="7" t="s">
        <v>174</v>
      </c>
      <c r="K10" s="7" t="s">
        <v>135</v>
      </c>
      <c r="L10" s="7" t="s">
        <v>175</v>
      </c>
      <c r="M10" s="7" t="s">
        <v>138</v>
      </c>
      <c r="N10" s="7" t="s">
        <v>139</v>
      </c>
      <c r="O10" s="7" t="s">
        <v>140</v>
      </c>
      <c r="P10" s="7" t="s">
        <v>176</v>
      </c>
      <c r="Q10" s="7" t="s">
        <v>177</v>
      </c>
      <c r="R10" s="7" t="s">
        <v>88</v>
      </c>
      <c r="S10" s="7" t="s">
        <v>89</v>
      </c>
      <c r="T10" s="7" t="s">
        <v>92</v>
      </c>
      <c r="U10" s="7" t="s">
        <v>93</v>
      </c>
      <c r="V10" s="7" t="s">
        <v>178</v>
      </c>
      <c r="W10" s="7" t="s">
        <v>179</v>
      </c>
      <c r="X10" s="7" t="s">
        <v>180</v>
      </c>
      <c r="Y10" s="7" t="s">
        <v>147</v>
      </c>
      <c r="Z10" s="7" t="s">
        <v>148</v>
      </c>
      <c r="AA10" s="7" t="s">
        <v>145</v>
      </c>
      <c r="AB10" s="7" t="s">
        <v>146</v>
      </c>
      <c r="AC10" s="7" t="s">
        <v>149</v>
      </c>
      <c r="AD10" s="7" t="s">
        <v>150</v>
      </c>
      <c r="AE10" s="7" t="s">
        <v>153</v>
      </c>
      <c r="AF10" s="7" t="s">
        <v>181</v>
      </c>
      <c r="AG10" s="7" t="s">
        <v>182</v>
      </c>
      <c r="AH10" s="7" t="s">
        <v>183</v>
      </c>
      <c r="AI10" s="7" t="s">
        <v>184</v>
      </c>
      <c r="AJ10" s="7" t="s">
        <v>129</v>
      </c>
      <c r="AK10" s="7" t="s">
        <v>130</v>
      </c>
      <c r="AL10" s="7" t="s">
        <v>101</v>
      </c>
      <c r="AM10" s="7" t="s">
        <v>103</v>
      </c>
    </row>
    <row r="11" spans="1:39" x14ac:dyDescent="0.35">
      <c r="A11" s="21" t="s">
        <v>27</v>
      </c>
      <c r="B11" s="17" t="s">
        <v>163</v>
      </c>
      <c r="C11" t="s">
        <v>27</v>
      </c>
      <c r="D11" s="50">
        <f>SUM(F12:F22)</f>
        <v>74424</v>
      </c>
      <c r="E11" s="51"/>
      <c r="F11" s="49">
        <f>0</f>
        <v>0</v>
      </c>
      <c r="G11" s="52"/>
      <c r="H11" s="49">
        <f>0</f>
        <v>0</v>
      </c>
      <c r="I11" s="49">
        <f>0</f>
        <v>0</v>
      </c>
      <c r="J11" s="49">
        <f>0</f>
        <v>0</v>
      </c>
      <c r="K11" s="49">
        <f>D11</f>
        <v>74424</v>
      </c>
      <c r="L11" s="49">
        <f>0</f>
        <v>0</v>
      </c>
      <c r="M11" s="49">
        <f>D11</f>
        <v>74424</v>
      </c>
      <c r="N11" s="49">
        <f>M11</f>
        <v>74424</v>
      </c>
      <c r="O11" s="49">
        <f>0</f>
        <v>0</v>
      </c>
      <c r="P11" s="49">
        <f>0</f>
        <v>0</v>
      </c>
      <c r="Q11" s="49">
        <f>0</f>
        <v>0</v>
      </c>
      <c r="R11" s="33" t="e">
        <f>NA()</f>
        <v>#N/A</v>
      </c>
      <c r="S11" s="33" t="e">
        <f>NA()</f>
        <v>#N/A</v>
      </c>
      <c r="T11" s="34">
        <f>MAX(_xlfn.AGGREGATE(4,6,H11:H30,I11:I30,J11:J30,K11:K30,L11:L30,O11:O30,P11:P30,Q11:Q30),-_xlfn.AGGREGATE(5,6,H11:H30,I11:I30,J11:J30,K11:K30,L11:L30,O11:O30,P11:P30,Q11:Q30),0.000000001)</f>
        <v>83174</v>
      </c>
      <c r="U11" s="34">
        <f>MAX(_xlfn.AGGREGATE(4,6,E11:E30,R11:R30,S11:S30),-_xlfn.AGGREGATE(5,6,E11:E30,R11:R30,S11:S30),0.000000001)</f>
        <v>28.286491387126024</v>
      </c>
      <c r="V11" s="34">
        <f>H11/$T$11</f>
        <v>0</v>
      </c>
      <c r="W11" s="17" t="str">
        <f>IF(ISNA(H11),"",TEXT(H11,"#,##0"))</f>
        <v>0</v>
      </c>
      <c r="X11" s="34">
        <f>I11/$T$11</f>
        <v>0</v>
      </c>
      <c r="Y11" s="34">
        <f>J11/$T$11</f>
        <v>0</v>
      </c>
      <c r="Z11" s="17" t="str">
        <f>IF(ISNA(J11),"",TEXT(J11,"#,##0"))</f>
        <v>0</v>
      </c>
      <c r="AA11" s="34">
        <f>K11/$T$11</f>
        <v>0.89479885541154691</v>
      </c>
      <c r="AB11" s="17" t="str">
        <f>IF(ISNA(K11),"",TEXT(K11,"#,##0"))</f>
        <v>74,424</v>
      </c>
      <c r="AC11" s="34">
        <f>L11/$T$11</f>
        <v>0</v>
      </c>
      <c r="AD11" s="17" t="str">
        <f>IF(ISNA(L11),"",TEXT(L11,"#,##0"))</f>
        <v>0</v>
      </c>
      <c r="AE11" s="34">
        <f>O11/$T$11</f>
        <v>0</v>
      </c>
      <c r="AF11" s="34">
        <f>P11/$T$11</f>
        <v>0</v>
      </c>
      <c r="AG11" s="17" t="str">
        <f>IF(ISNA(P11),"",TEXT(P11,"+#,##0"))</f>
        <v>+0</v>
      </c>
      <c r="AH11" s="34">
        <f>Q11/$T$11</f>
        <v>0</v>
      </c>
      <c r="AI11" s="17" t="str">
        <f>IF(ISNA(Q11),"",TEXT(Q11,"""-""#,##0"))</f>
        <v>-0</v>
      </c>
      <c r="AJ11" s="34">
        <f>E11/$U$11</f>
        <v>0</v>
      </c>
      <c r="AK11" s="17" t="str">
        <f>IF(ISNA(E11),"",TEXT(E11,"+0;-0"))</f>
        <v>+0</v>
      </c>
      <c r="AL11" s="34" t="e">
        <f>R11/$U$11</f>
        <v>#N/A</v>
      </c>
      <c r="AM11" s="34" t="e">
        <f>S11/$U$11</f>
        <v>#N/A</v>
      </c>
    </row>
    <row r="12" spans="1:39" x14ac:dyDescent="0.35">
      <c r="A12" s="21" t="s">
        <v>185</v>
      </c>
      <c r="B12" s="17" t="s">
        <v>164</v>
      </c>
      <c r="C12" t="s">
        <v>20</v>
      </c>
      <c r="D12" s="46">
        <v>10315</v>
      </c>
      <c r="E12" s="51">
        <v>6.9909760398298939</v>
      </c>
      <c r="F12" s="49">
        <f>IF(E12=-100,NA(),D12/(1+E12/100))</f>
        <v>9641</v>
      </c>
      <c r="G12" s="52">
        <f>D12-F12</f>
        <v>674</v>
      </c>
      <c r="H12" s="49">
        <f>D12</f>
        <v>10315</v>
      </c>
      <c r="I12" s="49">
        <f>MAX(F12-D12,0)</f>
        <v>0</v>
      </c>
      <c r="J12" s="49">
        <f>0</f>
        <v>0</v>
      </c>
      <c r="K12" s="49">
        <f>0</f>
        <v>0</v>
      </c>
      <c r="L12" s="49">
        <f>0</f>
        <v>0</v>
      </c>
      <c r="M12" s="49">
        <f>N12+G12</f>
        <v>75098</v>
      </c>
      <c r="N12" s="49">
        <f>M11</f>
        <v>74424</v>
      </c>
      <c r="O12" s="49">
        <f>MIN(N12,M12)</f>
        <v>74424</v>
      </c>
      <c r="P12" s="49">
        <f>IF(G12&gt;0,G12,0)</f>
        <v>674</v>
      </c>
      <c r="Q12" s="49">
        <f>IF(G12&lt;0,-G12,0)</f>
        <v>0</v>
      </c>
      <c r="R12" s="33">
        <f>IF(E12&gt;0,E12,NA())</f>
        <v>6.9909760398298939</v>
      </c>
      <c r="S12" s="33" t="e">
        <f>IF(E12&lt;0,E12,NA())</f>
        <v>#N/A</v>
      </c>
      <c r="T12" s="34"/>
      <c r="U12" s="34"/>
      <c r="V12" s="34">
        <f>H12/$T$11</f>
        <v>0.12401712073484503</v>
      </c>
      <c r="W12" s="17" t="str">
        <f>IF(ISNA(H12),"",TEXT(H12,"#,##0"))</f>
        <v>10,315</v>
      </c>
      <c r="X12" s="34">
        <f>I12/$T$11</f>
        <v>0</v>
      </c>
      <c r="Y12" s="34">
        <f>J12/$T$11</f>
        <v>0</v>
      </c>
      <c r="Z12" s="17" t="str">
        <f>IF(ISNA(J12),"",TEXT(J12,"#,##0"))</f>
        <v>0</v>
      </c>
      <c r="AA12" s="34">
        <f>K12/$T$11</f>
        <v>0</v>
      </c>
      <c r="AB12" s="17" t="str">
        <f>IF(ISNA(K12),"",TEXT(K12,"#,##0"))</f>
        <v>0</v>
      </c>
      <c r="AC12" s="34">
        <f>L12/$T$11</f>
        <v>0</v>
      </c>
      <c r="AD12" s="17" t="str">
        <f>IF(ISNA(L12),"",TEXT(L12,"#,##0"))</f>
        <v>0</v>
      </c>
      <c r="AE12" s="34">
        <f>O12/$T$11</f>
        <v>0.89479885541154691</v>
      </c>
      <c r="AF12" s="34">
        <f>P12/$T$11</f>
        <v>8.103493880299132E-3</v>
      </c>
      <c r="AG12" s="17" t="str">
        <f>IF(ISNA(P12),"",TEXT(P12,"+#,##0"))</f>
        <v>+674</v>
      </c>
      <c r="AH12" s="34">
        <f>Q12/$T$11</f>
        <v>0</v>
      </c>
      <c r="AI12" s="17" t="str">
        <f>IF(ISNA(Q12),"",TEXT(Q12,"""-""#,##0"))</f>
        <v>-0</v>
      </c>
      <c r="AJ12" s="34">
        <f>E12/$U$11</f>
        <v>0.24714892858757603</v>
      </c>
      <c r="AK12" s="17" t="str">
        <f>IF(ISNA(E12),"",TEXT(E12,"+0;-0"))</f>
        <v>+7</v>
      </c>
      <c r="AL12" s="34">
        <f>R12/$U$11</f>
        <v>0.24714892858757603</v>
      </c>
      <c r="AM12" s="34" t="e">
        <f>S12/$U$11</f>
        <v>#N/A</v>
      </c>
    </row>
    <row r="13" spans="1:39" x14ac:dyDescent="0.35">
      <c r="A13" s="21" t="s">
        <v>186</v>
      </c>
      <c r="B13" s="17" t="s">
        <v>164</v>
      </c>
      <c r="C13" t="s">
        <v>20</v>
      </c>
      <c r="D13" s="46">
        <v>4777</v>
      </c>
      <c r="E13" s="51">
        <v>15.834141610087293</v>
      </c>
      <c r="F13" s="49">
        <f>IF(E13=-100,NA(),D13/(1+E13/100))</f>
        <v>4124</v>
      </c>
      <c r="G13" s="52">
        <f>D13-F13</f>
        <v>653</v>
      </c>
      <c r="H13" s="49">
        <f>D13</f>
        <v>4777</v>
      </c>
      <c r="I13" s="49">
        <f>MAX(F13-D13,0)</f>
        <v>0</v>
      </c>
      <c r="J13" s="49">
        <f>0</f>
        <v>0</v>
      </c>
      <c r="K13" s="49">
        <f>0</f>
        <v>0</v>
      </c>
      <c r="L13" s="49">
        <f>0</f>
        <v>0</v>
      </c>
      <c r="M13" s="49">
        <f>N13+G13</f>
        <v>75751</v>
      </c>
      <c r="N13" s="49">
        <f>M12</f>
        <v>75098</v>
      </c>
      <c r="O13" s="49">
        <f>MIN(N13,M13)</f>
        <v>75098</v>
      </c>
      <c r="P13" s="49">
        <f>IF(G13&gt;0,G13,0)</f>
        <v>653</v>
      </c>
      <c r="Q13" s="49">
        <f>IF(G13&lt;0,-G13,0)</f>
        <v>0</v>
      </c>
      <c r="R13" s="33">
        <f>IF(E13&gt;0,E13,NA())</f>
        <v>15.834141610087293</v>
      </c>
      <c r="S13" s="33" t="e">
        <f>IF(E13&lt;0,E13,NA())</f>
        <v>#N/A</v>
      </c>
      <c r="T13" s="34"/>
      <c r="U13" s="34"/>
      <c r="V13" s="34">
        <f>H13/$T$11</f>
        <v>5.743381345131892E-2</v>
      </c>
      <c r="W13" s="17" t="str">
        <f>IF(ISNA(H13),"",TEXT(H13,"#,##0"))</f>
        <v>4,777</v>
      </c>
      <c r="X13" s="34">
        <f>I13/$T$11</f>
        <v>0</v>
      </c>
      <c r="Y13" s="34">
        <f>J13/$T$11</f>
        <v>0</v>
      </c>
      <c r="Z13" s="17" t="str">
        <f>IF(ISNA(J13),"",TEXT(J13,"#,##0"))</f>
        <v>0</v>
      </c>
      <c r="AA13" s="34">
        <f>K13/$T$11</f>
        <v>0</v>
      </c>
      <c r="AB13" s="17" t="str">
        <f>IF(ISNA(K13),"",TEXT(K13,"#,##0"))</f>
        <v>0</v>
      </c>
      <c r="AC13" s="34">
        <f>L13/$T$11</f>
        <v>0</v>
      </c>
      <c r="AD13" s="17" t="str">
        <f>IF(ISNA(L13),"",TEXT(L13,"#,##0"))</f>
        <v>0</v>
      </c>
      <c r="AE13" s="34">
        <f>O13/$T$11</f>
        <v>0.90290234929184598</v>
      </c>
      <c r="AF13" s="34">
        <f>P13/$T$11</f>
        <v>7.8510111332868449E-3</v>
      </c>
      <c r="AG13" s="17" t="str">
        <f>IF(ISNA(P13),"",TEXT(P13,"+#,##0"))</f>
        <v>+653</v>
      </c>
      <c r="AH13" s="34">
        <f>Q13/$T$11</f>
        <v>0</v>
      </c>
      <c r="AI13" s="17" t="str">
        <f>IF(ISNA(Q13),"",TEXT(Q13,"""-""#,##0"))</f>
        <v>-0</v>
      </c>
      <c r="AJ13" s="34">
        <f>E13/$U$11</f>
        <v>0.55977750627968859</v>
      </c>
      <c r="AK13" s="17" t="str">
        <f>IF(ISNA(E13),"",TEXT(E13,"+0;-0"))</f>
        <v>+16</v>
      </c>
      <c r="AL13" s="34">
        <f>R13/$U$11</f>
        <v>0.55977750627968859</v>
      </c>
      <c r="AM13" s="34" t="e">
        <f>S13/$U$11</f>
        <v>#N/A</v>
      </c>
    </row>
    <row r="14" spans="1:39" x14ac:dyDescent="0.35">
      <c r="A14" s="21" t="s">
        <v>187</v>
      </c>
      <c r="B14" s="17" t="s">
        <v>164</v>
      </c>
      <c r="C14" t="s">
        <v>20</v>
      </c>
      <c r="D14" s="46">
        <v>2830</v>
      </c>
      <c r="E14" s="51">
        <v>28.286491387126024</v>
      </c>
      <c r="F14" s="49">
        <f>IF(E14=-100,NA(),D14/(1+E14/100))</f>
        <v>2206</v>
      </c>
      <c r="G14" s="52">
        <f>D14-F14</f>
        <v>624</v>
      </c>
      <c r="H14" s="49">
        <f>D14</f>
        <v>2830</v>
      </c>
      <c r="I14" s="49">
        <f>MAX(F14-D14,0)</f>
        <v>0</v>
      </c>
      <c r="J14" s="49">
        <f>0</f>
        <v>0</v>
      </c>
      <c r="K14" s="49">
        <f>0</f>
        <v>0</v>
      </c>
      <c r="L14" s="49">
        <f>0</f>
        <v>0</v>
      </c>
      <c r="M14" s="49">
        <f>N14+G14</f>
        <v>76375</v>
      </c>
      <c r="N14" s="49">
        <f>M13</f>
        <v>75751</v>
      </c>
      <c r="O14" s="49">
        <f>MIN(N14,M14)</f>
        <v>75751</v>
      </c>
      <c r="P14" s="49">
        <f>IF(G14&gt;0,G14,0)</f>
        <v>624</v>
      </c>
      <c r="Q14" s="49">
        <f>IF(G14&lt;0,-G14,0)</f>
        <v>0</v>
      </c>
      <c r="R14" s="33">
        <f>IF(E14&gt;0,E14,NA())</f>
        <v>28.286491387126024</v>
      </c>
      <c r="S14" s="33" t="e">
        <f>IF(E14&lt;0,E14,NA())</f>
        <v>#N/A</v>
      </c>
      <c r="T14" s="34"/>
      <c r="U14" s="34"/>
      <c r="V14" s="34">
        <f>H14/$T$11</f>
        <v>3.4025055906893982E-2</v>
      </c>
      <c r="W14" s="17" t="str">
        <f>IF(ISNA(H14),"",TEXT(H14,"#,##0"))</f>
        <v>2,830</v>
      </c>
      <c r="X14" s="34">
        <f>I14/$T$11</f>
        <v>0</v>
      </c>
      <c r="Y14" s="34">
        <f>J14/$T$11</f>
        <v>0</v>
      </c>
      <c r="Z14" s="17" t="str">
        <f>IF(ISNA(J14),"",TEXT(J14,"#,##0"))</f>
        <v>0</v>
      </c>
      <c r="AA14" s="34">
        <f>K14/$T$11</f>
        <v>0</v>
      </c>
      <c r="AB14" s="17" t="str">
        <f>IF(ISNA(K14),"",TEXT(K14,"#,##0"))</f>
        <v>0</v>
      </c>
      <c r="AC14" s="34">
        <f>L14/$T$11</f>
        <v>0</v>
      </c>
      <c r="AD14" s="17" t="str">
        <f>IF(ISNA(L14),"",TEXT(L14,"#,##0"))</f>
        <v>0</v>
      </c>
      <c r="AE14" s="34">
        <f>O14/$T$11</f>
        <v>0.91075336042513289</v>
      </c>
      <c r="AF14" s="34">
        <f>P14/$T$11</f>
        <v>7.5023444826508284E-3</v>
      </c>
      <c r="AG14" s="17" t="str">
        <f>IF(ISNA(P14),"",TEXT(P14,"+#,##0"))</f>
        <v>+624</v>
      </c>
      <c r="AH14" s="34">
        <f>Q14/$T$11</f>
        <v>0</v>
      </c>
      <c r="AI14" s="17" t="str">
        <f>IF(ISNA(Q14),"",TEXT(Q14,"""-""#,##0"))</f>
        <v>-0</v>
      </c>
      <c r="AJ14" s="34">
        <f>E14/$U$11</f>
        <v>1</v>
      </c>
      <c r="AK14" s="17" t="str">
        <f>IF(ISNA(E14),"",TEXT(E14,"+0;-0"))</f>
        <v>+28</v>
      </c>
      <c r="AL14" s="34">
        <f>R14/$U$11</f>
        <v>1</v>
      </c>
      <c r="AM14" s="34" t="e">
        <f>S14/$U$11</f>
        <v>#N/A</v>
      </c>
    </row>
    <row r="15" spans="1:39" x14ac:dyDescent="0.35">
      <c r="A15" s="21" t="s">
        <v>188</v>
      </c>
      <c r="B15" s="17" t="s">
        <v>164</v>
      </c>
      <c r="C15" t="s">
        <v>20</v>
      </c>
      <c r="D15" s="46">
        <v>3359</v>
      </c>
      <c r="E15" s="51">
        <v>18.692579505300351</v>
      </c>
      <c r="F15" s="49">
        <f>IF(E15=-100,NA(),D15/(1+E15/100))</f>
        <v>2830</v>
      </c>
      <c r="G15" s="52">
        <f>D15-F15</f>
        <v>529</v>
      </c>
      <c r="H15" s="49">
        <f>D15</f>
        <v>3359</v>
      </c>
      <c r="I15" s="49">
        <f>MAX(F15-D15,0)</f>
        <v>0</v>
      </c>
      <c r="J15" s="49">
        <f>0</f>
        <v>0</v>
      </c>
      <c r="K15" s="49">
        <f>0</f>
        <v>0</v>
      </c>
      <c r="L15" s="49">
        <f>0</f>
        <v>0</v>
      </c>
      <c r="M15" s="49">
        <f>N15+G15</f>
        <v>76904</v>
      </c>
      <c r="N15" s="49">
        <f>M14</f>
        <v>76375</v>
      </c>
      <c r="O15" s="49">
        <f>MIN(N15,M15)</f>
        <v>76375</v>
      </c>
      <c r="P15" s="49">
        <f>IF(G15&gt;0,G15,0)</f>
        <v>529</v>
      </c>
      <c r="Q15" s="49">
        <f>IF(G15&lt;0,-G15,0)</f>
        <v>0</v>
      </c>
      <c r="R15" s="33">
        <f>IF(E15&gt;0,E15,NA())</f>
        <v>18.692579505300351</v>
      </c>
      <c r="S15" s="33" t="e">
        <f>IF(E15&lt;0,E15,NA())</f>
        <v>#N/A</v>
      </c>
      <c r="T15" s="34"/>
      <c r="U15" s="34"/>
      <c r="V15" s="34">
        <f>H15/$T$11</f>
        <v>4.038521653401303E-2</v>
      </c>
      <c r="W15" s="17" t="str">
        <f>IF(ISNA(H15),"",TEXT(H15,"#,##0"))</f>
        <v>3,359</v>
      </c>
      <c r="X15" s="34">
        <f>I15/$T$11</f>
        <v>0</v>
      </c>
      <c r="Y15" s="34">
        <f>J15/$T$11</f>
        <v>0</v>
      </c>
      <c r="Z15" s="17" t="str">
        <f>IF(ISNA(J15),"",TEXT(J15,"#,##0"))</f>
        <v>0</v>
      </c>
      <c r="AA15" s="34">
        <f>K15/$T$11</f>
        <v>0</v>
      </c>
      <c r="AB15" s="17" t="str">
        <f>IF(ISNA(K15),"",TEXT(K15,"#,##0"))</f>
        <v>0</v>
      </c>
      <c r="AC15" s="34">
        <f>L15/$T$11</f>
        <v>0</v>
      </c>
      <c r="AD15" s="17" t="str">
        <f>IF(ISNA(L15),"",TEXT(L15,"#,##0"))</f>
        <v>0</v>
      </c>
      <c r="AE15" s="34">
        <f>O15/$T$11</f>
        <v>0.91825570490778363</v>
      </c>
      <c r="AF15" s="34">
        <f>P15/$T$11</f>
        <v>6.3601606271190513E-3</v>
      </c>
      <c r="AG15" s="17" t="str">
        <f>IF(ISNA(P15),"",TEXT(P15,"+#,##0"))</f>
        <v>+529</v>
      </c>
      <c r="AH15" s="34">
        <f>Q15/$T$11</f>
        <v>0</v>
      </c>
      <c r="AI15" s="17" t="str">
        <f>IF(ISNA(Q15),"",TEXT(Q15,"""-""#,##0"))</f>
        <v>-0</v>
      </c>
      <c r="AJ15" s="34">
        <f>E15/$U$11</f>
        <v>0.66083061520340658</v>
      </c>
      <c r="AK15" s="17" t="str">
        <f>IF(ISNA(E15),"",TEXT(E15,"+0;-0"))</f>
        <v>+19</v>
      </c>
      <c r="AL15" s="34">
        <f>R15/$U$11</f>
        <v>0.66083061520340658</v>
      </c>
      <c r="AM15" s="34" t="e">
        <f>S15/$U$11</f>
        <v>#N/A</v>
      </c>
    </row>
    <row r="16" spans="1:39" x14ac:dyDescent="0.35">
      <c r="A16" s="21" t="s">
        <v>189</v>
      </c>
      <c r="B16" s="17" t="s">
        <v>164</v>
      </c>
      <c r="C16" t="s">
        <v>20</v>
      </c>
      <c r="D16" s="46">
        <v>4084</v>
      </c>
      <c r="E16" s="51">
        <v>12.352132049518568</v>
      </c>
      <c r="F16" s="49">
        <f>IF(E16=-100,NA(),D16/(1+E16/100))</f>
        <v>3635</v>
      </c>
      <c r="G16" s="52">
        <f>D16-F16</f>
        <v>449</v>
      </c>
      <c r="H16" s="49">
        <f>D16</f>
        <v>4084</v>
      </c>
      <c r="I16" s="49">
        <f>MAX(F16-D16,0)</f>
        <v>0</v>
      </c>
      <c r="J16" s="49">
        <f>0</f>
        <v>0</v>
      </c>
      <c r="K16" s="49">
        <f>0</f>
        <v>0</v>
      </c>
      <c r="L16" s="49">
        <f>0</f>
        <v>0</v>
      </c>
      <c r="M16" s="49">
        <f>N16+G16</f>
        <v>77353</v>
      </c>
      <c r="N16" s="49">
        <f>M15</f>
        <v>76904</v>
      </c>
      <c r="O16" s="49">
        <f>MIN(N16,M16)</f>
        <v>76904</v>
      </c>
      <c r="P16" s="49">
        <f>IF(G16&gt;0,G16,0)</f>
        <v>449</v>
      </c>
      <c r="Q16" s="49">
        <f>IF(G16&lt;0,-G16,0)</f>
        <v>0</v>
      </c>
      <c r="R16" s="33">
        <f>IF(E16&gt;0,E16,NA())</f>
        <v>12.352132049518568</v>
      </c>
      <c r="S16" s="33" t="e">
        <f>IF(E16&lt;0,E16,NA())</f>
        <v>#N/A</v>
      </c>
      <c r="T16" s="34"/>
      <c r="U16" s="34"/>
      <c r="V16" s="34">
        <f>H16/$T$11</f>
        <v>4.9101882799913434E-2</v>
      </c>
      <c r="W16" s="17" t="str">
        <f>IF(ISNA(H16),"",TEXT(H16,"#,##0"))</f>
        <v>4,084</v>
      </c>
      <c r="X16" s="34">
        <f>I16/$T$11</f>
        <v>0</v>
      </c>
      <c r="Y16" s="34">
        <f>J16/$T$11</f>
        <v>0</v>
      </c>
      <c r="Z16" s="17" t="str">
        <f>IF(ISNA(J16),"",TEXT(J16,"#,##0"))</f>
        <v>0</v>
      </c>
      <c r="AA16" s="34">
        <f>K16/$T$11</f>
        <v>0</v>
      </c>
      <c r="AB16" s="17" t="str">
        <f>IF(ISNA(K16),"",TEXT(K16,"#,##0"))</f>
        <v>0</v>
      </c>
      <c r="AC16" s="34">
        <f>L16/$T$11</f>
        <v>0</v>
      </c>
      <c r="AD16" s="17" t="str">
        <f>IF(ISNA(L16),"",TEXT(L16,"#,##0"))</f>
        <v>0</v>
      </c>
      <c r="AE16" s="34">
        <f>O16/$T$11</f>
        <v>0.92461586553490271</v>
      </c>
      <c r="AF16" s="34">
        <f>P16/$T$11</f>
        <v>5.3983215908817656E-3</v>
      </c>
      <c r="AG16" s="17" t="str">
        <f>IF(ISNA(P16),"",TEXT(P16,"+#,##0"))</f>
        <v>+449</v>
      </c>
      <c r="AH16" s="34">
        <f>Q16/$T$11</f>
        <v>0</v>
      </c>
      <c r="AI16" s="17" t="str">
        <f>IF(ISNA(Q16),"",TEXT(Q16,"""-""#,##0"))</f>
        <v>-0</v>
      </c>
      <c r="AJ16" s="34">
        <f>E16/$U$11</f>
        <v>0.43667954008394161</v>
      </c>
      <c r="AK16" s="17" t="str">
        <f>IF(ISNA(E16),"",TEXT(E16,"+0;-0"))</f>
        <v>+12</v>
      </c>
      <c r="AL16" s="34">
        <f>R16/$U$11</f>
        <v>0.43667954008394161</v>
      </c>
      <c r="AM16" s="34" t="e">
        <f>S16/$U$11</f>
        <v>#N/A</v>
      </c>
    </row>
    <row r="17" spans="1:39" x14ac:dyDescent="0.35">
      <c r="A17" s="21" t="s">
        <v>190</v>
      </c>
      <c r="B17" s="17" t="s">
        <v>164</v>
      </c>
      <c r="C17" t="s">
        <v>20</v>
      </c>
      <c r="D17" s="46">
        <v>2445</v>
      </c>
      <c r="E17" s="51">
        <v>12.776752767527674</v>
      </c>
      <c r="F17" s="49">
        <f>IF(E17=-100,NA(),D17/(1+E17/100))</f>
        <v>2168</v>
      </c>
      <c r="G17" s="52">
        <f>D17-F17</f>
        <v>277</v>
      </c>
      <c r="H17" s="49">
        <f>D17</f>
        <v>2445</v>
      </c>
      <c r="I17" s="49">
        <f>MAX(F17-D17,0)</f>
        <v>0</v>
      </c>
      <c r="J17" s="49">
        <f>0</f>
        <v>0</v>
      </c>
      <c r="K17" s="49">
        <f>0</f>
        <v>0</v>
      </c>
      <c r="L17" s="49">
        <f>0</f>
        <v>0</v>
      </c>
      <c r="M17" s="49">
        <f>N17+G17</f>
        <v>77630</v>
      </c>
      <c r="N17" s="49">
        <f>M16</f>
        <v>77353</v>
      </c>
      <c r="O17" s="49">
        <f>MIN(N17,M17)</f>
        <v>77353</v>
      </c>
      <c r="P17" s="49">
        <f>IF(G17&gt;0,G17,0)</f>
        <v>277</v>
      </c>
      <c r="Q17" s="49">
        <f>IF(G17&lt;0,-G17,0)</f>
        <v>0</v>
      </c>
      <c r="R17" s="33">
        <f>IF(E17&gt;0,E17,NA())</f>
        <v>12.776752767527674</v>
      </c>
      <c r="S17" s="33" t="e">
        <f>IF(E17&lt;0,E17,NA())</f>
        <v>#N/A</v>
      </c>
      <c r="T17" s="34"/>
      <c r="U17" s="34"/>
      <c r="V17" s="34">
        <f>H17/$T$11</f>
        <v>2.9396205545002045E-2</v>
      </c>
      <c r="W17" s="17" t="str">
        <f>IF(ISNA(H17),"",TEXT(H17,"#,##0"))</f>
        <v>2,445</v>
      </c>
      <c r="X17" s="34">
        <f>I17/$T$11</f>
        <v>0</v>
      </c>
      <c r="Y17" s="34">
        <f>J17/$T$11</f>
        <v>0</v>
      </c>
      <c r="Z17" s="17" t="str">
        <f>IF(ISNA(J17),"",TEXT(J17,"#,##0"))</f>
        <v>0</v>
      </c>
      <c r="AA17" s="34">
        <f>K17/$T$11</f>
        <v>0</v>
      </c>
      <c r="AB17" s="17" t="str">
        <f>IF(ISNA(K17),"",TEXT(K17,"#,##0"))</f>
        <v>0</v>
      </c>
      <c r="AC17" s="34">
        <f>L17/$T$11</f>
        <v>0</v>
      </c>
      <c r="AD17" s="17" t="str">
        <f>IF(ISNA(L17),"",TEXT(L17,"#,##0"))</f>
        <v>0</v>
      </c>
      <c r="AE17" s="34">
        <f>O17/$T$11</f>
        <v>0.93001418712578454</v>
      </c>
      <c r="AF17" s="34">
        <f>P17/$T$11</f>
        <v>3.3303676629716015E-3</v>
      </c>
      <c r="AG17" s="17" t="str">
        <f>IF(ISNA(P17),"",TEXT(P17,"+#,##0"))</f>
        <v>+277</v>
      </c>
      <c r="AH17" s="34">
        <f>Q17/$T$11</f>
        <v>0</v>
      </c>
      <c r="AI17" s="17" t="str">
        <f>IF(ISNA(Q17),"",TEXT(Q17,"""-""#,##0"))</f>
        <v>-0</v>
      </c>
      <c r="AJ17" s="34">
        <f>E17/$U$11</f>
        <v>0.45169097123663532</v>
      </c>
      <c r="AK17" s="17" t="str">
        <f>IF(ISNA(E17),"",TEXT(E17,"+0;-0"))</f>
        <v>+13</v>
      </c>
      <c r="AL17" s="34">
        <f>R17/$U$11</f>
        <v>0.45169097123663532</v>
      </c>
      <c r="AM17" s="34" t="e">
        <f>S17/$U$11</f>
        <v>#N/A</v>
      </c>
    </row>
    <row r="18" spans="1:39" x14ac:dyDescent="0.35">
      <c r="A18" s="21" t="s">
        <v>191</v>
      </c>
      <c r="B18" s="17" t="s">
        <v>164</v>
      </c>
      <c r="C18" t="s">
        <v>20</v>
      </c>
      <c r="D18" s="46">
        <v>2240</v>
      </c>
      <c r="E18" s="51">
        <v>12.619406737053795</v>
      </c>
      <c r="F18" s="49">
        <f>IF(E18=-100,NA(),D18/(1+E18/100))</f>
        <v>1989</v>
      </c>
      <c r="G18" s="52">
        <f>D18-F18</f>
        <v>251</v>
      </c>
      <c r="H18" s="49">
        <f>D18</f>
        <v>2240</v>
      </c>
      <c r="I18" s="49">
        <f>MAX(F18-D18,0)</f>
        <v>0</v>
      </c>
      <c r="J18" s="49">
        <f>0</f>
        <v>0</v>
      </c>
      <c r="K18" s="49">
        <f>0</f>
        <v>0</v>
      </c>
      <c r="L18" s="49">
        <f>0</f>
        <v>0</v>
      </c>
      <c r="M18" s="49">
        <f>N18+G18</f>
        <v>77881</v>
      </c>
      <c r="N18" s="49">
        <f>M17</f>
        <v>77630</v>
      </c>
      <c r="O18" s="49">
        <f>MIN(N18,M18)</f>
        <v>77630</v>
      </c>
      <c r="P18" s="49">
        <f>IF(G18&gt;0,G18,0)</f>
        <v>251</v>
      </c>
      <c r="Q18" s="49">
        <f>IF(G18&lt;0,-G18,0)</f>
        <v>0</v>
      </c>
      <c r="R18" s="33">
        <f>IF(E18&gt;0,E18,NA())</f>
        <v>12.619406737053795</v>
      </c>
      <c r="S18" s="33" t="e">
        <f>IF(E18&lt;0,E18,NA())</f>
        <v>#N/A</v>
      </c>
      <c r="T18" s="34"/>
      <c r="U18" s="34"/>
      <c r="V18" s="34">
        <f>H18/$T$11</f>
        <v>2.6931493014643999E-2</v>
      </c>
      <c r="W18" s="17" t="str">
        <f>IF(ISNA(H18),"",TEXT(H18,"#,##0"))</f>
        <v>2,240</v>
      </c>
      <c r="X18" s="34">
        <f>I18/$T$11</f>
        <v>0</v>
      </c>
      <c r="Y18" s="34">
        <f>J18/$T$11</f>
        <v>0</v>
      </c>
      <c r="Z18" s="17" t="str">
        <f>IF(ISNA(J18),"",TEXT(J18,"#,##0"))</f>
        <v>0</v>
      </c>
      <c r="AA18" s="34">
        <f>K18/$T$11</f>
        <v>0</v>
      </c>
      <c r="AB18" s="17" t="str">
        <f>IF(ISNA(K18),"",TEXT(K18,"#,##0"))</f>
        <v>0</v>
      </c>
      <c r="AC18" s="34">
        <f>L18/$T$11</f>
        <v>0</v>
      </c>
      <c r="AD18" s="17" t="str">
        <f>IF(ISNA(L18),"",TEXT(L18,"#,##0"))</f>
        <v>0</v>
      </c>
      <c r="AE18" s="34">
        <f>O18/$T$11</f>
        <v>0.93334455478875611</v>
      </c>
      <c r="AF18" s="34">
        <f>P18/$T$11</f>
        <v>3.0177699761944838E-3</v>
      </c>
      <c r="AG18" s="17" t="str">
        <f>IF(ISNA(P18),"",TEXT(P18,"+#,##0"))</f>
        <v>+251</v>
      </c>
      <c r="AH18" s="34">
        <f>Q18/$T$11</f>
        <v>0</v>
      </c>
      <c r="AI18" s="17" t="str">
        <f>IF(ISNA(Q18),"",TEXT(Q18,"""-""#,##0"))</f>
        <v>-0</v>
      </c>
      <c r="AJ18" s="34">
        <f>E18/$U$11</f>
        <v>0.44612838560802354</v>
      </c>
      <c r="AK18" s="17" t="str">
        <f>IF(ISNA(E18),"",TEXT(E18,"+0;-0"))</f>
        <v>+13</v>
      </c>
      <c r="AL18" s="34">
        <f>R18/$U$11</f>
        <v>0.44612838560802354</v>
      </c>
      <c r="AM18" s="34" t="e">
        <f>S18/$U$11</f>
        <v>#N/A</v>
      </c>
    </row>
    <row r="19" spans="1:39" x14ac:dyDescent="0.35">
      <c r="A19" s="21" t="s">
        <v>192</v>
      </c>
      <c r="B19" s="17" t="s">
        <v>164</v>
      </c>
      <c r="C19" t="s">
        <v>20</v>
      </c>
      <c r="D19" s="46">
        <v>2414</v>
      </c>
      <c r="E19" s="51">
        <v>10.127737226277372</v>
      </c>
      <c r="F19" s="49">
        <f>IF(E19=-100,NA(),D19/(1+E19/100))</f>
        <v>2192</v>
      </c>
      <c r="G19" s="52">
        <f>D19-F19</f>
        <v>222</v>
      </c>
      <c r="H19" s="49">
        <f>D19</f>
        <v>2414</v>
      </c>
      <c r="I19" s="49">
        <f>MAX(F19-D19,0)</f>
        <v>0</v>
      </c>
      <c r="J19" s="49">
        <f>0</f>
        <v>0</v>
      </c>
      <c r="K19" s="49">
        <f>0</f>
        <v>0</v>
      </c>
      <c r="L19" s="49">
        <f>0</f>
        <v>0</v>
      </c>
      <c r="M19" s="49">
        <f>N19+G19</f>
        <v>78103</v>
      </c>
      <c r="N19" s="49">
        <f>M18</f>
        <v>77881</v>
      </c>
      <c r="O19" s="49">
        <f>MIN(N19,M19)</f>
        <v>77881</v>
      </c>
      <c r="P19" s="49">
        <f>IF(G19&gt;0,G19,0)</f>
        <v>222</v>
      </c>
      <c r="Q19" s="49">
        <f>IF(G19&lt;0,-G19,0)</f>
        <v>0</v>
      </c>
      <c r="R19" s="33">
        <f>IF(E19&gt;0,E19,NA())</f>
        <v>10.127737226277372</v>
      </c>
      <c r="S19" s="33" t="e">
        <f>IF(E19&lt;0,E19,NA())</f>
        <v>#N/A</v>
      </c>
      <c r="T19" s="34"/>
      <c r="U19" s="34"/>
      <c r="V19" s="34">
        <f>H19/$T$11</f>
        <v>2.9023492918460094E-2</v>
      </c>
      <c r="W19" s="17" t="str">
        <f>IF(ISNA(H19),"",TEXT(H19,"#,##0"))</f>
        <v>2,414</v>
      </c>
      <c r="X19" s="34">
        <f>I19/$T$11</f>
        <v>0</v>
      </c>
      <c r="Y19" s="34">
        <f>J19/$T$11</f>
        <v>0</v>
      </c>
      <c r="Z19" s="17" t="str">
        <f>IF(ISNA(J19),"",TEXT(J19,"#,##0"))</f>
        <v>0</v>
      </c>
      <c r="AA19" s="34">
        <f>K19/$T$11</f>
        <v>0</v>
      </c>
      <c r="AB19" s="17" t="str">
        <f>IF(ISNA(K19),"",TEXT(K19,"#,##0"))</f>
        <v>0</v>
      </c>
      <c r="AC19" s="34">
        <f>L19/$T$11</f>
        <v>0</v>
      </c>
      <c r="AD19" s="17" t="str">
        <f>IF(ISNA(L19),"",TEXT(L19,"#,##0"))</f>
        <v>0</v>
      </c>
      <c r="AE19" s="34">
        <f>O19/$T$11</f>
        <v>0.93636232476495063</v>
      </c>
      <c r="AF19" s="34">
        <f>P19/$T$11</f>
        <v>2.6691033255584677E-3</v>
      </c>
      <c r="AG19" s="17" t="str">
        <f>IF(ISNA(P19),"",TEXT(P19,"+#,##0"))</f>
        <v>+222</v>
      </c>
      <c r="AH19" s="34">
        <f>Q19/$T$11</f>
        <v>0</v>
      </c>
      <c r="AI19" s="17" t="str">
        <f>IF(ISNA(Q19),"",TEXT(Q19,"""-""#,##0"))</f>
        <v>-0</v>
      </c>
      <c r="AJ19" s="34">
        <f>E19/$U$11</f>
        <v>0.35804147950589549</v>
      </c>
      <c r="AK19" s="17" t="str">
        <f>IF(ISNA(E19),"",TEXT(E19,"+0;-0"))</f>
        <v>+10</v>
      </c>
      <c r="AL19" s="34">
        <f>R19/$U$11</f>
        <v>0.35804147950589549</v>
      </c>
      <c r="AM19" s="34" t="e">
        <f>S19/$U$11</f>
        <v>#N/A</v>
      </c>
    </row>
    <row r="20" spans="1:39" x14ac:dyDescent="0.35">
      <c r="A20" s="21" t="s">
        <v>193</v>
      </c>
      <c r="B20" s="17" t="s">
        <v>164</v>
      </c>
      <c r="C20" t="s">
        <v>20</v>
      </c>
      <c r="D20" s="46">
        <v>2775</v>
      </c>
      <c r="E20" s="51">
        <v>5.5936073059360725</v>
      </c>
      <c r="F20" s="49">
        <f>IF(E20=-100,NA(),D20/(1+E20/100))</f>
        <v>2628</v>
      </c>
      <c r="G20" s="52">
        <f>D20-F20</f>
        <v>147</v>
      </c>
      <c r="H20" s="49">
        <f>D20</f>
        <v>2775</v>
      </c>
      <c r="I20" s="49">
        <f>MAX(F20-D20,0)</f>
        <v>0</v>
      </c>
      <c r="J20" s="49">
        <f>0</f>
        <v>0</v>
      </c>
      <c r="K20" s="49">
        <f>0</f>
        <v>0</v>
      </c>
      <c r="L20" s="49">
        <f>0</f>
        <v>0</v>
      </c>
      <c r="M20" s="49">
        <f>N20+G20</f>
        <v>78250</v>
      </c>
      <c r="N20" s="49">
        <f>M19</f>
        <v>78103</v>
      </c>
      <c r="O20" s="49">
        <f>MIN(N20,M20)</f>
        <v>78103</v>
      </c>
      <c r="P20" s="49">
        <f>IF(G20&gt;0,G20,0)</f>
        <v>147</v>
      </c>
      <c r="Q20" s="49">
        <f>IF(G20&lt;0,-G20,0)</f>
        <v>0</v>
      </c>
      <c r="R20" s="33">
        <f>IF(E20&gt;0,E20,NA())</f>
        <v>5.5936073059360725</v>
      </c>
      <c r="S20" s="33" t="e">
        <f>IF(E20&lt;0,E20,NA())</f>
        <v>#N/A</v>
      </c>
      <c r="T20" s="34"/>
      <c r="U20" s="34"/>
      <c r="V20" s="34">
        <f>H20/$T$11</f>
        <v>3.3363791569480848E-2</v>
      </c>
      <c r="W20" s="17" t="str">
        <f>IF(ISNA(H20),"",TEXT(H20,"#,##0"))</f>
        <v>2,775</v>
      </c>
      <c r="X20" s="34">
        <f>I20/$T$11</f>
        <v>0</v>
      </c>
      <c r="Y20" s="34">
        <f>J20/$T$11</f>
        <v>0</v>
      </c>
      <c r="Z20" s="17" t="str">
        <f>IF(ISNA(J20),"",TEXT(J20,"#,##0"))</f>
        <v>0</v>
      </c>
      <c r="AA20" s="34">
        <f>K20/$T$11</f>
        <v>0</v>
      </c>
      <c r="AB20" s="17" t="str">
        <f>IF(ISNA(K20),"",TEXT(K20,"#,##0"))</f>
        <v>0</v>
      </c>
      <c r="AC20" s="34">
        <f>L20/$T$11</f>
        <v>0</v>
      </c>
      <c r="AD20" s="17" t="str">
        <f>IF(ISNA(L20),"",TEXT(L20,"#,##0"))</f>
        <v>0</v>
      </c>
      <c r="AE20" s="34">
        <f>O20/$T$11</f>
        <v>0.9390314280905091</v>
      </c>
      <c r="AF20" s="34">
        <f>P20/$T$11</f>
        <v>1.7673792290860124E-3</v>
      </c>
      <c r="AG20" s="17" t="str">
        <f>IF(ISNA(P20),"",TEXT(P20,"+#,##0"))</f>
        <v>+147</v>
      </c>
      <c r="AH20" s="34">
        <f>Q20/$T$11</f>
        <v>0</v>
      </c>
      <c r="AI20" s="17" t="str">
        <f>IF(ISNA(Q20),"",TEXT(Q20,"""-""#,##0"))</f>
        <v>-0</v>
      </c>
      <c r="AJ20" s="34">
        <f>E20/$U$11</f>
        <v>0.19774836084767586</v>
      </c>
      <c r="AK20" s="17" t="str">
        <f>IF(ISNA(E20),"",TEXT(E20,"+0;-0"))</f>
        <v>+6</v>
      </c>
      <c r="AL20" s="34">
        <f>R20/$U$11</f>
        <v>0.19774836084767586</v>
      </c>
      <c r="AM20" s="34" t="e">
        <f>S20/$U$11</f>
        <v>#N/A</v>
      </c>
    </row>
    <row r="21" spans="1:39" x14ac:dyDescent="0.35">
      <c r="A21" s="21" t="s">
        <v>194</v>
      </c>
      <c r="B21" s="17" t="s">
        <v>164</v>
      </c>
      <c r="C21" t="s">
        <v>20</v>
      </c>
      <c r="D21" s="46">
        <v>10261</v>
      </c>
      <c r="E21" s="51">
        <v>0.38153003326159263</v>
      </c>
      <c r="F21" s="49">
        <f>IF(E21=-100,NA(),D21/(1+E21/100))</f>
        <v>10222</v>
      </c>
      <c r="G21" s="52">
        <f>D21-F21</f>
        <v>39</v>
      </c>
      <c r="H21" s="49">
        <f>D21</f>
        <v>10261</v>
      </c>
      <c r="I21" s="49">
        <f>MAX(F21-D21,0)</f>
        <v>0</v>
      </c>
      <c r="J21" s="49">
        <f>0</f>
        <v>0</v>
      </c>
      <c r="K21" s="49">
        <f>0</f>
        <v>0</v>
      </c>
      <c r="L21" s="49">
        <f>0</f>
        <v>0</v>
      </c>
      <c r="M21" s="49">
        <f>N21+G21</f>
        <v>78289</v>
      </c>
      <c r="N21" s="49">
        <f>M20</f>
        <v>78250</v>
      </c>
      <c r="O21" s="49">
        <f>MIN(N21,M21)</f>
        <v>78250</v>
      </c>
      <c r="P21" s="49">
        <f>IF(G21&gt;0,G21,0)</f>
        <v>39</v>
      </c>
      <c r="Q21" s="49">
        <f>IF(G21&lt;0,-G21,0)</f>
        <v>0</v>
      </c>
      <c r="R21" s="33">
        <f>IF(E21&gt;0,E21,NA())</f>
        <v>0.38153003326159263</v>
      </c>
      <c r="S21" s="33" t="e">
        <f>IF(E21&lt;0,E21,NA())</f>
        <v>#N/A</v>
      </c>
      <c r="T21" s="34"/>
      <c r="U21" s="34"/>
      <c r="V21" s="34">
        <f>H21/$T$11</f>
        <v>0.12336787938538486</v>
      </c>
      <c r="W21" s="17" t="str">
        <f>IF(ISNA(H21),"",TEXT(H21,"#,##0"))</f>
        <v>10,261</v>
      </c>
      <c r="X21" s="34">
        <f>I21/$T$11</f>
        <v>0</v>
      </c>
      <c r="Y21" s="34">
        <f>J21/$T$11</f>
        <v>0</v>
      </c>
      <c r="Z21" s="17" t="str">
        <f>IF(ISNA(J21),"",TEXT(J21,"#,##0"))</f>
        <v>0</v>
      </c>
      <c r="AA21" s="34">
        <f>K21/$T$11</f>
        <v>0</v>
      </c>
      <c r="AB21" s="17" t="str">
        <f>IF(ISNA(K21),"",TEXT(K21,"#,##0"))</f>
        <v>0</v>
      </c>
      <c r="AC21" s="34">
        <f>L21/$T$11</f>
        <v>0</v>
      </c>
      <c r="AD21" s="17" t="str">
        <f>IF(ISNA(L21),"",TEXT(L21,"#,##0"))</f>
        <v>0</v>
      </c>
      <c r="AE21" s="34">
        <f>O21/$T$11</f>
        <v>0.94079880731959509</v>
      </c>
      <c r="AF21" s="34">
        <f>P21/$T$11</f>
        <v>4.6889653016567677E-4</v>
      </c>
      <c r="AG21" s="17" t="str">
        <f>IF(ISNA(P21),"",TEXT(P21,"+#,##0"))</f>
        <v>+39</v>
      </c>
      <c r="AH21" s="34">
        <f>Q21/$T$11</f>
        <v>0</v>
      </c>
      <c r="AI21" s="17" t="str">
        <f>IF(ISNA(Q21),"",TEXT(Q21,"""-""#,##0"))</f>
        <v>-0</v>
      </c>
      <c r="AJ21" s="34">
        <f>E21/$U$11</f>
        <v>1.3488064957933865E-2</v>
      </c>
      <c r="AK21" s="17" t="str">
        <f>IF(ISNA(E21),"",TEXT(E21,"+0;-0"))</f>
        <v>+0</v>
      </c>
      <c r="AL21" s="34">
        <f>R21/$U$11</f>
        <v>1.3488064957933865E-2</v>
      </c>
      <c r="AM21" s="34" t="e">
        <f>S21/$U$11</f>
        <v>#N/A</v>
      </c>
    </row>
    <row r="22" spans="1:39" x14ac:dyDescent="0.35">
      <c r="A22" s="21" t="s">
        <v>195</v>
      </c>
      <c r="B22" s="17" t="s">
        <v>164</v>
      </c>
      <c r="C22" t="s">
        <v>20</v>
      </c>
      <c r="D22" s="46">
        <v>37674</v>
      </c>
      <c r="E22" s="51">
        <v>14.898289060355607</v>
      </c>
      <c r="F22" s="49">
        <f>IF(E22=-100,NA(),D22/(1+E22/100))</f>
        <v>32789</v>
      </c>
      <c r="G22" s="52">
        <f>D22-F22</f>
        <v>4885</v>
      </c>
      <c r="H22" s="49">
        <f>D22</f>
        <v>37674</v>
      </c>
      <c r="I22" s="49">
        <f>MAX(F22-D22,0)</f>
        <v>0</v>
      </c>
      <c r="J22" s="49">
        <f>0</f>
        <v>0</v>
      </c>
      <c r="K22" s="49">
        <f>0</f>
        <v>0</v>
      </c>
      <c r="L22" s="49">
        <f>0</f>
        <v>0</v>
      </c>
      <c r="M22" s="49">
        <f>N22+G22</f>
        <v>83174</v>
      </c>
      <c r="N22" s="49">
        <f>M21</f>
        <v>78289</v>
      </c>
      <c r="O22" s="49">
        <f>MIN(N22,M22)</f>
        <v>78289</v>
      </c>
      <c r="P22" s="49">
        <f>IF(G22&gt;0,G22,0)</f>
        <v>4885</v>
      </c>
      <c r="Q22" s="49">
        <f>IF(G22&lt;0,-G22,0)</f>
        <v>0</v>
      </c>
      <c r="R22" s="33">
        <f>IF(E22&gt;0,E22,NA())</f>
        <v>14.898289060355607</v>
      </c>
      <c r="S22" s="33" t="e">
        <f>IF(E22&lt;0,E22,NA())</f>
        <v>#N/A</v>
      </c>
      <c r="T22" s="34"/>
      <c r="U22" s="34"/>
      <c r="V22" s="34">
        <f>H22/$T$11</f>
        <v>0.45295404814004375</v>
      </c>
      <c r="W22" s="17" t="str">
        <f>IF(ISNA(H22),"",TEXT(H22,"#,##0"))</f>
        <v>37,674</v>
      </c>
      <c r="X22" s="34">
        <f>I22/$T$11</f>
        <v>0</v>
      </c>
      <c r="Y22" s="34">
        <f>J22/$T$11</f>
        <v>0</v>
      </c>
      <c r="Z22" s="17" t="str">
        <f>IF(ISNA(J22),"",TEXT(J22,"#,##0"))</f>
        <v>0</v>
      </c>
      <c r="AA22" s="34">
        <f>K22/$T$11</f>
        <v>0</v>
      </c>
      <c r="AB22" s="17" t="str">
        <f>IF(ISNA(K22),"",TEXT(K22,"#,##0"))</f>
        <v>0</v>
      </c>
      <c r="AC22" s="34">
        <f>L22/$T$11</f>
        <v>0</v>
      </c>
      <c r="AD22" s="17" t="str">
        <f>IF(ISNA(L22),"",TEXT(L22,"#,##0"))</f>
        <v>0</v>
      </c>
      <c r="AE22" s="34">
        <f>O22/$T$11</f>
        <v>0.94126770384976077</v>
      </c>
      <c r="AF22" s="34">
        <f>P22/$T$11</f>
        <v>5.8732296150239255E-2</v>
      </c>
      <c r="AG22" s="17" t="str">
        <f>IF(ISNA(P22),"",TEXT(P22,"+#,##0"))</f>
        <v>+4,885</v>
      </c>
      <c r="AH22" s="34">
        <f>Q22/$T$11</f>
        <v>0</v>
      </c>
      <c r="AI22" s="17" t="str">
        <f>IF(ISNA(Q22),"",TEXT(Q22,"""-""#,##0"))</f>
        <v>-0</v>
      </c>
      <c r="AJ22" s="34">
        <f>E22/$U$11</f>
        <v>0.52669271902475101</v>
      </c>
      <c r="AK22" s="17" t="str">
        <f>IF(ISNA(E22),"",TEXT(E22,"+0;-0"))</f>
        <v>+15</v>
      </c>
      <c r="AL22" s="34">
        <f>R22/$U$11</f>
        <v>0.52669271902475101</v>
      </c>
      <c r="AM22" s="34" t="e">
        <f>S22/$U$11</f>
        <v>#N/A</v>
      </c>
    </row>
    <row r="23" spans="1:39" x14ac:dyDescent="0.35">
      <c r="A23" s="21" t="s">
        <v>20</v>
      </c>
      <c r="B23" s="17" t="s">
        <v>163</v>
      </c>
      <c r="C23" t="s">
        <v>20</v>
      </c>
      <c r="D23" s="50">
        <f>SUM(D12:D22)</f>
        <v>83174</v>
      </c>
      <c r="E23" s="51">
        <v>11.8</v>
      </c>
      <c r="F23" s="49">
        <f>0</f>
        <v>0</v>
      </c>
      <c r="G23" s="52">
        <f>D23-$D$11</f>
        <v>8750</v>
      </c>
      <c r="H23" s="49">
        <f>0</f>
        <v>0</v>
      </c>
      <c r="I23" s="49">
        <f>0</f>
        <v>0</v>
      </c>
      <c r="J23" s="49">
        <f>0</f>
        <v>0</v>
      </c>
      <c r="K23" s="49">
        <f>0</f>
        <v>0</v>
      </c>
      <c r="L23" s="49">
        <f>D23</f>
        <v>83174</v>
      </c>
      <c r="M23" s="49">
        <f>M22</f>
        <v>83174</v>
      </c>
      <c r="N23" s="49">
        <f>M23</f>
        <v>83174</v>
      </c>
      <c r="O23" s="49">
        <f>0</f>
        <v>0</v>
      </c>
      <c r="P23" s="49">
        <f>0</f>
        <v>0</v>
      </c>
      <c r="Q23" s="49">
        <f>0</f>
        <v>0</v>
      </c>
      <c r="R23" s="33">
        <f>IF(E23&gt;0,E23,NA())</f>
        <v>11.8</v>
      </c>
      <c r="S23" s="33" t="e">
        <f>IF(E23&lt;0,E23,NA())</f>
        <v>#N/A</v>
      </c>
      <c r="T23" s="34"/>
      <c r="U23" s="34"/>
      <c r="V23" s="34">
        <f>H23/$T$11</f>
        <v>0</v>
      </c>
      <c r="W23" s="17" t="str">
        <f>IF(ISNA(H23),"",TEXT(H23,"#,##0"))</f>
        <v>0</v>
      </c>
      <c r="X23" s="34">
        <f>I23/$T$11</f>
        <v>0</v>
      </c>
      <c r="Y23" s="34">
        <f>J23/$T$11</f>
        <v>0</v>
      </c>
      <c r="Z23" s="17" t="str">
        <f>IF(ISNA(J23),"",TEXT(J23,"#,##0"))</f>
        <v>0</v>
      </c>
      <c r="AA23" s="34">
        <f>K23/$T$11</f>
        <v>0</v>
      </c>
      <c r="AB23" s="17" t="str">
        <f>IF(ISNA(K23),"",TEXT(K23,"#,##0"))</f>
        <v>0</v>
      </c>
      <c r="AC23" s="34">
        <f>L23/$T$11</f>
        <v>1</v>
      </c>
      <c r="AD23" s="17" t="str">
        <f>IF(ISNA(L23),"",TEXT(L23,"#,##0"))</f>
        <v>83,174</v>
      </c>
      <c r="AE23" s="34">
        <f>O23/$T$11</f>
        <v>0</v>
      </c>
      <c r="AF23" s="34">
        <f>P23/$T$11</f>
        <v>0</v>
      </c>
      <c r="AG23" s="17" t="str">
        <f>IF(ISNA(P23),"",TEXT(P23,"+#,##0"))</f>
        <v>+0</v>
      </c>
      <c r="AH23" s="34">
        <f>Q23/$T$11</f>
        <v>0</v>
      </c>
      <c r="AI23" s="17" t="str">
        <f>IF(ISNA(Q23),"",TEXT(Q23,"""-""#,##0"))</f>
        <v>-0</v>
      </c>
      <c r="AJ23" s="34">
        <f>E23/$U$11</f>
        <v>0.41716025641025639</v>
      </c>
      <c r="AK23" s="17" t="str">
        <f>IF(ISNA(E23),"",TEXT(E23,"+0;-0"))</f>
        <v>+12</v>
      </c>
      <c r="AL23" s="34">
        <f>R23/$U$11</f>
        <v>0.41716025641025639</v>
      </c>
      <c r="AM23" s="34" t="e">
        <f>S23/$U$11</f>
        <v>#N/A</v>
      </c>
    </row>
    <row r="24" spans="1:39" x14ac:dyDescent="0.35">
      <c r="A24" s="21" t="s">
        <v>82</v>
      </c>
      <c r="B24" s="17" t="s">
        <v>167</v>
      </c>
      <c r="D24" s="46"/>
      <c r="E24" s="51">
        <v>11.8</v>
      </c>
      <c r="F24" s="49">
        <f>0</f>
        <v>0</v>
      </c>
      <c r="G24" s="52">
        <f>$D$23-$D$11</f>
        <v>8750</v>
      </c>
      <c r="H24" s="49">
        <f>0</f>
        <v>0</v>
      </c>
      <c r="I24" s="49">
        <f>0</f>
        <v>0</v>
      </c>
      <c r="J24" s="49">
        <f>0</f>
        <v>0</v>
      </c>
      <c r="K24" s="49">
        <f>0</f>
        <v>0</v>
      </c>
      <c r="L24" s="49">
        <f>0</f>
        <v>0</v>
      </c>
      <c r="M24" s="49">
        <f>$D$23</f>
        <v>83174</v>
      </c>
      <c r="N24" s="49">
        <f>$D$11</f>
        <v>74424</v>
      </c>
      <c r="O24" s="49">
        <f>MIN($D$11,$D$23)</f>
        <v>74424</v>
      </c>
      <c r="P24" s="49">
        <f>IF(G24&gt;0,G24,0)</f>
        <v>8750</v>
      </c>
      <c r="Q24" s="49">
        <f>IF(G24&lt;0,-G24,0)</f>
        <v>0</v>
      </c>
      <c r="R24" s="33" t="e">
        <f>NA()</f>
        <v>#N/A</v>
      </c>
      <c r="S24" s="33" t="e">
        <f>NA()</f>
        <v>#N/A</v>
      </c>
      <c r="T24" s="34"/>
      <c r="U24" s="34"/>
      <c r="V24" s="34">
        <f>H24/$T$11</f>
        <v>0</v>
      </c>
      <c r="W24" s="17" t="str">
        <f>IF(ISNA(H24),"",TEXT(H24,"#,##0"))</f>
        <v>0</v>
      </c>
      <c r="X24" s="34">
        <f>I24/$T$11</f>
        <v>0</v>
      </c>
      <c r="Y24" s="34">
        <f>J24/$T$11</f>
        <v>0</v>
      </c>
      <c r="Z24" s="17" t="str">
        <f>IF(ISNA(J24),"",TEXT(J24,"#,##0"))</f>
        <v>0</v>
      </c>
      <c r="AA24" s="34">
        <f>K24/$T$11</f>
        <v>0</v>
      </c>
      <c r="AB24" s="17" t="str">
        <f>IF(ISNA(K24),"",TEXT(K24,"#,##0"))</f>
        <v>0</v>
      </c>
      <c r="AC24" s="34">
        <f>L24/$T$11</f>
        <v>0</v>
      </c>
      <c r="AD24" s="17" t="str">
        <f>IF(ISNA(L24),"",TEXT(L24,"#,##0"))</f>
        <v>0</v>
      </c>
      <c r="AE24" s="34">
        <f>O24/$T$11</f>
        <v>0.89479885541154691</v>
      </c>
      <c r="AF24" s="34">
        <f>P24/$T$11</f>
        <v>0.10520114458845312</v>
      </c>
      <c r="AG24" s="17" t="str">
        <f>IF(ISNA(P24),"",TEXT(P24,"+#,##0"))</f>
        <v>+8,750</v>
      </c>
      <c r="AH24" s="34">
        <f>Q24/$T$11</f>
        <v>0</v>
      </c>
      <c r="AI24" s="17" t="str">
        <f>IF(ISNA(Q24),"",TEXT(Q24,"""-""#,##0"))</f>
        <v>-0</v>
      </c>
      <c r="AJ24" s="34">
        <f>E24/$U$11</f>
        <v>0.41716025641025639</v>
      </c>
      <c r="AK24" s="17" t="str">
        <f>IF(ISNA(E24),"",TEXT(E24,"+0;-0"))</f>
        <v>+12</v>
      </c>
      <c r="AL24" s="34" t="e">
        <f>R24/$U$11</f>
        <v>#N/A</v>
      </c>
      <c r="AM24" s="34" t="e">
        <f>S24/$U$11</f>
        <v>#N/A</v>
      </c>
    </row>
    <row r="25" spans="1:39" x14ac:dyDescent="0.35">
      <c r="A25" s="21"/>
      <c r="B25" s="17"/>
      <c r="D25" s="44"/>
      <c r="E25" s="51"/>
      <c r="F25" s="49"/>
      <c r="G25" s="52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33"/>
      <c r="S25" s="33"/>
      <c r="T25" s="34"/>
      <c r="U25" s="34"/>
      <c r="V25" s="34"/>
      <c r="W25" s="17"/>
      <c r="X25" s="34"/>
      <c r="Y25" s="34"/>
      <c r="Z25" s="17"/>
      <c r="AA25" s="34"/>
      <c r="AB25" s="17"/>
      <c r="AC25" s="34"/>
      <c r="AD25" s="17"/>
      <c r="AE25" s="34"/>
      <c r="AF25" s="34"/>
      <c r="AG25" s="17"/>
      <c r="AH25" s="34"/>
      <c r="AI25" s="17"/>
      <c r="AJ25" s="34"/>
      <c r="AK25" s="17"/>
      <c r="AL25" s="34"/>
      <c r="AM25" s="34"/>
    </row>
    <row r="26" spans="1:39" x14ac:dyDescent="0.35">
      <c r="A26" s="21"/>
      <c r="B26" s="17"/>
      <c r="D26" s="44"/>
      <c r="E26" s="51"/>
      <c r="F26" s="49"/>
      <c r="G26" s="52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33"/>
      <c r="S26" s="33"/>
      <c r="T26" s="34"/>
      <c r="U26" s="34"/>
      <c r="V26" s="34"/>
      <c r="W26" s="17"/>
      <c r="X26" s="34"/>
      <c r="Y26" s="34"/>
      <c r="Z26" s="17"/>
      <c r="AA26" s="34"/>
      <c r="AB26" s="17"/>
      <c r="AC26" s="34"/>
      <c r="AD26" s="17"/>
      <c r="AE26" s="34"/>
      <c r="AF26" s="34"/>
      <c r="AG26" s="17"/>
      <c r="AH26" s="34"/>
      <c r="AI26" s="17"/>
      <c r="AJ26" s="34"/>
      <c r="AK26" s="17"/>
      <c r="AL26" s="34"/>
      <c r="AM26" s="34"/>
    </row>
    <row r="27" spans="1:39" x14ac:dyDescent="0.35">
      <c r="A27" s="21"/>
      <c r="B27" s="17"/>
      <c r="D27" s="44"/>
      <c r="E27" s="51"/>
      <c r="F27" s="49"/>
      <c r="G27" s="52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33"/>
      <c r="S27" s="33"/>
      <c r="T27" s="34"/>
      <c r="U27" s="34"/>
      <c r="V27" s="34"/>
      <c r="W27" s="17"/>
      <c r="X27" s="34"/>
      <c r="Y27" s="34"/>
      <c r="Z27" s="17"/>
      <c r="AA27" s="34"/>
      <c r="AB27" s="17"/>
      <c r="AC27" s="34"/>
      <c r="AD27" s="17"/>
      <c r="AE27" s="34"/>
      <c r="AF27" s="34"/>
      <c r="AG27" s="17"/>
      <c r="AH27" s="34"/>
      <c r="AI27" s="17"/>
      <c r="AJ27" s="34"/>
      <c r="AK27" s="17"/>
      <c r="AL27" s="34"/>
      <c r="AM27" s="34"/>
    </row>
    <row r="28" spans="1:39" x14ac:dyDescent="0.35">
      <c r="A28" s="21"/>
      <c r="B28" s="17"/>
      <c r="D28" s="44"/>
      <c r="E28" s="51"/>
      <c r="F28" s="49"/>
      <c r="G28" s="52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33"/>
      <c r="S28" s="33"/>
      <c r="T28" s="34"/>
      <c r="U28" s="34"/>
      <c r="V28" s="34"/>
      <c r="W28" s="17"/>
      <c r="X28" s="34"/>
      <c r="Y28" s="34"/>
      <c r="Z28" s="17"/>
      <c r="AA28" s="34"/>
      <c r="AB28" s="17"/>
      <c r="AC28" s="34"/>
      <c r="AD28" s="17"/>
      <c r="AE28" s="34"/>
      <c r="AF28" s="34"/>
      <c r="AG28" s="17"/>
      <c r="AH28" s="34"/>
      <c r="AI28" s="17"/>
      <c r="AJ28" s="34"/>
      <c r="AK28" s="17"/>
      <c r="AL28" s="34"/>
      <c r="AM28" s="34"/>
    </row>
    <row r="29" spans="1:39" x14ac:dyDescent="0.35">
      <c r="A29" s="21"/>
      <c r="B29" s="17"/>
      <c r="D29" s="44"/>
      <c r="E29" s="51"/>
      <c r="F29" s="49"/>
      <c r="G29" s="52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33"/>
      <c r="S29" s="33"/>
      <c r="T29" s="34"/>
      <c r="U29" s="34"/>
      <c r="V29" s="34"/>
      <c r="W29" s="17"/>
      <c r="X29" s="34"/>
      <c r="Y29" s="34"/>
      <c r="Z29" s="17"/>
      <c r="AA29" s="34"/>
      <c r="AB29" s="17"/>
      <c r="AC29" s="34"/>
      <c r="AD29" s="17"/>
      <c r="AE29" s="34"/>
      <c r="AF29" s="34"/>
      <c r="AG29" s="17"/>
      <c r="AH29" s="34"/>
      <c r="AI29" s="17"/>
      <c r="AJ29" s="34"/>
      <c r="AK29" s="17"/>
      <c r="AL29" s="34"/>
      <c r="AM29" s="34"/>
    </row>
    <row r="30" spans="1:39" x14ac:dyDescent="0.35">
      <c r="A30" s="21"/>
      <c r="B30" s="17"/>
      <c r="D30" s="44"/>
      <c r="E30" s="51"/>
      <c r="F30" s="49"/>
      <c r="G30" s="52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33"/>
      <c r="S30" s="33"/>
      <c r="T30" s="34"/>
      <c r="U30" s="34"/>
      <c r="V30" s="34"/>
      <c r="W30" s="17"/>
      <c r="X30" s="34"/>
      <c r="Y30" s="34"/>
      <c r="Z30" s="17"/>
      <c r="AA30" s="34"/>
      <c r="AB30" s="17"/>
      <c r="AC30" s="34"/>
      <c r="AD30" s="17"/>
      <c r="AE30" s="34"/>
      <c r="AF30" s="34"/>
      <c r="AG30" s="17"/>
      <c r="AH30" s="34"/>
      <c r="AI30" s="17"/>
      <c r="AJ30" s="34"/>
      <c r="AK30" s="17"/>
      <c r="AL30" s="34"/>
      <c r="AM30" s="34"/>
    </row>
  </sheetData>
  <mergeCells count="7">
    <mergeCell ref="B7:AM7"/>
    <mergeCell ref="B1:AM1"/>
    <mergeCell ref="B2:AM2"/>
    <mergeCell ref="B3:AM3"/>
    <mergeCell ref="B4:AM4"/>
    <mergeCell ref="B5:AM5"/>
    <mergeCell ref="B6:AM6"/>
  </mergeCells>
  <printOptions horizontalCentered="1" verticalCentered="1"/>
  <pageMargins left="0.25" right="0.25" top="0.25" bottom="0.25" header="0.125" footer="0.125"/>
  <pageSetup scale="95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7D23-61DB-4288-B888-A1F91B4F175D}">
  <sheetPr>
    <pageSetUpPr fitToPage="1"/>
  </sheetPr>
  <dimension ref="A1:AU30"/>
  <sheetViews>
    <sheetView showGridLines="0" workbookViewId="0"/>
  </sheetViews>
  <sheetFormatPr defaultRowHeight="14.5" x14ac:dyDescent="0.35"/>
  <cols>
    <col min="1" max="1" width="22.6328125" customWidth="1"/>
    <col min="2" max="2" width="5.6328125" customWidth="1"/>
    <col min="3" max="5" width="8.6328125" customWidth="1"/>
    <col min="6" max="6" width="9.1796875" customWidth="1"/>
    <col min="7" max="16" width="8.6328125" customWidth="1"/>
    <col min="17" max="24" width="7.6328125" customWidth="1"/>
    <col min="25" max="41" width="8.6328125" hidden="1" customWidth="1"/>
    <col min="42" max="46" width="7.6328125" hidden="1" customWidth="1"/>
    <col min="47" max="47" width="8.6328125" hidden="1" customWidth="1"/>
  </cols>
  <sheetData>
    <row r="1" spans="1:47" ht="15" customHeight="1" x14ac:dyDescent="0.35">
      <c r="A1" s="27" t="s">
        <v>49</v>
      </c>
      <c r="B1" s="19" t="s">
        <v>50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</row>
    <row r="2" spans="1:47" ht="15" customHeight="1" x14ac:dyDescent="0.35">
      <c r="A2" s="27" t="s">
        <v>51</v>
      </c>
      <c r="B2" s="19" t="s">
        <v>196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t="15" customHeight="1" x14ac:dyDescent="0.35">
      <c r="A3" s="27" t="s">
        <v>53</v>
      </c>
      <c r="B3" s="19" t="s">
        <v>54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</row>
    <row r="4" spans="1:47" ht="15" customHeight="1" x14ac:dyDescent="0.35">
      <c r="A4" s="27" t="s">
        <v>55</v>
      </c>
      <c r="B4" s="19" t="s">
        <v>197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</row>
    <row r="5" spans="1:47" ht="15" customHeight="1" x14ac:dyDescent="0.35">
      <c r="A5" s="27" t="s">
        <v>57</v>
      </c>
      <c r="B5" s="19" t="s">
        <v>27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</row>
    <row r="6" spans="1:47" ht="16.75" customHeight="1" x14ac:dyDescent="0.35">
      <c r="A6" s="27" t="s">
        <v>58</v>
      </c>
      <c r="B6" s="29" t="s">
        <v>198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</row>
    <row r="7" spans="1:47" ht="15" customHeight="1" x14ac:dyDescent="0.35">
      <c r="A7" s="27" t="s">
        <v>60</v>
      </c>
      <c r="B7" s="28" t="str">
        <f>B2&amp;" in "&amp;B3</f>
        <v>Profit and loss statement in $m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</row>
    <row r="8" spans="1:47" ht="15" customHeight="1" x14ac:dyDescent="0.35"/>
    <row r="9" spans="1:47" ht="15" customHeight="1" x14ac:dyDescent="0.35"/>
    <row r="10" spans="1:47" ht="28" customHeight="1" x14ac:dyDescent="0.35">
      <c r="A10" s="7" t="s">
        <v>172</v>
      </c>
      <c r="B10" s="7" t="s">
        <v>199</v>
      </c>
      <c r="C10" s="7" t="s">
        <v>27</v>
      </c>
      <c r="D10" s="7" t="s">
        <v>20</v>
      </c>
      <c r="E10" s="7" t="s">
        <v>82</v>
      </c>
      <c r="F10" s="7" t="s">
        <v>83</v>
      </c>
      <c r="G10" s="7" t="s">
        <v>200</v>
      </c>
      <c r="H10" s="7" t="s">
        <v>201</v>
      </c>
      <c r="I10" s="7" t="s">
        <v>202</v>
      </c>
      <c r="J10" s="7" t="s">
        <v>203</v>
      </c>
      <c r="K10" s="7" t="s">
        <v>204</v>
      </c>
      <c r="L10" s="7" t="s">
        <v>205</v>
      </c>
      <c r="M10" s="7" t="s">
        <v>206</v>
      </c>
      <c r="N10" s="7" t="s">
        <v>207</v>
      </c>
      <c r="O10" s="7" t="s">
        <v>208</v>
      </c>
      <c r="P10" s="7" t="s">
        <v>209</v>
      </c>
      <c r="Q10" s="7" t="s">
        <v>210</v>
      </c>
      <c r="R10" s="7" t="s">
        <v>211</v>
      </c>
      <c r="S10" s="7" t="s">
        <v>212</v>
      </c>
      <c r="T10" s="7" t="s">
        <v>213</v>
      </c>
      <c r="U10" s="7" t="s">
        <v>214</v>
      </c>
      <c r="V10" s="7" t="s">
        <v>215</v>
      </c>
      <c r="W10" s="7" t="s">
        <v>216</v>
      </c>
      <c r="X10" s="7" t="s">
        <v>217</v>
      </c>
      <c r="Y10" s="7" t="s">
        <v>92</v>
      </c>
      <c r="Z10" s="7" t="s">
        <v>218</v>
      </c>
      <c r="AA10" s="7" t="s">
        <v>219</v>
      </c>
      <c r="AB10" s="7" t="s">
        <v>220</v>
      </c>
      <c r="AC10" s="7" t="s">
        <v>221</v>
      </c>
      <c r="AD10" s="7" t="s">
        <v>222</v>
      </c>
      <c r="AE10" s="7" t="s">
        <v>223</v>
      </c>
      <c r="AF10" s="7" t="s">
        <v>224</v>
      </c>
      <c r="AG10" s="7" t="s">
        <v>225</v>
      </c>
      <c r="AH10" s="7" t="s">
        <v>226</v>
      </c>
      <c r="AI10" s="7" t="s">
        <v>227</v>
      </c>
      <c r="AJ10" s="7" t="s">
        <v>97</v>
      </c>
      <c r="AK10" s="7" t="s">
        <v>98</v>
      </c>
      <c r="AL10" s="7" t="s">
        <v>228</v>
      </c>
      <c r="AM10" s="7" t="s">
        <v>229</v>
      </c>
      <c r="AN10" s="7" t="s">
        <v>230</v>
      </c>
      <c r="AO10" s="7" t="s">
        <v>231</v>
      </c>
      <c r="AP10" s="7" t="s">
        <v>232</v>
      </c>
      <c r="AQ10" s="7" t="s">
        <v>233</v>
      </c>
      <c r="AR10" s="7" t="s">
        <v>234</v>
      </c>
      <c r="AS10" s="7" t="s">
        <v>235</v>
      </c>
      <c r="AT10" s="7" t="s">
        <v>236</v>
      </c>
      <c r="AU10" s="7" t="s">
        <v>237</v>
      </c>
    </row>
    <row r="11" spans="1:47" x14ac:dyDescent="0.35">
      <c r="A11" s="21" t="s">
        <v>238</v>
      </c>
      <c r="B11" s="38">
        <v>1</v>
      </c>
      <c r="C11" s="46">
        <v>49241</v>
      </c>
      <c r="D11" s="46">
        <v>58665</v>
      </c>
      <c r="E11" s="52">
        <f>D11-C11</f>
        <v>9424</v>
      </c>
      <c r="F11" s="33">
        <f>IF(C11&lt;=0,NA(),(D11-C11)/C11*100)</f>
        <v>19.138522775735666</v>
      </c>
      <c r="G11" s="49">
        <f>0+B11*C11</f>
        <v>49241</v>
      </c>
      <c r="H11" s="49">
        <f>0</f>
        <v>0</v>
      </c>
      <c r="I11" s="49">
        <f>MIN(H11,G11)</f>
        <v>0</v>
      </c>
      <c r="J11" s="49">
        <f>IF(B11&gt;0,ABS(G11-H11),0)</f>
        <v>49241</v>
      </c>
      <c r="K11" s="49">
        <f>IF(B11&lt;0,ABS(G11-H11),0)</f>
        <v>0</v>
      </c>
      <c r="L11" s="49">
        <f>0+B11*D11</f>
        <v>58665</v>
      </c>
      <c r="M11" s="49">
        <f>0</f>
        <v>0</v>
      </c>
      <c r="N11" s="49">
        <f>MIN(M11,L11)</f>
        <v>0</v>
      </c>
      <c r="O11" s="49">
        <f>IF(B11&gt;0,ABS(L11-M11),0)</f>
        <v>58665</v>
      </c>
      <c r="P11" s="49">
        <f>IF(B11&lt;0,ABS(L11-M11),0)</f>
        <v>0</v>
      </c>
      <c r="Q11" s="52">
        <f>IF(AND($E11&gt;0,$B11&gt;0),$E11,NA())</f>
        <v>9424</v>
      </c>
      <c r="R11" s="52" t="e">
        <f>IF(AND($E11&gt;0,$B11&lt;0),$E11,NA())</f>
        <v>#N/A</v>
      </c>
      <c r="S11" s="52" t="e">
        <f>IF(AND($E11&lt;0,$B11&lt;0),$E11,NA())</f>
        <v>#N/A</v>
      </c>
      <c r="T11" s="52" t="e">
        <f>IF(AND($E11&lt;0,$B11&gt;0),$E11,NA())</f>
        <v>#N/A</v>
      </c>
      <c r="U11" s="33">
        <f>IF(AND($F11&gt;0,$B11&gt;0),$F11,NA())</f>
        <v>19.138522775735666</v>
      </c>
      <c r="V11" s="33" t="e">
        <f>IF(AND($F11&gt;0,$B11&lt;0),$F11,NA())</f>
        <v>#N/A</v>
      </c>
      <c r="W11" s="33" t="e">
        <f>IF(AND($F11&lt;0,$B11&lt;0),$F11,NA())</f>
        <v>#N/A</v>
      </c>
      <c r="X11" s="33" t="e">
        <f>IF(AND($F11&lt;0,$B11&gt;0),$F11,NA())</f>
        <v>#N/A</v>
      </c>
      <c r="Y11" s="34">
        <f>MAX(_xlfn.AGGREGATE(4,6,I11:I30,J11:J30,K11:K30,N11:N30,O11:O30,P11:P30,E11:E30,Q11:Q30,R11:R30,S11:S30,T11:T30),-_xlfn.AGGREGATE(5,6,I11:I30,J11:J30,K11:K30,N11:N30,O11:O30,P11:P30,E11:E30,Q11:Q30,R11:R30,S11:S30,T11:T30),0.000000001)</f>
        <v>62109</v>
      </c>
      <c r="Z11" s="34">
        <f>I11/$Y$11</f>
        <v>0</v>
      </c>
      <c r="AA11" s="34">
        <f>J11/$Y$11</f>
        <v>0.7928158559951054</v>
      </c>
      <c r="AB11" s="17" t="str">
        <f>IF(ISNA(J11),"",TEXT(J11,"#,##0"))</f>
        <v>49,241</v>
      </c>
      <c r="AC11" s="34">
        <f>K11/$Y$11</f>
        <v>0</v>
      </c>
      <c r="AD11" s="17" t="str">
        <f>IF(ISNA(K11),"",TEXT(K11,"#,##0"))</f>
        <v>0</v>
      </c>
      <c r="AE11" s="34">
        <f>N11/$Y$11</f>
        <v>0</v>
      </c>
      <c r="AF11" s="34">
        <f>O11/$Y$11</f>
        <v>0.94454909916437235</v>
      </c>
      <c r="AG11" s="17" t="str">
        <f>IF(ISNA(O11),"",TEXT(O11,"#,##0"))</f>
        <v>58,665</v>
      </c>
      <c r="AH11" s="34">
        <f>P11/$Y$11</f>
        <v>0</v>
      </c>
      <c r="AI11" s="17" t="str">
        <f>IF(ISNA(P11),"",TEXT(P11,"#,##0"))</f>
        <v>0</v>
      </c>
      <c r="AJ11" s="34">
        <f>E11/$Y$11</f>
        <v>0.15173324316926692</v>
      </c>
      <c r="AK11" s="17" t="str">
        <f>IF(ISNA(E11),"",TEXT(E11,"+0;-0"))</f>
        <v>+9424</v>
      </c>
      <c r="AL11" s="34">
        <f>Q11/$Y$11</f>
        <v>0.15173324316926692</v>
      </c>
      <c r="AM11" s="34" t="e">
        <f>R11/$Y$11</f>
        <v>#N/A</v>
      </c>
      <c r="AN11" s="34" t="e">
        <f>S11/$Y$11</f>
        <v>#N/A</v>
      </c>
      <c r="AO11" s="34" t="e">
        <f>T11/$Y$11</f>
        <v>#N/A</v>
      </c>
      <c r="AP11" s="17">
        <f>IF(ISNA(F11),NA(),MEDIAN(-31.5,F11,238.5))</f>
        <v>19.138522775735666</v>
      </c>
      <c r="AQ11" s="17">
        <f>IF(ISNA(U11),NA(),MEDIAN(-31.5,U11,238.5))</f>
        <v>19.138522775735666</v>
      </c>
      <c r="AR11" s="17" t="e">
        <f>IF(ISNA(V11),NA(),MEDIAN(-31.5,V11,238.5))</f>
        <v>#N/A</v>
      </c>
      <c r="AS11" s="17" t="e">
        <f>IF(ISNA(W11),NA(),MEDIAN(-31.5,W11,238.5))</f>
        <v>#N/A</v>
      </c>
      <c r="AT11" s="17" t="e">
        <f>IF(ISNA(X11),NA(),MEDIAN(-31.5,X11,238.5))</f>
        <v>#N/A</v>
      </c>
      <c r="AU11" s="17" t="str">
        <f>IF(ISNA(F11),"",IF(F11&gt;265,TEXT(F11,"+0;-0")&amp;REPT(_xlfn.UNICHAR(9658),MIN(3,MAX(1,INT(F11/265)))),IF(F11&lt;-35,REPT(_xlfn.UNICHAR(9668),MIN(3,MAX(1,INT(-F11/35))))&amp;TEXT(F11,"+0;-0"),TEXT(F11,"+0;-0"))))</f>
        <v>+19</v>
      </c>
    </row>
    <row r="12" spans="1:47" x14ac:dyDescent="0.35">
      <c r="A12" s="21" t="s">
        <v>239</v>
      </c>
      <c r="B12" s="38">
        <v>1</v>
      </c>
      <c r="C12" s="46">
        <v>1236</v>
      </c>
      <c r="D12" s="46">
        <v>1866</v>
      </c>
      <c r="E12" s="52">
        <f>D12-C12</f>
        <v>630</v>
      </c>
      <c r="F12" s="33">
        <f>IF(C12&lt;=0,NA(),(D12-C12)/C12*100)</f>
        <v>50.970873786407765</v>
      </c>
      <c r="G12" s="49">
        <f>G11+B12*C12</f>
        <v>50477</v>
      </c>
      <c r="H12" s="49">
        <f>G11</f>
        <v>49241</v>
      </c>
      <c r="I12" s="49">
        <f>MIN(H12,G12)</f>
        <v>49241</v>
      </c>
      <c r="J12" s="49">
        <f>IF(B12&gt;0,ABS(G12-H12),0)</f>
        <v>1236</v>
      </c>
      <c r="K12" s="49">
        <f>IF(B12&lt;0,ABS(G12-H12),0)</f>
        <v>0</v>
      </c>
      <c r="L12" s="49">
        <f>L11+B12*D12</f>
        <v>60531</v>
      </c>
      <c r="M12" s="49">
        <f>L11</f>
        <v>58665</v>
      </c>
      <c r="N12" s="49">
        <f>MIN(M12,L12)</f>
        <v>58665</v>
      </c>
      <c r="O12" s="49">
        <f>IF(B12&gt;0,ABS(L12-M12),0)</f>
        <v>1866</v>
      </c>
      <c r="P12" s="49">
        <f>IF(B12&lt;0,ABS(L12-M12),0)</f>
        <v>0</v>
      </c>
      <c r="Q12" s="52">
        <f>IF(AND($E12&gt;0,$B12&gt;0),$E12,NA())</f>
        <v>630</v>
      </c>
      <c r="R12" s="52" t="e">
        <f>IF(AND($E12&gt;0,$B12&lt;0),$E12,NA())</f>
        <v>#N/A</v>
      </c>
      <c r="S12" s="52" t="e">
        <f>IF(AND($E12&lt;0,$B12&lt;0),$E12,NA())</f>
        <v>#N/A</v>
      </c>
      <c r="T12" s="52" t="e">
        <f>IF(AND($E12&lt;0,$B12&gt;0),$E12,NA())</f>
        <v>#N/A</v>
      </c>
      <c r="U12" s="33">
        <f>IF(AND($F12&gt;0,$B12&gt;0),$F12,NA())</f>
        <v>50.970873786407765</v>
      </c>
      <c r="V12" s="33" t="e">
        <f>IF(AND($F12&gt;0,$B12&lt;0),$F12,NA())</f>
        <v>#N/A</v>
      </c>
      <c r="W12" s="33" t="e">
        <f>IF(AND($F12&lt;0,$B12&lt;0),$F12,NA())</f>
        <v>#N/A</v>
      </c>
      <c r="X12" s="33" t="e">
        <f>IF(AND($F12&lt;0,$B12&gt;0),$F12,NA())</f>
        <v>#N/A</v>
      </c>
      <c r="Y12" s="34"/>
      <c r="Z12" s="34">
        <f>I12/$Y$11</f>
        <v>0.7928158559951054</v>
      </c>
      <c r="AA12" s="34">
        <f>J12/$Y$11</f>
        <v>1.9900497512437811E-2</v>
      </c>
      <c r="AB12" s="17" t="str">
        <f>IF(ISNA(J12),"",TEXT(J12,"#,##0"))</f>
        <v>1,236</v>
      </c>
      <c r="AC12" s="34">
        <f>K12/$Y$11</f>
        <v>0</v>
      </c>
      <c r="AD12" s="17" t="str">
        <f>IF(ISNA(K12),"",TEXT(K12,"#,##0"))</f>
        <v>0</v>
      </c>
      <c r="AE12" s="34">
        <f>N12/$Y$11</f>
        <v>0.94454909916437235</v>
      </c>
      <c r="AF12" s="34">
        <f>O12/$Y$11</f>
        <v>3.0043954982369704E-2</v>
      </c>
      <c r="AG12" s="17" t="str">
        <f>IF(ISNA(O12),"",TEXT(O12,"#,##0"))</f>
        <v>1,866</v>
      </c>
      <c r="AH12" s="34">
        <f>P12/$Y$11</f>
        <v>0</v>
      </c>
      <c r="AI12" s="17" t="str">
        <f>IF(ISNA(P12),"",TEXT(P12,"#,##0"))</f>
        <v>0</v>
      </c>
      <c r="AJ12" s="34">
        <f>E12/$Y$11</f>
        <v>1.0143457469931894E-2</v>
      </c>
      <c r="AK12" s="17" t="str">
        <f>IF(ISNA(E12),"",TEXT(E12,"+0;-0"))</f>
        <v>+630</v>
      </c>
      <c r="AL12" s="34">
        <f>Q12/$Y$11</f>
        <v>1.0143457469931894E-2</v>
      </c>
      <c r="AM12" s="34" t="e">
        <f>R12/$Y$11</f>
        <v>#N/A</v>
      </c>
      <c r="AN12" s="34" t="e">
        <f>S12/$Y$11</f>
        <v>#N/A</v>
      </c>
      <c r="AO12" s="34" t="e">
        <f>T12/$Y$11</f>
        <v>#N/A</v>
      </c>
      <c r="AP12" s="17">
        <f>IF(ISNA(F12),NA(),MEDIAN(-31.5,F12,238.5))</f>
        <v>50.970873786407765</v>
      </c>
      <c r="AQ12" s="17">
        <f>IF(ISNA(U12),NA(),MEDIAN(-31.5,U12,238.5))</f>
        <v>50.970873786407765</v>
      </c>
      <c r="AR12" s="17" t="e">
        <f>IF(ISNA(V12),NA(),MEDIAN(-31.5,V12,238.5))</f>
        <v>#N/A</v>
      </c>
      <c r="AS12" s="17" t="e">
        <f>IF(ISNA(W12),NA(),MEDIAN(-31.5,W12,238.5))</f>
        <v>#N/A</v>
      </c>
      <c r="AT12" s="17" t="e">
        <f>IF(ISNA(X12),NA(),MEDIAN(-31.5,X12,238.5))</f>
        <v>#N/A</v>
      </c>
      <c r="AU12" s="17" t="str">
        <f>IF(ISNA(F12),"",IF(F12&gt;265,TEXT(F12,"+0;-0")&amp;REPT(_xlfn.UNICHAR(9658),MIN(3,MAX(1,INT(F12/265)))),IF(F12&lt;-35,REPT(_xlfn.UNICHAR(9668),MIN(3,MAX(1,INT(-F12/35))))&amp;TEXT(F12,"+0;-0"),TEXT(F12,"+0;-0"))))</f>
        <v>+51</v>
      </c>
    </row>
    <row r="13" spans="1:47" x14ac:dyDescent="0.35">
      <c r="A13" s="21" t="s">
        <v>240</v>
      </c>
      <c r="B13" s="38">
        <v>1</v>
      </c>
      <c r="C13" s="46">
        <v>-866</v>
      </c>
      <c r="D13" s="46">
        <v>1578</v>
      </c>
      <c r="E13" s="52">
        <f>D13-C13</f>
        <v>2444</v>
      </c>
      <c r="F13" s="33" t="e">
        <f>IF(C13&lt;=0,NA(),(D13-C13)/C13*100)</f>
        <v>#N/A</v>
      </c>
      <c r="G13" s="49">
        <f>G12+B13*C13</f>
        <v>49611</v>
      </c>
      <c r="H13" s="49">
        <f>G12</f>
        <v>50477</v>
      </c>
      <c r="I13" s="49">
        <f>MIN(H13,G13)</f>
        <v>49611</v>
      </c>
      <c r="J13" s="49">
        <f>IF(B13&gt;0,ABS(G13-H13),0)</f>
        <v>866</v>
      </c>
      <c r="K13" s="49">
        <f>IF(B13&lt;0,ABS(G13-H13),0)</f>
        <v>0</v>
      </c>
      <c r="L13" s="49">
        <f>L12+B13*D13</f>
        <v>62109</v>
      </c>
      <c r="M13" s="49">
        <f>L12</f>
        <v>60531</v>
      </c>
      <c r="N13" s="49">
        <f>MIN(M13,L13)</f>
        <v>60531</v>
      </c>
      <c r="O13" s="49">
        <f>IF(B13&gt;0,ABS(L13-M13),0)</f>
        <v>1578</v>
      </c>
      <c r="P13" s="49">
        <f>IF(B13&lt;0,ABS(L13-M13),0)</f>
        <v>0</v>
      </c>
      <c r="Q13" s="52">
        <f>IF(AND($E13&gt;0,$B13&gt;0),$E13,NA())</f>
        <v>2444</v>
      </c>
      <c r="R13" s="52" t="e">
        <f>IF(AND($E13&gt;0,$B13&lt;0),$E13,NA())</f>
        <v>#N/A</v>
      </c>
      <c r="S13" s="52" t="e">
        <f>IF(AND($E13&lt;0,$B13&lt;0),$E13,NA())</f>
        <v>#N/A</v>
      </c>
      <c r="T13" s="52" t="e">
        <f>IF(AND($E13&lt;0,$B13&gt;0),$E13,NA())</f>
        <v>#N/A</v>
      </c>
      <c r="U13" s="33" t="e">
        <f>IF(AND($F13&gt;0,$B13&gt;0),$F13,NA())</f>
        <v>#N/A</v>
      </c>
      <c r="V13" s="33" t="e">
        <f>IF(AND($F13&gt;0,$B13&lt;0),$F13,NA())</f>
        <v>#N/A</v>
      </c>
      <c r="W13" s="33" t="e">
        <f>IF(AND($F13&lt;0,$B13&lt;0),$F13,NA())</f>
        <v>#N/A</v>
      </c>
      <c r="X13" s="33" t="e">
        <f>IF(AND($F13&lt;0,$B13&gt;0),$F13,NA())</f>
        <v>#N/A</v>
      </c>
      <c r="Y13" s="34"/>
      <c r="Z13" s="34">
        <f>I13/$Y$11</f>
        <v>0.7987731246679225</v>
      </c>
      <c r="AA13" s="34">
        <f>J13/$Y$11</f>
        <v>1.3943228839620667E-2</v>
      </c>
      <c r="AB13" s="17" t="str">
        <f>IF(ISNA(J13),"",TEXT(J13,"#,##0"))</f>
        <v>866</v>
      </c>
      <c r="AC13" s="34">
        <f>K13/$Y$11</f>
        <v>0</v>
      </c>
      <c r="AD13" s="17" t="str">
        <f>IF(ISNA(K13),"",TEXT(K13,"#,##0"))</f>
        <v>0</v>
      </c>
      <c r="AE13" s="34">
        <f>N13/$Y$11</f>
        <v>0.97459305414674202</v>
      </c>
      <c r="AF13" s="34">
        <f>O13/$Y$11</f>
        <v>2.5406945853257982E-2</v>
      </c>
      <c r="AG13" s="17" t="str">
        <f>IF(ISNA(O13),"",TEXT(O13,"#,##0"))</f>
        <v>1,578</v>
      </c>
      <c r="AH13" s="34">
        <f>P13/$Y$11</f>
        <v>0</v>
      </c>
      <c r="AI13" s="17" t="str">
        <f>IF(ISNA(P13),"",TEXT(P13,"#,##0"))</f>
        <v>0</v>
      </c>
      <c r="AJ13" s="34">
        <f>E13/$Y$11</f>
        <v>3.9350174692878652E-2</v>
      </c>
      <c r="AK13" s="17" t="str">
        <f>IF(ISNA(E13),"",TEXT(E13,"+0;-0"))</f>
        <v>+2444</v>
      </c>
      <c r="AL13" s="34">
        <f>Q13/$Y$11</f>
        <v>3.9350174692878652E-2</v>
      </c>
      <c r="AM13" s="34" t="e">
        <f>R13/$Y$11</f>
        <v>#N/A</v>
      </c>
      <c r="AN13" s="34" t="e">
        <f>S13/$Y$11</f>
        <v>#N/A</v>
      </c>
      <c r="AO13" s="34" t="e">
        <f>T13/$Y$11</f>
        <v>#N/A</v>
      </c>
      <c r="AP13" s="17" t="e">
        <f>IF(ISNA(F13),NA(),MEDIAN(-31.5,F13,238.5))</f>
        <v>#N/A</v>
      </c>
      <c r="AQ13" s="17" t="e">
        <f>IF(ISNA(U13),NA(),MEDIAN(-31.5,U13,238.5))</f>
        <v>#N/A</v>
      </c>
      <c r="AR13" s="17" t="e">
        <f>IF(ISNA(V13),NA(),MEDIAN(-31.5,V13,238.5))</f>
        <v>#N/A</v>
      </c>
      <c r="AS13" s="17" t="e">
        <f>IF(ISNA(W13),NA(),MEDIAN(-31.5,W13,238.5))</f>
        <v>#N/A</v>
      </c>
      <c r="AT13" s="17" t="e">
        <f>IF(ISNA(X13),NA(),MEDIAN(-31.5,X13,238.5))</f>
        <v>#N/A</v>
      </c>
      <c r="AU13" s="17" t="str">
        <f>IF(ISNA(F13),"",IF(F13&gt;265,TEXT(F13,"+0;-0")&amp;REPT(_xlfn.UNICHAR(9658),MIN(3,MAX(1,INT(F13/265)))),IF(F13&lt;-35,REPT(_xlfn.UNICHAR(9668),MIN(3,MAX(1,INT(-F13/35))))&amp;TEXT(F13,"+0;-0"),TEXT(F13,"+0;-0"))))</f>
        <v/>
      </c>
    </row>
    <row r="14" spans="1:47" x14ac:dyDescent="0.35">
      <c r="A14" s="21" t="s">
        <v>241</v>
      </c>
      <c r="B14" s="38">
        <v>1</v>
      </c>
      <c r="C14" s="50">
        <f>G13</f>
        <v>49611</v>
      </c>
      <c r="D14" s="50">
        <f>L13</f>
        <v>62109</v>
      </c>
      <c r="E14" s="52">
        <f>D14-C14</f>
        <v>12498</v>
      </c>
      <c r="F14" s="33">
        <f>IF(C14&lt;=0,NA(),(D14-C14)/C14*100)</f>
        <v>25.19199371107214</v>
      </c>
      <c r="G14" s="49">
        <f>G13</f>
        <v>49611</v>
      </c>
      <c r="H14" s="49">
        <f>0</f>
        <v>0</v>
      </c>
      <c r="I14" s="49">
        <f>MIN(H14,G14)</f>
        <v>0</v>
      </c>
      <c r="J14" s="49">
        <f>IF(B14&gt;0,ABS(G14-H14),0)</f>
        <v>49611</v>
      </c>
      <c r="K14" s="49">
        <f>IF(B14&lt;0,ABS(G14-H14),0)</f>
        <v>0</v>
      </c>
      <c r="L14" s="49">
        <f>L13</f>
        <v>62109</v>
      </c>
      <c r="M14" s="49">
        <f>0</f>
        <v>0</v>
      </c>
      <c r="N14" s="49">
        <f>MIN(M14,L14)</f>
        <v>0</v>
      </c>
      <c r="O14" s="49">
        <f>IF(B14&gt;0,ABS(L14-M14),0)</f>
        <v>62109</v>
      </c>
      <c r="P14" s="49">
        <f>IF(B14&lt;0,ABS(L14-M14),0)</f>
        <v>0</v>
      </c>
      <c r="Q14" s="52">
        <f>IF(AND($E14&gt;0,$B14&gt;0),$E14,NA())</f>
        <v>12498</v>
      </c>
      <c r="R14" s="52" t="e">
        <f>IF(AND($E14&gt;0,$B14&lt;0),$E14,NA())</f>
        <v>#N/A</v>
      </c>
      <c r="S14" s="52" t="e">
        <f>IF(AND($E14&lt;0,$B14&lt;0),$E14,NA())</f>
        <v>#N/A</v>
      </c>
      <c r="T14" s="52" t="e">
        <f>IF(AND($E14&lt;0,$B14&gt;0),$E14,NA())</f>
        <v>#N/A</v>
      </c>
      <c r="U14" s="33">
        <f>IF(AND($F14&gt;0,$B14&gt;0),$F14,NA())</f>
        <v>25.19199371107214</v>
      </c>
      <c r="V14" s="33" t="e">
        <f>IF(AND($F14&gt;0,$B14&lt;0),$F14,NA())</f>
        <v>#N/A</v>
      </c>
      <c r="W14" s="33" t="e">
        <f>IF(AND($F14&lt;0,$B14&lt;0),$F14,NA())</f>
        <v>#N/A</v>
      </c>
      <c r="X14" s="33" t="e">
        <f>IF(AND($F14&lt;0,$B14&gt;0),$F14,NA())</f>
        <v>#N/A</v>
      </c>
      <c r="Y14" s="34"/>
      <c r="Z14" s="34">
        <f>I14/$Y$11</f>
        <v>0</v>
      </c>
      <c r="AA14" s="34">
        <f>J14/$Y$11</f>
        <v>0.7987731246679225</v>
      </c>
      <c r="AB14" s="17" t="str">
        <f>IF(ISNA(J14),"",TEXT(J14,"#,##0"))</f>
        <v>49,611</v>
      </c>
      <c r="AC14" s="34">
        <f>K14/$Y$11</f>
        <v>0</v>
      </c>
      <c r="AD14" s="17" t="str">
        <f>IF(ISNA(K14),"",TEXT(K14,"#,##0"))</f>
        <v>0</v>
      </c>
      <c r="AE14" s="34">
        <f>N14/$Y$11</f>
        <v>0</v>
      </c>
      <c r="AF14" s="34">
        <f>O14/$Y$11</f>
        <v>1</v>
      </c>
      <c r="AG14" s="17" t="str">
        <f>IF(ISNA(O14),"",TEXT(O14,"#,##0"))</f>
        <v>62,109</v>
      </c>
      <c r="AH14" s="34">
        <f>P14/$Y$11</f>
        <v>0</v>
      </c>
      <c r="AI14" s="17" t="str">
        <f>IF(ISNA(P14),"",TEXT(P14,"#,##0"))</f>
        <v>0</v>
      </c>
      <c r="AJ14" s="34">
        <f>E14/$Y$11</f>
        <v>0.20122687533207748</v>
      </c>
      <c r="AK14" s="17" t="str">
        <f>IF(ISNA(E14),"",TEXT(E14,"+0;-0"))</f>
        <v>+12498</v>
      </c>
      <c r="AL14" s="34">
        <f>Q14/$Y$11</f>
        <v>0.20122687533207748</v>
      </c>
      <c r="AM14" s="34" t="e">
        <f>R14/$Y$11</f>
        <v>#N/A</v>
      </c>
      <c r="AN14" s="34" t="e">
        <f>S14/$Y$11</f>
        <v>#N/A</v>
      </c>
      <c r="AO14" s="34" t="e">
        <f>T14/$Y$11</f>
        <v>#N/A</v>
      </c>
      <c r="AP14" s="17">
        <f>IF(ISNA(F14),NA(),MEDIAN(-31.5,F14,238.5))</f>
        <v>25.19199371107214</v>
      </c>
      <c r="AQ14" s="17">
        <f>IF(ISNA(U14),NA(),MEDIAN(-31.5,U14,238.5))</f>
        <v>25.19199371107214</v>
      </c>
      <c r="AR14" s="17" t="e">
        <f>IF(ISNA(V14),NA(),MEDIAN(-31.5,V14,238.5))</f>
        <v>#N/A</v>
      </c>
      <c r="AS14" s="17" t="e">
        <f>IF(ISNA(W14),NA(),MEDIAN(-31.5,W14,238.5))</f>
        <v>#N/A</v>
      </c>
      <c r="AT14" s="17" t="e">
        <f>IF(ISNA(X14),NA(),MEDIAN(-31.5,X14,238.5))</f>
        <v>#N/A</v>
      </c>
      <c r="AU14" s="17" t="str">
        <f>IF(ISNA(F14),"",IF(F14&gt;265,TEXT(F14,"+0;-0")&amp;REPT(_xlfn.UNICHAR(9658),MIN(3,MAX(1,INT(F14/265)))),IF(F14&lt;-35,REPT(_xlfn.UNICHAR(9668),MIN(3,MAX(1,INT(-F14/35))))&amp;TEXT(F14,"+0;-0"),TEXT(F14,"+0;-0"))))</f>
        <v>+25</v>
      </c>
    </row>
    <row r="15" spans="1:47" x14ac:dyDescent="0.35">
      <c r="A15" s="21" t="s">
        <v>77</v>
      </c>
      <c r="B15" s="38">
        <v>-1</v>
      </c>
      <c r="C15" s="46">
        <v>38123</v>
      </c>
      <c r="D15" s="46">
        <v>45655</v>
      </c>
      <c r="E15" s="52">
        <f>D15-C15</f>
        <v>7532</v>
      </c>
      <c r="F15" s="33">
        <f>IF(C15&lt;=0,NA(),(D15-C15)/C15*100)</f>
        <v>19.757102011908824</v>
      </c>
      <c r="G15" s="49">
        <f>G14+B15*C15</f>
        <v>11488</v>
      </c>
      <c r="H15" s="49">
        <f>G14</f>
        <v>49611</v>
      </c>
      <c r="I15" s="49">
        <f>MIN(H15,G15)</f>
        <v>11488</v>
      </c>
      <c r="J15" s="49">
        <f>IF(B15&gt;0,ABS(G15-H15),0)</f>
        <v>0</v>
      </c>
      <c r="K15" s="49">
        <f>IF(B15&lt;0,ABS(G15-H15),0)</f>
        <v>38123</v>
      </c>
      <c r="L15" s="49">
        <f>L14+B15*D15</f>
        <v>16454</v>
      </c>
      <c r="M15" s="49">
        <f>L14</f>
        <v>62109</v>
      </c>
      <c r="N15" s="49">
        <f>MIN(M15,L15)</f>
        <v>16454</v>
      </c>
      <c r="O15" s="49">
        <f>IF(B15&gt;0,ABS(L15-M15),0)</f>
        <v>0</v>
      </c>
      <c r="P15" s="49">
        <f>IF(B15&lt;0,ABS(L15-M15),0)</f>
        <v>45655</v>
      </c>
      <c r="Q15" s="52" t="e">
        <f>IF(AND($E15&gt;0,$B15&gt;0),$E15,NA())</f>
        <v>#N/A</v>
      </c>
      <c r="R15" s="52">
        <f>IF(AND($E15&gt;0,$B15&lt;0),$E15,NA())</f>
        <v>7532</v>
      </c>
      <c r="S15" s="52" t="e">
        <f>IF(AND($E15&lt;0,$B15&lt;0),$E15,NA())</f>
        <v>#N/A</v>
      </c>
      <c r="T15" s="52" t="e">
        <f>IF(AND($E15&lt;0,$B15&gt;0),$E15,NA())</f>
        <v>#N/A</v>
      </c>
      <c r="U15" s="33" t="e">
        <f>IF(AND($F15&gt;0,$B15&gt;0),$F15,NA())</f>
        <v>#N/A</v>
      </c>
      <c r="V15" s="33">
        <f>IF(AND($F15&gt;0,$B15&lt;0),$F15,NA())</f>
        <v>19.757102011908824</v>
      </c>
      <c r="W15" s="33" t="e">
        <f>IF(AND($F15&lt;0,$B15&lt;0),$F15,NA())</f>
        <v>#N/A</v>
      </c>
      <c r="X15" s="33" t="e">
        <f>IF(AND($F15&lt;0,$B15&gt;0),$F15,NA())</f>
        <v>#N/A</v>
      </c>
      <c r="Y15" s="34"/>
      <c r="Z15" s="34">
        <f>I15/$Y$11</f>
        <v>0.18496514192790095</v>
      </c>
      <c r="AA15" s="34">
        <f>J15/$Y$11</f>
        <v>0</v>
      </c>
      <c r="AB15" s="17" t="str">
        <f>IF(ISNA(J15),"",TEXT(J15,"#,##0"))</f>
        <v>0</v>
      </c>
      <c r="AC15" s="34">
        <f>K15/$Y$11</f>
        <v>0.61380798274002157</v>
      </c>
      <c r="AD15" s="17" t="str">
        <f>IF(ISNA(K15),"",TEXT(K15,"#,##0"))</f>
        <v>38,123</v>
      </c>
      <c r="AE15" s="34">
        <f>N15/$Y$11</f>
        <v>0.26492134795279265</v>
      </c>
      <c r="AF15" s="34">
        <f>O15/$Y$11</f>
        <v>0</v>
      </c>
      <c r="AG15" s="17" t="str">
        <f>IF(ISNA(O15),"",TEXT(O15,"#,##0"))</f>
        <v>0</v>
      </c>
      <c r="AH15" s="34">
        <f>P15/$Y$11</f>
        <v>0.73507865204720735</v>
      </c>
      <c r="AI15" s="17" t="str">
        <f>IF(ISNA(P15),"",TEXT(P15,"#,##0"))</f>
        <v>45,655</v>
      </c>
      <c r="AJ15" s="34">
        <f>E15/$Y$11</f>
        <v>0.12127066930718576</v>
      </c>
      <c r="AK15" s="17" t="str">
        <f>IF(ISNA(E15),"",TEXT(E15,"+0;-0"))</f>
        <v>+7532</v>
      </c>
      <c r="AL15" s="34" t="e">
        <f>Q15/$Y$11</f>
        <v>#N/A</v>
      </c>
      <c r="AM15" s="34">
        <f>R15/$Y$11</f>
        <v>0.12127066930718576</v>
      </c>
      <c r="AN15" s="34" t="e">
        <f>S15/$Y$11</f>
        <v>#N/A</v>
      </c>
      <c r="AO15" s="34" t="e">
        <f>T15/$Y$11</f>
        <v>#N/A</v>
      </c>
      <c r="AP15" s="17">
        <f>IF(ISNA(F15),NA(),MEDIAN(-31.5,F15,238.5))</f>
        <v>19.757102011908824</v>
      </c>
      <c r="AQ15" s="17" t="e">
        <f>IF(ISNA(U15),NA(),MEDIAN(-31.5,U15,238.5))</f>
        <v>#N/A</v>
      </c>
      <c r="AR15" s="17">
        <f>IF(ISNA(V15),NA(),MEDIAN(-31.5,V15,238.5))</f>
        <v>19.757102011908824</v>
      </c>
      <c r="AS15" s="17" t="e">
        <f>IF(ISNA(W15),NA(),MEDIAN(-31.5,W15,238.5))</f>
        <v>#N/A</v>
      </c>
      <c r="AT15" s="17" t="e">
        <f>IF(ISNA(X15),NA(),MEDIAN(-31.5,X15,238.5))</f>
        <v>#N/A</v>
      </c>
      <c r="AU15" s="17" t="str">
        <f>IF(ISNA(F15),"",IF(F15&gt;265,TEXT(F15,"+0;-0")&amp;REPT(_xlfn.UNICHAR(9658),MIN(3,MAX(1,INT(F15/265)))),IF(F15&lt;-35,REPT(_xlfn.UNICHAR(9668),MIN(3,MAX(1,INT(-F15/35))))&amp;TEXT(F15,"+0;-0"),TEXT(F15,"+0;-0"))))</f>
        <v>+20</v>
      </c>
    </row>
    <row r="16" spans="1:47" x14ac:dyDescent="0.35">
      <c r="A16" s="21" t="s">
        <v>242</v>
      </c>
      <c r="B16" s="38">
        <v>-1</v>
      </c>
      <c r="C16" s="46">
        <v>3917</v>
      </c>
      <c r="D16" s="46">
        <v>4665</v>
      </c>
      <c r="E16" s="52">
        <f>D16-C16</f>
        <v>748</v>
      </c>
      <c r="F16" s="33">
        <f>IF(C16&lt;=0,NA(),(D16-C16)/C16*100)</f>
        <v>19.096247127904007</v>
      </c>
      <c r="G16" s="49">
        <f>G15+B16*C16</f>
        <v>7571</v>
      </c>
      <c r="H16" s="49">
        <f>G15</f>
        <v>11488</v>
      </c>
      <c r="I16" s="49">
        <f>MIN(H16,G16)</f>
        <v>7571</v>
      </c>
      <c r="J16" s="49">
        <f>IF(B16&gt;0,ABS(G16-H16),0)</f>
        <v>0</v>
      </c>
      <c r="K16" s="49">
        <f>IF(B16&lt;0,ABS(G16-H16),0)</f>
        <v>3917</v>
      </c>
      <c r="L16" s="49">
        <f>L15+B16*D16</f>
        <v>11789</v>
      </c>
      <c r="M16" s="49">
        <f>L15</f>
        <v>16454</v>
      </c>
      <c r="N16" s="49">
        <f>MIN(M16,L16)</f>
        <v>11789</v>
      </c>
      <c r="O16" s="49">
        <f>IF(B16&gt;0,ABS(L16-M16),0)</f>
        <v>0</v>
      </c>
      <c r="P16" s="49">
        <f>IF(B16&lt;0,ABS(L16-M16),0)</f>
        <v>4665</v>
      </c>
      <c r="Q16" s="52" t="e">
        <f>IF(AND($E16&gt;0,$B16&gt;0),$E16,NA())</f>
        <v>#N/A</v>
      </c>
      <c r="R16" s="52">
        <f>IF(AND($E16&gt;0,$B16&lt;0),$E16,NA())</f>
        <v>748</v>
      </c>
      <c r="S16" s="52" t="e">
        <f>IF(AND($E16&lt;0,$B16&lt;0),$E16,NA())</f>
        <v>#N/A</v>
      </c>
      <c r="T16" s="52" t="e">
        <f>IF(AND($E16&lt;0,$B16&gt;0),$E16,NA())</f>
        <v>#N/A</v>
      </c>
      <c r="U16" s="33" t="e">
        <f>IF(AND($F16&gt;0,$B16&gt;0),$F16,NA())</f>
        <v>#N/A</v>
      </c>
      <c r="V16" s="33">
        <f>IF(AND($F16&gt;0,$B16&lt;0),$F16,NA())</f>
        <v>19.096247127904007</v>
      </c>
      <c r="W16" s="33" t="e">
        <f>IF(AND($F16&lt;0,$B16&lt;0),$F16,NA())</f>
        <v>#N/A</v>
      </c>
      <c r="X16" s="33" t="e">
        <f>IF(AND($F16&lt;0,$B16&gt;0),$F16,NA())</f>
        <v>#N/A</v>
      </c>
      <c r="Y16" s="34"/>
      <c r="Z16" s="34">
        <f>I16/$Y$11</f>
        <v>0.12189859762675297</v>
      </c>
      <c r="AA16" s="34">
        <f>J16/$Y$11</f>
        <v>0</v>
      </c>
      <c r="AB16" s="17" t="str">
        <f>IF(ISNA(J16),"",TEXT(J16,"#,##0"))</f>
        <v>0</v>
      </c>
      <c r="AC16" s="34">
        <f>K16/$Y$11</f>
        <v>6.3066544301147984E-2</v>
      </c>
      <c r="AD16" s="17" t="str">
        <f>IF(ISNA(K16),"",TEXT(K16,"#,##0"))</f>
        <v>3,917</v>
      </c>
      <c r="AE16" s="34">
        <f>N16/$Y$11</f>
        <v>0.18981146049686839</v>
      </c>
      <c r="AF16" s="34">
        <f>O16/$Y$11</f>
        <v>0</v>
      </c>
      <c r="AG16" s="17" t="str">
        <f>IF(ISNA(O16),"",TEXT(O16,"#,##0"))</f>
        <v>0</v>
      </c>
      <c r="AH16" s="34">
        <f>P16/$Y$11</f>
        <v>7.5109887455924257E-2</v>
      </c>
      <c r="AI16" s="17" t="str">
        <f>IF(ISNA(P16),"",TEXT(P16,"#,##0"))</f>
        <v>4,665</v>
      </c>
      <c r="AJ16" s="34">
        <f>E16/$Y$11</f>
        <v>1.204334315477628E-2</v>
      </c>
      <c r="AK16" s="17" t="str">
        <f>IF(ISNA(E16),"",TEXT(E16,"+0;-0"))</f>
        <v>+748</v>
      </c>
      <c r="AL16" s="34" t="e">
        <f>Q16/$Y$11</f>
        <v>#N/A</v>
      </c>
      <c r="AM16" s="34">
        <f>R16/$Y$11</f>
        <v>1.204334315477628E-2</v>
      </c>
      <c r="AN16" s="34" t="e">
        <f>S16/$Y$11</f>
        <v>#N/A</v>
      </c>
      <c r="AO16" s="34" t="e">
        <f>T16/$Y$11</f>
        <v>#N/A</v>
      </c>
      <c r="AP16" s="17">
        <f>IF(ISNA(F16),NA(),MEDIAN(-31.5,F16,238.5))</f>
        <v>19.096247127904007</v>
      </c>
      <c r="AQ16" s="17" t="e">
        <f>IF(ISNA(U16),NA(),MEDIAN(-31.5,U16,238.5))</f>
        <v>#N/A</v>
      </c>
      <c r="AR16" s="17">
        <f>IF(ISNA(V16),NA(),MEDIAN(-31.5,V16,238.5))</f>
        <v>19.096247127904007</v>
      </c>
      <c r="AS16" s="17" t="e">
        <f>IF(ISNA(W16),NA(),MEDIAN(-31.5,W16,238.5))</f>
        <v>#N/A</v>
      </c>
      <c r="AT16" s="17" t="e">
        <f>IF(ISNA(X16),NA(),MEDIAN(-31.5,X16,238.5))</f>
        <v>#N/A</v>
      </c>
      <c r="AU16" s="17" t="str">
        <f>IF(ISNA(F16),"",IF(F16&gt;265,TEXT(F16,"+0;-0")&amp;REPT(_xlfn.UNICHAR(9658),MIN(3,MAX(1,INT(F16/265)))),IF(F16&lt;-35,REPT(_xlfn.UNICHAR(9668),MIN(3,MAX(1,INT(-F16/35))))&amp;TEXT(F16,"+0;-0"),TEXT(F16,"+0;-0"))))</f>
        <v>+19</v>
      </c>
    </row>
    <row r="17" spans="1:47" x14ac:dyDescent="0.35">
      <c r="A17" s="21" t="s">
        <v>243</v>
      </c>
      <c r="B17" s="38">
        <v>-1</v>
      </c>
      <c r="C17" s="46">
        <v>6649</v>
      </c>
      <c r="D17" s="46">
        <v>6885</v>
      </c>
      <c r="E17" s="52">
        <f>D17-C17</f>
        <v>236</v>
      </c>
      <c r="F17" s="33">
        <f>IF(C17&lt;=0,NA(),(D17-C17)/C17*100)</f>
        <v>3.5494059257031134</v>
      </c>
      <c r="G17" s="49">
        <f>G16+B17*C17</f>
        <v>922</v>
      </c>
      <c r="H17" s="49">
        <f>G16</f>
        <v>7571</v>
      </c>
      <c r="I17" s="49">
        <f>MIN(H17,G17)</f>
        <v>922</v>
      </c>
      <c r="J17" s="49">
        <f>IF(B17&gt;0,ABS(G17-H17),0)</f>
        <v>0</v>
      </c>
      <c r="K17" s="49">
        <f>IF(B17&lt;0,ABS(G17-H17),0)</f>
        <v>6649</v>
      </c>
      <c r="L17" s="49">
        <f>L16+B17*D17</f>
        <v>4904</v>
      </c>
      <c r="M17" s="49">
        <f>L16</f>
        <v>11789</v>
      </c>
      <c r="N17" s="49">
        <f>MIN(M17,L17)</f>
        <v>4904</v>
      </c>
      <c r="O17" s="49">
        <f>IF(B17&gt;0,ABS(L17-M17),0)</f>
        <v>0</v>
      </c>
      <c r="P17" s="49">
        <f>IF(B17&lt;0,ABS(L17-M17),0)</f>
        <v>6885</v>
      </c>
      <c r="Q17" s="52" t="e">
        <f>IF(AND($E17&gt;0,$B17&gt;0),$E17,NA())</f>
        <v>#N/A</v>
      </c>
      <c r="R17" s="52">
        <f>IF(AND($E17&gt;0,$B17&lt;0),$E17,NA())</f>
        <v>236</v>
      </c>
      <c r="S17" s="52" t="e">
        <f>IF(AND($E17&lt;0,$B17&lt;0),$E17,NA())</f>
        <v>#N/A</v>
      </c>
      <c r="T17" s="52" t="e">
        <f>IF(AND($E17&lt;0,$B17&gt;0),$E17,NA())</f>
        <v>#N/A</v>
      </c>
      <c r="U17" s="33" t="e">
        <f>IF(AND($F17&gt;0,$B17&gt;0),$F17,NA())</f>
        <v>#N/A</v>
      </c>
      <c r="V17" s="33">
        <f>IF(AND($F17&gt;0,$B17&lt;0),$F17,NA())</f>
        <v>3.5494059257031134</v>
      </c>
      <c r="W17" s="33" t="e">
        <f>IF(AND($F17&lt;0,$B17&lt;0),$F17,NA())</f>
        <v>#N/A</v>
      </c>
      <c r="X17" s="33" t="e">
        <f>IF(AND($F17&lt;0,$B17&gt;0),$F17,NA())</f>
        <v>#N/A</v>
      </c>
      <c r="Y17" s="34"/>
      <c r="Z17" s="34">
        <f>I17/$Y$11</f>
        <v>1.4844869503614614E-2</v>
      </c>
      <c r="AA17" s="34">
        <f>J17/$Y$11</f>
        <v>0</v>
      </c>
      <c r="AB17" s="17" t="str">
        <f>IF(ISNA(J17),"",TEXT(J17,"#,##0"))</f>
        <v>0</v>
      </c>
      <c r="AC17" s="34">
        <f>K17/$Y$11</f>
        <v>0.10705372812313835</v>
      </c>
      <c r="AD17" s="17" t="str">
        <f>IF(ISNA(K17),"",TEXT(K17,"#,##0"))</f>
        <v>6,649</v>
      </c>
      <c r="AE17" s="34">
        <f>N17/$Y$11</f>
        <v>7.8957961004041288E-2</v>
      </c>
      <c r="AF17" s="34">
        <f>O17/$Y$11</f>
        <v>0</v>
      </c>
      <c r="AG17" s="17" t="str">
        <f>IF(ISNA(O17),"",TEXT(O17,"#,##0"))</f>
        <v>0</v>
      </c>
      <c r="AH17" s="34">
        <f>P17/$Y$11</f>
        <v>0.11085349949282712</v>
      </c>
      <c r="AI17" s="17" t="str">
        <f>IF(ISNA(P17),"",TEXT(P17,"#,##0"))</f>
        <v>6,885</v>
      </c>
      <c r="AJ17" s="34">
        <f>E17/$Y$11</f>
        <v>3.799771369688773E-3</v>
      </c>
      <c r="AK17" s="17" t="str">
        <f>IF(ISNA(E17),"",TEXT(E17,"+0;-0"))</f>
        <v>+236</v>
      </c>
      <c r="AL17" s="34" t="e">
        <f>Q17/$Y$11</f>
        <v>#N/A</v>
      </c>
      <c r="AM17" s="34">
        <f>R17/$Y$11</f>
        <v>3.799771369688773E-3</v>
      </c>
      <c r="AN17" s="34" t="e">
        <f>S17/$Y$11</f>
        <v>#N/A</v>
      </c>
      <c r="AO17" s="34" t="e">
        <f>T17/$Y$11</f>
        <v>#N/A</v>
      </c>
      <c r="AP17" s="17">
        <f>IF(ISNA(F17),NA(),MEDIAN(-31.5,F17,238.5))</f>
        <v>3.5494059257031134</v>
      </c>
      <c r="AQ17" s="17" t="e">
        <f>IF(ISNA(U17),NA(),MEDIAN(-31.5,U17,238.5))</f>
        <v>#N/A</v>
      </c>
      <c r="AR17" s="17">
        <f>IF(ISNA(V17),NA(),MEDIAN(-31.5,V17,238.5))</f>
        <v>3.5494059257031134</v>
      </c>
      <c r="AS17" s="17" t="e">
        <f>IF(ISNA(W17),NA(),MEDIAN(-31.5,W17,238.5))</f>
        <v>#N/A</v>
      </c>
      <c r="AT17" s="17" t="e">
        <f>IF(ISNA(X17),NA(),MEDIAN(-31.5,X17,238.5))</f>
        <v>#N/A</v>
      </c>
      <c r="AU17" s="17" t="str">
        <f>IF(ISNA(F17),"",IF(F17&gt;265,TEXT(F17,"+0;-0")&amp;REPT(_xlfn.UNICHAR(9658),MIN(3,MAX(1,INT(F17/265)))),IF(F17&lt;-35,REPT(_xlfn.UNICHAR(9668),MIN(3,MAX(1,INT(-F17/35))))&amp;TEXT(F17,"+0;-0"),TEXT(F17,"+0;-0"))))</f>
        <v>+4</v>
      </c>
    </row>
    <row r="18" spans="1:47" x14ac:dyDescent="0.35">
      <c r="A18" s="21" t="s">
        <v>244</v>
      </c>
      <c r="B18" s="38">
        <v>1</v>
      </c>
      <c r="C18" s="50">
        <f>G17</f>
        <v>922</v>
      </c>
      <c r="D18" s="50">
        <f>L17</f>
        <v>4904</v>
      </c>
      <c r="E18" s="52">
        <f>D18-C18</f>
        <v>3982</v>
      </c>
      <c r="F18" s="33">
        <f>IF(C18&lt;=0,NA(),(D18-C18)/C18*100)</f>
        <v>431.88720173535791</v>
      </c>
      <c r="G18" s="49">
        <f>G17</f>
        <v>922</v>
      </c>
      <c r="H18" s="49">
        <f>0</f>
        <v>0</v>
      </c>
      <c r="I18" s="49">
        <f>MIN(H18,G18)</f>
        <v>0</v>
      </c>
      <c r="J18" s="49">
        <f>IF(B18&gt;0,ABS(G18-H18),0)</f>
        <v>922</v>
      </c>
      <c r="K18" s="49">
        <f>IF(B18&lt;0,ABS(G18-H18),0)</f>
        <v>0</v>
      </c>
      <c r="L18" s="49">
        <f>L17</f>
        <v>4904</v>
      </c>
      <c r="M18" s="49">
        <f>0</f>
        <v>0</v>
      </c>
      <c r="N18" s="49">
        <f>MIN(M18,L18)</f>
        <v>0</v>
      </c>
      <c r="O18" s="49">
        <f>IF(B18&gt;0,ABS(L18-M18),0)</f>
        <v>4904</v>
      </c>
      <c r="P18" s="49">
        <f>IF(B18&lt;0,ABS(L18-M18),0)</f>
        <v>0</v>
      </c>
      <c r="Q18" s="52">
        <f>IF(AND($E18&gt;0,$B18&gt;0),$E18,NA())</f>
        <v>3982</v>
      </c>
      <c r="R18" s="52" t="e">
        <f>IF(AND($E18&gt;0,$B18&lt;0),$E18,NA())</f>
        <v>#N/A</v>
      </c>
      <c r="S18" s="52" t="e">
        <f>IF(AND($E18&lt;0,$B18&lt;0),$E18,NA())</f>
        <v>#N/A</v>
      </c>
      <c r="T18" s="52" t="e">
        <f>IF(AND($E18&lt;0,$B18&gt;0),$E18,NA())</f>
        <v>#N/A</v>
      </c>
      <c r="U18" s="33">
        <f>IF(AND($F18&gt;0,$B18&gt;0),$F18,NA())</f>
        <v>431.88720173535791</v>
      </c>
      <c r="V18" s="33" t="e">
        <f>IF(AND($F18&gt;0,$B18&lt;0),$F18,NA())</f>
        <v>#N/A</v>
      </c>
      <c r="W18" s="33" t="e">
        <f>IF(AND($F18&lt;0,$B18&lt;0),$F18,NA())</f>
        <v>#N/A</v>
      </c>
      <c r="X18" s="33" t="e">
        <f>IF(AND($F18&lt;0,$B18&gt;0),$F18,NA())</f>
        <v>#N/A</v>
      </c>
      <c r="Y18" s="34"/>
      <c r="Z18" s="34">
        <f>I18/$Y$11</f>
        <v>0</v>
      </c>
      <c r="AA18" s="34">
        <f>J18/$Y$11</f>
        <v>1.4844869503614614E-2</v>
      </c>
      <c r="AB18" s="17" t="str">
        <f>IF(ISNA(J18),"",TEXT(J18,"#,##0"))</f>
        <v>922</v>
      </c>
      <c r="AC18" s="34">
        <f>K18/$Y$11</f>
        <v>0</v>
      </c>
      <c r="AD18" s="17" t="str">
        <f>IF(ISNA(K18),"",TEXT(K18,"#,##0"))</f>
        <v>0</v>
      </c>
      <c r="AE18" s="34">
        <f>N18/$Y$11</f>
        <v>0</v>
      </c>
      <c r="AF18" s="34">
        <f>O18/$Y$11</f>
        <v>7.8957961004041288E-2</v>
      </c>
      <c r="AG18" s="17" t="str">
        <f>IF(ISNA(O18),"",TEXT(O18,"#,##0"))</f>
        <v>4,904</v>
      </c>
      <c r="AH18" s="34">
        <f>P18/$Y$11</f>
        <v>0</v>
      </c>
      <c r="AI18" s="17" t="str">
        <f>IF(ISNA(P18),"",TEXT(P18,"#,##0"))</f>
        <v>0</v>
      </c>
      <c r="AJ18" s="34">
        <f>E18/$Y$11</f>
        <v>6.4113091500426669E-2</v>
      </c>
      <c r="AK18" s="17" t="str">
        <f>IF(ISNA(E18),"",TEXT(E18,"+0;-0"))</f>
        <v>+3982</v>
      </c>
      <c r="AL18" s="34">
        <f>Q18/$Y$11</f>
        <v>6.4113091500426669E-2</v>
      </c>
      <c r="AM18" s="34" t="e">
        <f>R18/$Y$11</f>
        <v>#N/A</v>
      </c>
      <c r="AN18" s="34" t="e">
        <f>S18/$Y$11</f>
        <v>#N/A</v>
      </c>
      <c r="AO18" s="34" t="e">
        <f>T18/$Y$11</f>
        <v>#N/A</v>
      </c>
      <c r="AP18" s="17">
        <f>IF(ISNA(F18),NA(),MEDIAN(-31.5,F18,238.5))</f>
        <v>238.5</v>
      </c>
      <c r="AQ18" s="17">
        <f>IF(ISNA(U18),NA(),MEDIAN(-31.5,U18,238.5))</f>
        <v>238.5</v>
      </c>
      <c r="AR18" s="17" t="e">
        <f>IF(ISNA(V18),NA(),MEDIAN(-31.5,V18,238.5))</f>
        <v>#N/A</v>
      </c>
      <c r="AS18" s="17" t="e">
        <f>IF(ISNA(W18),NA(),MEDIAN(-31.5,W18,238.5))</f>
        <v>#N/A</v>
      </c>
      <c r="AT18" s="17" t="e">
        <f>IF(ISNA(X18),NA(),MEDIAN(-31.5,X18,238.5))</f>
        <v>#N/A</v>
      </c>
      <c r="AU18" s="17" t="str">
        <f>IF(ISNA(F18),"",IF(F18&gt;265,TEXT(F18,"+0;-0")&amp;REPT(_xlfn.UNICHAR(9658),MIN(3,MAX(1,INT(F18/265)))),IF(F18&lt;-35,REPT(_xlfn.UNICHAR(9668),MIN(3,MAX(1,INT(-F18/35))))&amp;TEXT(F18,"+0;-0"),TEXT(F18,"+0;-0"))))</f>
        <v>+432►</v>
      </c>
    </row>
    <row r="19" spans="1:47" x14ac:dyDescent="0.35">
      <c r="A19" s="21" t="s">
        <v>245</v>
      </c>
      <c r="B19" s="38">
        <v>-1</v>
      </c>
      <c r="C19" s="46">
        <v>200</v>
      </c>
      <c r="D19" s="46">
        <v>1001</v>
      </c>
      <c r="E19" s="52">
        <f>D19-C19</f>
        <v>801</v>
      </c>
      <c r="F19" s="33">
        <f>IF(C19&lt;=0,NA(),(D19-C19)/C19*100)</f>
        <v>400.5</v>
      </c>
      <c r="G19" s="49">
        <f>G18+B19*C19</f>
        <v>722</v>
      </c>
      <c r="H19" s="49">
        <f>G18</f>
        <v>922</v>
      </c>
      <c r="I19" s="49">
        <f>MIN(H19,G19)</f>
        <v>722</v>
      </c>
      <c r="J19" s="49">
        <f>IF(B19&gt;0,ABS(G19-H19),0)</f>
        <v>0</v>
      </c>
      <c r="K19" s="49">
        <f>IF(B19&lt;0,ABS(G19-H19),0)</f>
        <v>200</v>
      </c>
      <c r="L19" s="49">
        <f>L18+B19*D19</f>
        <v>3903</v>
      </c>
      <c r="M19" s="49">
        <f>L18</f>
        <v>4904</v>
      </c>
      <c r="N19" s="49">
        <f>MIN(M19,L19)</f>
        <v>3903</v>
      </c>
      <c r="O19" s="49">
        <f>IF(B19&gt;0,ABS(L19-M19),0)</f>
        <v>0</v>
      </c>
      <c r="P19" s="49">
        <f>IF(B19&lt;0,ABS(L19-M19),0)</f>
        <v>1001</v>
      </c>
      <c r="Q19" s="52" t="e">
        <f>IF(AND($E19&gt;0,$B19&gt;0),$E19,NA())</f>
        <v>#N/A</v>
      </c>
      <c r="R19" s="52">
        <f>IF(AND($E19&gt;0,$B19&lt;0),$E19,NA())</f>
        <v>801</v>
      </c>
      <c r="S19" s="52" t="e">
        <f>IF(AND($E19&lt;0,$B19&lt;0),$E19,NA())</f>
        <v>#N/A</v>
      </c>
      <c r="T19" s="52" t="e">
        <f>IF(AND($E19&lt;0,$B19&gt;0),$E19,NA())</f>
        <v>#N/A</v>
      </c>
      <c r="U19" s="33" t="e">
        <f>IF(AND($F19&gt;0,$B19&gt;0),$F19,NA())</f>
        <v>#N/A</v>
      </c>
      <c r="V19" s="33">
        <f>IF(AND($F19&gt;0,$B19&lt;0),$F19,NA())</f>
        <v>400.5</v>
      </c>
      <c r="W19" s="33" t="e">
        <f>IF(AND($F19&lt;0,$B19&lt;0),$F19,NA())</f>
        <v>#N/A</v>
      </c>
      <c r="X19" s="33" t="e">
        <f>IF(AND($F19&lt;0,$B19&gt;0),$F19,NA())</f>
        <v>#N/A</v>
      </c>
      <c r="Y19" s="34"/>
      <c r="Z19" s="34">
        <f>I19/$Y$11</f>
        <v>1.1624724275064805E-2</v>
      </c>
      <c r="AA19" s="34">
        <f>J19/$Y$11</f>
        <v>0</v>
      </c>
      <c r="AB19" s="17" t="str">
        <f>IF(ISNA(J19),"",TEXT(J19,"#,##0"))</f>
        <v>0</v>
      </c>
      <c r="AC19" s="34">
        <f>K19/$Y$11</f>
        <v>3.2201452285498078E-3</v>
      </c>
      <c r="AD19" s="17" t="str">
        <f>IF(ISNA(K19),"",TEXT(K19,"#,##0"))</f>
        <v>200</v>
      </c>
      <c r="AE19" s="34">
        <f>N19/$Y$11</f>
        <v>6.2841134135149496E-2</v>
      </c>
      <c r="AF19" s="34">
        <f>O19/$Y$11</f>
        <v>0</v>
      </c>
      <c r="AG19" s="17" t="str">
        <f>IF(ISNA(O19),"",TEXT(O19,"#,##0"))</f>
        <v>0</v>
      </c>
      <c r="AH19" s="34">
        <f>P19/$Y$11</f>
        <v>1.6116826868891786E-2</v>
      </c>
      <c r="AI19" s="17" t="str">
        <f>IF(ISNA(P19),"",TEXT(P19,"#,##0"))</f>
        <v>1,001</v>
      </c>
      <c r="AJ19" s="34">
        <f>E19/$Y$11</f>
        <v>1.2896681640341979E-2</v>
      </c>
      <c r="AK19" s="17" t="str">
        <f>IF(ISNA(E19),"",TEXT(E19,"+0;-0"))</f>
        <v>+801</v>
      </c>
      <c r="AL19" s="34" t="e">
        <f>Q19/$Y$11</f>
        <v>#N/A</v>
      </c>
      <c r="AM19" s="34">
        <f>R19/$Y$11</f>
        <v>1.2896681640341979E-2</v>
      </c>
      <c r="AN19" s="34" t="e">
        <f>S19/$Y$11</f>
        <v>#N/A</v>
      </c>
      <c r="AO19" s="34" t="e">
        <f>T19/$Y$11</f>
        <v>#N/A</v>
      </c>
      <c r="AP19" s="17">
        <f>IF(ISNA(F19),NA(),MEDIAN(-31.5,F19,238.5))</f>
        <v>238.5</v>
      </c>
      <c r="AQ19" s="17" t="e">
        <f>IF(ISNA(U19),NA(),MEDIAN(-31.5,U19,238.5))</f>
        <v>#N/A</v>
      </c>
      <c r="AR19" s="17">
        <f>IF(ISNA(V19),NA(),MEDIAN(-31.5,V19,238.5))</f>
        <v>238.5</v>
      </c>
      <c r="AS19" s="17" t="e">
        <f>IF(ISNA(W19),NA(),MEDIAN(-31.5,W19,238.5))</f>
        <v>#N/A</v>
      </c>
      <c r="AT19" s="17" t="e">
        <f>IF(ISNA(X19),NA(),MEDIAN(-31.5,X19,238.5))</f>
        <v>#N/A</v>
      </c>
      <c r="AU19" s="17" t="str">
        <f>IF(ISNA(F19),"",IF(F19&gt;265,TEXT(F19,"+0;-0")&amp;REPT(_xlfn.UNICHAR(9658),MIN(3,MAX(1,INT(F19/265)))),IF(F19&lt;-35,REPT(_xlfn.UNICHAR(9668),MIN(3,MAX(1,INT(-F19/35))))&amp;TEXT(F19,"+0;-0"),TEXT(F19,"+0;-0"))))</f>
        <v>+401►</v>
      </c>
    </row>
    <row r="20" spans="1:47" x14ac:dyDescent="0.35">
      <c r="A20" s="21" t="s">
        <v>246</v>
      </c>
      <c r="B20" s="38">
        <v>1</v>
      </c>
      <c r="C20" s="50">
        <f>G19</f>
        <v>722</v>
      </c>
      <c r="D20" s="50">
        <f>L19</f>
        <v>3903</v>
      </c>
      <c r="E20" s="52">
        <f>D20-C20</f>
        <v>3181</v>
      </c>
      <c r="F20" s="33">
        <f>IF(C20&lt;=0,NA(),(D20-C20)/C20*100)</f>
        <v>440.5817174515235</v>
      </c>
      <c r="G20" s="49">
        <f>G19</f>
        <v>722</v>
      </c>
      <c r="H20" s="49">
        <f>0</f>
        <v>0</v>
      </c>
      <c r="I20" s="49">
        <f>MIN(H20,G20)</f>
        <v>0</v>
      </c>
      <c r="J20" s="49">
        <f>IF(B20&gt;0,ABS(G20-H20),0)</f>
        <v>722</v>
      </c>
      <c r="K20" s="49">
        <f>IF(B20&lt;0,ABS(G20-H20),0)</f>
        <v>0</v>
      </c>
      <c r="L20" s="49">
        <f>L19</f>
        <v>3903</v>
      </c>
      <c r="M20" s="49">
        <f>0</f>
        <v>0</v>
      </c>
      <c r="N20" s="49">
        <f>MIN(M20,L20)</f>
        <v>0</v>
      </c>
      <c r="O20" s="49">
        <f>IF(B20&gt;0,ABS(L20-M20),0)</f>
        <v>3903</v>
      </c>
      <c r="P20" s="49">
        <f>IF(B20&lt;0,ABS(L20-M20),0)</f>
        <v>0</v>
      </c>
      <c r="Q20" s="52">
        <f>IF(AND($E20&gt;0,$B20&gt;0),$E20,NA())</f>
        <v>3181</v>
      </c>
      <c r="R20" s="52" t="e">
        <f>IF(AND($E20&gt;0,$B20&lt;0),$E20,NA())</f>
        <v>#N/A</v>
      </c>
      <c r="S20" s="52" t="e">
        <f>IF(AND($E20&lt;0,$B20&lt;0),$E20,NA())</f>
        <v>#N/A</v>
      </c>
      <c r="T20" s="52" t="e">
        <f>IF(AND($E20&lt;0,$B20&gt;0),$E20,NA())</f>
        <v>#N/A</v>
      </c>
      <c r="U20" s="33">
        <f>IF(AND($F20&gt;0,$B20&gt;0),$F20,NA())</f>
        <v>440.5817174515235</v>
      </c>
      <c r="V20" s="33" t="e">
        <f>IF(AND($F20&gt;0,$B20&lt;0),$F20,NA())</f>
        <v>#N/A</v>
      </c>
      <c r="W20" s="33" t="e">
        <f>IF(AND($F20&lt;0,$B20&lt;0),$F20,NA())</f>
        <v>#N/A</v>
      </c>
      <c r="X20" s="33" t="e">
        <f>IF(AND($F20&lt;0,$B20&gt;0),$F20,NA())</f>
        <v>#N/A</v>
      </c>
      <c r="Y20" s="34"/>
      <c r="Z20" s="34">
        <f>I20/$Y$11</f>
        <v>0</v>
      </c>
      <c r="AA20" s="34">
        <f>J20/$Y$11</f>
        <v>1.1624724275064805E-2</v>
      </c>
      <c r="AB20" s="17" t="str">
        <f>IF(ISNA(J20),"",TEXT(J20,"#,##0"))</f>
        <v>722</v>
      </c>
      <c r="AC20" s="34">
        <f>K20/$Y$11</f>
        <v>0</v>
      </c>
      <c r="AD20" s="17" t="str">
        <f>IF(ISNA(K20),"",TEXT(K20,"#,##0"))</f>
        <v>0</v>
      </c>
      <c r="AE20" s="34">
        <f>N20/$Y$11</f>
        <v>0</v>
      </c>
      <c r="AF20" s="34">
        <f>O20/$Y$11</f>
        <v>6.2841134135149496E-2</v>
      </c>
      <c r="AG20" s="17" t="str">
        <f>IF(ISNA(O20),"",TEXT(O20,"#,##0"))</f>
        <v>3,903</v>
      </c>
      <c r="AH20" s="34">
        <f>P20/$Y$11</f>
        <v>0</v>
      </c>
      <c r="AI20" s="17" t="str">
        <f>IF(ISNA(P20),"",TEXT(P20,"#,##0"))</f>
        <v>0</v>
      </c>
      <c r="AJ20" s="34">
        <f>E20/$Y$11</f>
        <v>5.1216409860084688E-2</v>
      </c>
      <c r="AK20" s="17" t="str">
        <f>IF(ISNA(E20),"",TEXT(E20,"+0;-0"))</f>
        <v>+3181</v>
      </c>
      <c r="AL20" s="34">
        <f>Q20/$Y$11</f>
        <v>5.1216409860084688E-2</v>
      </c>
      <c r="AM20" s="34" t="e">
        <f>R20/$Y$11</f>
        <v>#N/A</v>
      </c>
      <c r="AN20" s="34" t="e">
        <f>S20/$Y$11</f>
        <v>#N/A</v>
      </c>
      <c r="AO20" s="34" t="e">
        <f>T20/$Y$11</f>
        <v>#N/A</v>
      </c>
      <c r="AP20" s="17">
        <f>IF(ISNA(F20),NA(),MEDIAN(-31.5,F20,238.5))</f>
        <v>238.5</v>
      </c>
      <c r="AQ20" s="17">
        <f>IF(ISNA(U20),NA(),MEDIAN(-31.5,U20,238.5))</f>
        <v>238.5</v>
      </c>
      <c r="AR20" s="17" t="e">
        <f>IF(ISNA(V20),NA(),MEDIAN(-31.5,V20,238.5))</f>
        <v>#N/A</v>
      </c>
      <c r="AS20" s="17" t="e">
        <f>IF(ISNA(W20),NA(),MEDIAN(-31.5,W20,238.5))</f>
        <v>#N/A</v>
      </c>
      <c r="AT20" s="17" t="e">
        <f>IF(ISNA(X20),NA(),MEDIAN(-31.5,X20,238.5))</f>
        <v>#N/A</v>
      </c>
      <c r="AU20" s="17" t="str">
        <f>IF(ISNA(F20),"",IF(F20&gt;265,TEXT(F20,"+0;-0")&amp;REPT(_xlfn.UNICHAR(9658),MIN(3,MAX(1,INT(F20/265)))),IF(F20&lt;-35,REPT(_xlfn.UNICHAR(9668),MIN(3,MAX(1,INT(-F20/35))))&amp;TEXT(F20,"+0;-0"),TEXT(F20,"+0;-0"))))</f>
        <v>+441►</v>
      </c>
    </row>
    <row r="21" spans="1:47" x14ac:dyDescent="0.35">
      <c r="A21" s="21"/>
      <c r="B21" s="38"/>
      <c r="C21" s="44"/>
      <c r="D21" s="44"/>
      <c r="E21" s="52"/>
      <c r="F21" s="33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2"/>
      <c r="R21" s="52"/>
      <c r="S21" s="52"/>
      <c r="T21" s="52"/>
      <c r="U21" s="33"/>
      <c r="V21" s="33"/>
      <c r="W21" s="33"/>
      <c r="X21" s="33"/>
      <c r="Y21" s="34"/>
      <c r="Z21" s="34"/>
      <c r="AA21" s="34"/>
      <c r="AB21" s="17"/>
      <c r="AC21" s="34"/>
      <c r="AD21" s="17"/>
      <c r="AE21" s="34"/>
      <c r="AF21" s="34"/>
      <c r="AG21" s="17"/>
      <c r="AH21" s="34"/>
      <c r="AI21" s="17"/>
      <c r="AJ21" s="34"/>
      <c r="AK21" s="17"/>
      <c r="AL21" s="34"/>
      <c r="AM21" s="34"/>
      <c r="AN21" s="34"/>
      <c r="AO21" s="34"/>
      <c r="AP21" s="17"/>
      <c r="AQ21" s="17"/>
      <c r="AR21" s="17"/>
      <c r="AS21" s="17"/>
      <c r="AT21" s="17"/>
      <c r="AU21" s="17"/>
    </row>
    <row r="22" spans="1:47" x14ac:dyDescent="0.35">
      <c r="A22" s="21"/>
      <c r="B22" s="38"/>
      <c r="C22" s="44"/>
      <c r="D22" s="44"/>
      <c r="E22" s="52"/>
      <c r="F22" s="33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52"/>
      <c r="R22" s="52"/>
      <c r="S22" s="52"/>
      <c r="T22" s="52"/>
      <c r="U22" s="33"/>
      <c r="V22" s="33"/>
      <c r="W22" s="33"/>
      <c r="X22" s="33"/>
      <c r="Y22" s="34"/>
      <c r="Z22" s="34"/>
      <c r="AA22" s="34"/>
      <c r="AB22" s="17"/>
      <c r="AC22" s="34"/>
      <c r="AD22" s="17"/>
      <c r="AE22" s="34"/>
      <c r="AF22" s="34"/>
      <c r="AG22" s="17"/>
      <c r="AH22" s="34"/>
      <c r="AI22" s="17"/>
      <c r="AJ22" s="34"/>
      <c r="AK22" s="17"/>
      <c r="AL22" s="34"/>
      <c r="AM22" s="34"/>
      <c r="AN22" s="34"/>
      <c r="AO22" s="34"/>
      <c r="AP22" s="17"/>
      <c r="AQ22" s="17"/>
      <c r="AR22" s="17"/>
      <c r="AS22" s="17"/>
      <c r="AT22" s="17"/>
      <c r="AU22" s="17"/>
    </row>
    <row r="23" spans="1:47" x14ac:dyDescent="0.35">
      <c r="A23" s="21"/>
      <c r="B23" s="38"/>
      <c r="C23" s="44"/>
      <c r="D23" s="44"/>
      <c r="E23" s="52"/>
      <c r="F23" s="33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52"/>
      <c r="R23" s="52"/>
      <c r="S23" s="52"/>
      <c r="T23" s="52"/>
      <c r="U23" s="33"/>
      <c r="V23" s="33"/>
      <c r="W23" s="33"/>
      <c r="X23" s="33"/>
      <c r="Y23" s="34"/>
      <c r="Z23" s="34"/>
      <c r="AA23" s="34"/>
      <c r="AB23" s="17"/>
      <c r="AC23" s="34"/>
      <c r="AD23" s="17"/>
      <c r="AE23" s="34"/>
      <c r="AF23" s="34"/>
      <c r="AG23" s="17"/>
      <c r="AH23" s="34"/>
      <c r="AI23" s="17"/>
      <c r="AJ23" s="34"/>
      <c r="AK23" s="17"/>
      <c r="AL23" s="34"/>
      <c r="AM23" s="34"/>
      <c r="AN23" s="34"/>
      <c r="AO23" s="34"/>
      <c r="AP23" s="17"/>
      <c r="AQ23" s="17"/>
      <c r="AR23" s="17"/>
      <c r="AS23" s="17"/>
      <c r="AT23" s="17"/>
      <c r="AU23" s="17"/>
    </row>
    <row r="24" spans="1:47" x14ac:dyDescent="0.35">
      <c r="A24" s="21"/>
      <c r="B24" s="38"/>
      <c r="C24" s="44"/>
      <c r="D24" s="44"/>
      <c r="E24" s="52"/>
      <c r="F24" s="33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52"/>
      <c r="R24" s="52"/>
      <c r="S24" s="52"/>
      <c r="T24" s="52"/>
      <c r="U24" s="33"/>
      <c r="V24" s="33"/>
      <c r="W24" s="33"/>
      <c r="X24" s="33"/>
      <c r="Y24" s="34"/>
      <c r="Z24" s="34"/>
      <c r="AA24" s="34"/>
      <c r="AB24" s="17"/>
      <c r="AC24" s="34"/>
      <c r="AD24" s="17"/>
      <c r="AE24" s="34"/>
      <c r="AF24" s="34"/>
      <c r="AG24" s="17"/>
      <c r="AH24" s="34"/>
      <c r="AI24" s="17"/>
      <c r="AJ24" s="34"/>
      <c r="AK24" s="17"/>
      <c r="AL24" s="34"/>
      <c r="AM24" s="34"/>
      <c r="AN24" s="34"/>
      <c r="AO24" s="34"/>
      <c r="AP24" s="17"/>
      <c r="AQ24" s="17"/>
      <c r="AR24" s="17"/>
      <c r="AS24" s="17"/>
      <c r="AT24" s="17"/>
      <c r="AU24" s="17"/>
    </row>
    <row r="25" spans="1:47" x14ac:dyDescent="0.35">
      <c r="A25" s="21"/>
      <c r="B25" s="38"/>
      <c r="C25" s="44"/>
      <c r="D25" s="44"/>
      <c r="E25" s="52"/>
      <c r="F25" s="33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52"/>
      <c r="R25" s="52"/>
      <c r="S25" s="52"/>
      <c r="T25" s="52"/>
      <c r="U25" s="33"/>
      <c r="V25" s="33"/>
      <c r="W25" s="33"/>
      <c r="X25" s="33"/>
      <c r="Y25" s="34"/>
      <c r="Z25" s="34"/>
      <c r="AA25" s="34"/>
      <c r="AB25" s="17"/>
      <c r="AC25" s="34"/>
      <c r="AD25" s="17"/>
      <c r="AE25" s="34"/>
      <c r="AF25" s="34"/>
      <c r="AG25" s="17"/>
      <c r="AH25" s="34"/>
      <c r="AI25" s="17"/>
      <c r="AJ25" s="34"/>
      <c r="AK25" s="17"/>
      <c r="AL25" s="34"/>
      <c r="AM25" s="34"/>
      <c r="AN25" s="34"/>
      <c r="AO25" s="34"/>
      <c r="AP25" s="17"/>
      <c r="AQ25" s="17"/>
      <c r="AR25" s="17"/>
      <c r="AS25" s="17"/>
      <c r="AT25" s="17"/>
      <c r="AU25" s="17"/>
    </row>
    <row r="26" spans="1:47" x14ac:dyDescent="0.35">
      <c r="A26" s="21"/>
      <c r="B26" s="38"/>
      <c r="C26" s="44"/>
      <c r="D26" s="44"/>
      <c r="E26" s="52"/>
      <c r="F26" s="33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52"/>
      <c r="R26" s="52"/>
      <c r="S26" s="52"/>
      <c r="T26" s="52"/>
      <c r="U26" s="33"/>
      <c r="V26" s="33"/>
      <c r="W26" s="33"/>
      <c r="X26" s="33"/>
      <c r="Y26" s="34"/>
      <c r="Z26" s="34"/>
      <c r="AA26" s="34"/>
      <c r="AB26" s="17"/>
      <c r="AC26" s="34"/>
      <c r="AD26" s="17"/>
      <c r="AE26" s="34"/>
      <c r="AF26" s="34"/>
      <c r="AG26" s="17"/>
      <c r="AH26" s="34"/>
      <c r="AI26" s="17"/>
      <c r="AJ26" s="34"/>
      <c r="AK26" s="17"/>
      <c r="AL26" s="34"/>
      <c r="AM26" s="34"/>
      <c r="AN26" s="34"/>
      <c r="AO26" s="34"/>
      <c r="AP26" s="17"/>
      <c r="AQ26" s="17"/>
      <c r="AR26" s="17"/>
      <c r="AS26" s="17"/>
      <c r="AT26" s="17"/>
      <c r="AU26" s="17"/>
    </row>
    <row r="27" spans="1:47" x14ac:dyDescent="0.35">
      <c r="A27" s="21"/>
      <c r="B27" s="38"/>
      <c r="C27" s="44"/>
      <c r="D27" s="44"/>
      <c r="E27" s="52"/>
      <c r="F27" s="33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52"/>
      <c r="R27" s="52"/>
      <c r="S27" s="52"/>
      <c r="T27" s="52"/>
      <c r="U27" s="33"/>
      <c r="V27" s="33"/>
      <c r="W27" s="33"/>
      <c r="X27" s="33"/>
      <c r="Y27" s="34"/>
      <c r="Z27" s="34"/>
      <c r="AA27" s="34"/>
      <c r="AB27" s="17"/>
      <c r="AC27" s="34"/>
      <c r="AD27" s="17"/>
      <c r="AE27" s="34"/>
      <c r="AF27" s="34"/>
      <c r="AG27" s="17"/>
      <c r="AH27" s="34"/>
      <c r="AI27" s="17"/>
      <c r="AJ27" s="34"/>
      <c r="AK27" s="17"/>
      <c r="AL27" s="34"/>
      <c r="AM27" s="34"/>
      <c r="AN27" s="34"/>
      <c r="AO27" s="34"/>
      <c r="AP27" s="17"/>
      <c r="AQ27" s="17"/>
      <c r="AR27" s="17"/>
      <c r="AS27" s="17"/>
      <c r="AT27" s="17"/>
      <c r="AU27" s="17"/>
    </row>
    <row r="28" spans="1:47" x14ac:dyDescent="0.35">
      <c r="A28" s="21"/>
      <c r="B28" s="38"/>
      <c r="C28" s="44"/>
      <c r="D28" s="44"/>
      <c r="E28" s="52"/>
      <c r="F28" s="33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52"/>
      <c r="R28" s="52"/>
      <c r="S28" s="52"/>
      <c r="T28" s="52"/>
      <c r="U28" s="33"/>
      <c r="V28" s="33"/>
      <c r="W28" s="33"/>
      <c r="X28" s="33"/>
      <c r="Y28" s="34"/>
      <c r="Z28" s="34"/>
      <c r="AA28" s="34"/>
      <c r="AB28" s="17"/>
      <c r="AC28" s="34"/>
      <c r="AD28" s="17"/>
      <c r="AE28" s="34"/>
      <c r="AF28" s="34"/>
      <c r="AG28" s="17"/>
      <c r="AH28" s="34"/>
      <c r="AI28" s="17"/>
      <c r="AJ28" s="34"/>
      <c r="AK28" s="17"/>
      <c r="AL28" s="34"/>
      <c r="AM28" s="34"/>
      <c r="AN28" s="34"/>
      <c r="AO28" s="34"/>
      <c r="AP28" s="17"/>
      <c r="AQ28" s="17"/>
      <c r="AR28" s="17"/>
      <c r="AS28" s="17"/>
      <c r="AT28" s="17"/>
      <c r="AU28" s="17"/>
    </row>
    <row r="29" spans="1:47" x14ac:dyDescent="0.35">
      <c r="A29" s="21"/>
      <c r="B29" s="38"/>
      <c r="C29" s="44"/>
      <c r="D29" s="44"/>
      <c r="E29" s="52"/>
      <c r="F29" s="33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52"/>
      <c r="R29" s="52"/>
      <c r="S29" s="52"/>
      <c r="T29" s="52"/>
      <c r="U29" s="33"/>
      <c r="V29" s="33"/>
      <c r="W29" s="33"/>
      <c r="X29" s="33"/>
      <c r="Y29" s="34"/>
      <c r="Z29" s="34"/>
      <c r="AA29" s="34"/>
      <c r="AB29" s="17"/>
      <c r="AC29" s="34"/>
      <c r="AD29" s="17"/>
      <c r="AE29" s="34"/>
      <c r="AF29" s="34"/>
      <c r="AG29" s="17"/>
      <c r="AH29" s="34"/>
      <c r="AI29" s="17"/>
      <c r="AJ29" s="34"/>
      <c r="AK29" s="17"/>
      <c r="AL29" s="34"/>
      <c r="AM29" s="34"/>
      <c r="AN29" s="34"/>
      <c r="AO29" s="34"/>
      <c r="AP29" s="17"/>
      <c r="AQ29" s="17"/>
      <c r="AR29" s="17"/>
      <c r="AS29" s="17"/>
      <c r="AT29" s="17"/>
      <c r="AU29" s="17"/>
    </row>
    <row r="30" spans="1:47" x14ac:dyDescent="0.35">
      <c r="A30" s="21"/>
      <c r="B30" s="38"/>
      <c r="C30" s="44"/>
      <c r="D30" s="44"/>
      <c r="E30" s="52"/>
      <c r="F30" s="33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52"/>
      <c r="R30" s="52"/>
      <c r="S30" s="52"/>
      <c r="T30" s="52"/>
      <c r="U30" s="33"/>
      <c r="V30" s="33"/>
      <c r="W30" s="33"/>
      <c r="X30" s="33"/>
      <c r="Y30" s="34"/>
      <c r="Z30" s="34"/>
      <c r="AA30" s="34"/>
      <c r="AB30" s="17"/>
      <c r="AC30" s="34"/>
      <c r="AD30" s="17"/>
      <c r="AE30" s="34"/>
      <c r="AF30" s="34"/>
      <c r="AG30" s="17"/>
      <c r="AH30" s="34"/>
      <c r="AI30" s="17"/>
      <c r="AJ30" s="34"/>
      <c r="AK30" s="17"/>
      <c r="AL30" s="34"/>
      <c r="AM30" s="34"/>
      <c r="AN30" s="34"/>
      <c r="AO30" s="34"/>
      <c r="AP30" s="17"/>
      <c r="AQ30" s="17"/>
      <c r="AR30" s="17"/>
      <c r="AS30" s="17"/>
      <c r="AT30" s="17"/>
      <c r="AU30" s="17"/>
    </row>
  </sheetData>
  <mergeCells count="7">
    <mergeCell ref="B7:AU7"/>
    <mergeCell ref="B1:AU1"/>
    <mergeCell ref="B2:AU2"/>
    <mergeCell ref="B3:AU3"/>
    <mergeCell ref="B4:AU4"/>
    <mergeCell ref="B5:AU5"/>
    <mergeCell ref="B6:AU6"/>
  </mergeCells>
  <printOptions horizontalCentered="1" verticalCentered="1"/>
  <pageMargins left="0.25" right="0.25" top="0.25" bottom="0.25" header="0.125" footer="0.125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Read me</vt:lpstr>
      <vt:lpstr>Sources</vt:lpstr>
      <vt:lpstr>C01A</vt:lpstr>
      <vt:lpstr>C02A</vt:lpstr>
      <vt:lpstr>C03A</vt:lpstr>
      <vt:lpstr>C04A</vt:lpstr>
      <vt:lpstr>C05X</vt:lpstr>
      <vt:lpstr>C06F</vt:lpstr>
      <vt:lpstr>C12A</vt:lpstr>
      <vt:lpstr>'C01A'!Print_Area</vt:lpstr>
      <vt:lpstr>'C02A'!Print_Area</vt:lpstr>
      <vt:lpstr>'C03A'!Print_Area</vt:lpstr>
      <vt:lpstr>'C04A'!Print_Area</vt:lpstr>
      <vt:lpstr>'C05X'!Print_Area</vt:lpstr>
      <vt:lpstr>'C06F'!Print_Area</vt:lpstr>
      <vt:lpstr>'C12A'!Print_Area</vt:lpstr>
      <vt:lpstr>'Read me'!Print_Area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Phillips</dc:creator>
  <cp:lastModifiedBy>Wayne Phillips</cp:lastModifiedBy>
  <dcterms:created xsi:type="dcterms:W3CDTF">2026-08-21T05:59:55Z</dcterms:created>
  <dcterms:modified xsi:type="dcterms:W3CDTF">2026-08-21T06:00:57Z</dcterms:modified>
</cp:coreProperties>
</file>